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기타 수명업무\정부RD과제\23년도 정부지원과제\23년도 기계로봇장비 산업기술개발사업 신규지원 대상과제 통합공고\251017_스캐닝 및 역설계 관련 (황규호 주임)\"/>
    </mc:Choice>
  </mc:AlternateContent>
  <bookViews>
    <workbookView xWindow="0" yWindow="0" windowWidth="25890" windowHeight="8490" activeTab="1"/>
  </bookViews>
  <sheets>
    <sheet name="Sheet1" sheetId="4" r:id="rId1"/>
    <sheet name="zero-1" sheetId="9" r:id="rId2"/>
  </sheets>
  <definedNames>
    <definedName name="_xlnm.Print_Area" localSheetId="1">'zero-1'!$Z$1:$AS$82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" i="9" l="1"/>
  <c r="U2" i="9"/>
  <c r="U3" i="9"/>
  <c r="AD1" i="9" l="1"/>
  <c r="U1001" i="9"/>
  <c r="O1001" i="9"/>
  <c r="L1001" i="9"/>
  <c r="U1000" i="9"/>
  <c r="O1000" i="9"/>
  <c r="L1000" i="9"/>
  <c r="U999" i="9"/>
  <c r="O999" i="9"/>
  <c r="L999" i="9"/>
  <c r="U998" i="9"/>
  <c r="O998" i="9"/>
  <c r="L998" i="9"/>
  <c r="U997" i="9"/>
  <c r="O997" i="9"/>
  <c r="L997" i="9"/>
  <c r="U996" i="9"/>
  <c r="O996" i="9"/>
  <c r="L996" i="9"/>
  <c r="U995" i="9"/>
  <c r="O995" i="9"/>
  <c r="L995" i="9"/>
  <c r="U994" i="9"/>
  <c r="O994" i="9"/>
  <c r="L994" i="9"/>
  <c r="U993" i="9"/>
  <c r="O993" i="9"/>
  <c r="L993" i="9"/>
  <c r="U992" i="9"/>
  <c r="O992" i="9"/>
  <c r="L992" i="9"/>
  <c r="U991" i="9"/>
  <c r="O991" i="9"/>
  <c r="L991" i="9"/>
  <c r="U990" i="9"/>
  <c r="O990" i="9"/>
  <c r="L990" i="9"/>
  <c r="U989" i="9"/>
  <c r="O989" i="9"/>
  <c r="L989" i="9"/>
  <c r="U988" i="9"/>
  <c r="O988" i="9"/>
  <c r="L988" i="9"/>
  <c r="U987" i="9"/>
  <c r="O987" i="9"/>
  <c r="L987" i="9"/>
  <c r="U986" i="9"/>
  <c r="O986" i="9"/>
  <c r="L986" i="9"/>
  <c r="U985" i="9"/>
  <c r="O985" i="9"/>
  <c r="L985" i="9"/>
  <c r="U984" i="9"/>
  <c r="O984" i="9"/>
  <c r="L984" i="9"/>
  <c r="U983" i="9"/>
  <c r="O983" i="9"/>
  <c r="L983" i="9"/>
  <c r="U982" i="9"/>
  <c r="O982" i="9"/>
  <c r="L982" i="9"/>
  <c r="U981" i="9"/>
  <c r="O981" i="9"/>
  <c r="L981" i="9"/>
  <c r="U980" i="9"/>
  <c r="O980" i="9"/>
  <c r="L980" i="9"/>
  <c r="U979" i="9"/>
  <c r="O979" i="9"/>
  <c r="L979" i="9"/>
  <c r="U978" i="9"/>
  <c r="O978" i="9"/>
  <c r="L978" i="9"/>
  <c r="U977" i="9"/>
  <c r="O977" i="9"/>
  <c r="L977" i="9"/>
  <c r="U976" i="9"/>
  <c r="O976" i="9"/>
  <c r="L976" i="9"/>
  <c r="U975" i="9"/>
  <c r="O975" i="9"/>
  <c r="L975" i="9"/>
  <c r="U974" i="9"/>
  <c r="O974" i="9"/>
  <c r="L974" i="9"/>
  <c r="U973" i="9"/>
  <c r="O973" i="9"/>
  <c r="L973" i="9"/>
  <c r="U972" i="9"/>
  <c r="O972" i="9"/>
  <c r="L972" i="9"/>
  <c r="U971" i="9"/>
  <c r="O971" i="9"/>
  <c r="L971" i="9"/>
  <c r="U970" i="9"/>
  <c r="O970" i="9"/>
  <c r="L970" i="9"/>
  <c r="U969" i="9"/>
  <c r="O969" i="9"/>
  <c r="L969" i="9"/>
  <c r="U968" i="9"/>
  <c r="O968" i="9"/>
  <c r="L968" i="9"/>
  <c r="U967" i="9"/>
  <c r="O967" i="9"/>
  <c r="L967" i="9"/>
  <c r="U966" i="9"/>
  <c r="O966" i="9"/>
  <c r="L966" i="9"/>
  <c r="U965" i="9"/>
  <c r="O965" i="9"/>
  <c r="L965" i="9"/>
  <c r="U964" i="9"/>
  <c r="O964" i="9"/>
  <c r="L964" i="9"/>
  <c r="U963" i="9"/>
  <c r="O963" i="9"/>
  <c r="L963" i="9"/>
  <c r="U962" i="9"/>
  <c r="O962" i="9"/>
  <c r="L962" i="9"/>
  <c r="U961" i="9"/>
  <c r="O961" i="9"/>
  <c r="L961" i="9"/>
  <c r="U960" i="9"/>
  <c r="O960" i="9"/>
  <c r="L960" i="9"/>
  <c r="U959" i="9"/>
  <c r="O959" i="9"/>
  <c r="L959" i="9"/>
  <c r="U958" i="9"/>
  <c r="O958" i="9"/>
  <c r="L958" i="9"/>
  <c r="U957" i="9"/>
  <c r="O957" i="9"/>
  <c r="L957" i="9"/>
  <c r="U956" i="9"/>
  <c r="O956" i="9"/>
  <c r="L956" i="9"/>
  <c r="U955" i="9"/>
  <c r="O955" i="9"/>
  <c r="L955" i="9"/>
  <c r="U954" i="9"/>
  <c r="O954" i="9"/>
  <c r="L954" i="9"/>
  <c r="U953" i="9"/>
  <c r="O953" i="9"/>
  <c r="L953" i="9"/>
  <c r="U952" i="9"/>
  <c r="O952" i="9"/>
  <c r="L952" i="9"/>
  <c r="U951" i="9"/>
  <c r="O951" i="9"/>
  <c r="L951" i="9"/>
  <c r="U950" i="9"/>
  <c r="O950" i="9"/>
  <c r="L950" i="9"/>
  <c r="U949" i="9"/>
  <c r="O949" i="9"/>
  <c r="L949" i="9"/>
  <c r="U948" i="9"/>
  <c r="O948" i="9"/>
  <c r="L948" i="9"/>
  <c r="U947" i="9"/>
  <c r="O947" i="9"/>
  <c r="L947" i="9"/>
  <c r="U946" i="9"/>
  <c r="O946" i="9"/>
  <c r="L946" i="9"/>
  <c r="U945" i="9"/>
  <c r="O945" i="9"/>
  <c r="L945" i="9"/>
  <c r="U944" i="9"/>
  <c r="O944" i="9"/>
  <c r="L944" i="9"/>
  <c r="U943" i="9"/>
  <c r="O943" i="9"/>
  <c r="L943" i="9"/>
  <c r="U942" i="9"/>
  <c r="O942" i="9"/>
  <c r="L942" i="9"/>
  <c r="U941" i="9"/>
  <c r="O941" i="9"/>
  <c r="L941" i="9"/>
  <c r="U940" i="9"/>
  <c r="O940" i="9"/>
  <c r="L940" i="9"/>
  <c r="U939" i="9"/>
  <c r="O939" i="9"/>
  <c r="L939" i="9"/>
  <c r="U938" i="9"/>
  <c r="O938" i="9"/>
  <c r="L938" i="9"/>
  <c r="U937" i="9"/>
  <c r="O937" i="9"/>
  <c r="L937" i="9"/>
  <c r="U936" i="9"/>
  <c r="O936" i="9"/>
  <c r="L936" i="9"/>
  <c r="U935" i="9"/>
  <c r="O935" i="9"/>
  <c r="L935" i="9"/>
  <c r="U934" i="9"/>
  <c r="O934" i="9"/>
  <c r="L934" i="9"/>
  <c r="U933" i="9"/>
  <c r="O933" i="9"/>
  <c r="L933" i="9"/>
  <c r="U932" i="9"/>
  <c r="O932" i="9"/>
  <c r="L932" i="9"/>
  <c r="U931" i="9"/>
  <c r="O931" i="9"/>
  <c r="L931" i="9"/>
  <c r="U930" i="9"/>
  <c r="O930" i="9"/>
  <c r="L930" i="9"/>
  <c r="U929" i="9"/>
  <c r="O929" i="9"/>
  <c r="L929" i="9"/>
  <c r="U928" i="9"/>
  <c r="O928" i="9"/>
  <c r="L928" i="9"/>
  <c r="U927" i="9"/>
  <c r="O927" i="9"/>
  <c r="L927" i="9"/>
  <c r="U926" i="9"/>
  <c r="O926" i="9"/>
  <c r="L926" i="9"/>
  <c r="U925" i="9"/>
  <c r="O925" i="9"/>
  <c r="L925" i="9"/>
  <c r="U924" i="9"/>
  <c r="O924" i="9"/>
  <c r="L924" i="9"/>
  <c r="U923" i="9"/>
  <c r="O923" i="9"/>
  <c r="L923" i="9"/>
  <c r="U922" i="9"/>
  <c r="O922" i="9"/>
  <c r="L922" i="9"/>
  <c r="U921" i="9"/>
  <c r="O921" i="9"/>
  <c r="L921" i="9"/>
  <c r="U920" i="9"/>
  <c r="O920" i="9"/>
  <c r="L920" i="9"/>
  <c r="U919" i="9"/>
  <c r="O919" i="9"/>
  <c r="L919" i="9"/>
  <c r="U918" i="9"/>
  <c r="O918" i="9"/>
  <c r="L918" i="9"/>
  <c r="U917" i="9"/>
  <c r="O917" i="9"/>
  <c r="L917" i="9"/>
  <c r="U916" i="9"/>
  <c r="O916" i="9"/>
  <c r="L916" i="9"/>
  <c r="U915" i="9"/>
  <c r="O915" i="9"/>
  <c r="L915" i="9"/>
  <c r="U914" i="9"/>
  <c r="O914" i="9"/>
  <c r="L914" i="9"/>
  <c r="U913" i="9"/>
  <c r="O913" i="9"/>
  <c r="L913" i="9"/>
  <c r="U912" i="9"/>
  <c r="O912" i="9"/>
  <c r="L912" i="9"/>
  <c r="U911" i="9"/>
  <c r="O911" i="9"/>
  <c r="L911" i="9"/>
  <c r="U910" i="9"/>
  <c r="O910" i="9"/>
  <c r="L910" i="9"/>
  <c r="U909" i="9"/>
  <c r="O909" i="9"/>
  <c r="L909" i="9"/>
  <c r="U908" i="9"/>
  <c r="O908" i="9"/>
  <c r="L908" i="9"/>
  <c r="U907" i="9"/>
  <c r="O907" i="9"/>
  <c r="L907" i="9"/>
  <c r="U906" i="9"/>
  <c r="O906" i="9"/>
  <c r="L906" i="9"/>
  <c r="U905" i="9"/>
  <c r="O905" i="9"/>
  <c r="L905" i="9"/>
  <c r="U904" i="9"/>
  <c r="O904" i="9"/>
  <c r="L904" i="9"/>
  <c r="U903" i="9"/>
  <c r="O903" i="9"/>
  <c r="L903" i="9"/>
  <c r="U902" i="9"/>
  <c r="O902" i="9"/>
  <c r="L902" i="9"/>
  <c r="U901" i="9"/>
  <c r="O901" i="9"/>
  <c r="L901" i="9"/>
  <c r="U900" i="9"/>
  <c r="O900" i="9"/>
  <c r="L900" i="9"/>
  <c r="U899" i="9"/>
  <c r="O899" i="9"/>
  <c r="L899" i="9"/>
  <c r="U898" i="9"/>
  <c r="O898" i="9"/>
  <c r="L898" i="9"/>
  <c r="U897" i="9"/>
  <c r="O897" i="9"/>
  <c r="L897" i="9"/>
  <c r="U896" i="9"/>
  <c r="O896" i="9"/>
  <c r="L896" i="9"/>
  <c r="U895" i="9"/>
  <c r="O895" i="9"/>
  <c r="L895" i="9"/>
  <c r="U894" i="9"/>
  <c r="O894" i="9"/>
  <c r="L894" i="9"/>
  <c r="U893" i="9"/>
  <c r="O893" i="9"/>
  <c r="L893" i="9"/>
  <c r="U892" i="9"/>
  <c r="O892" i="9"/>
  <c r="L892" i="9"/>
  <c r="U891" i="9"/>
  <c r="O891" i="9"/>
  <c r="L891" i="9"/>
  <c r="U890" i="9"/>
  <c r="O890" i="9"/>
  <c r="L890" i="9"/>
  <c r="U889" i="9"/>
  <c r="O889" i="9"/>
  <c r="L889" i="9"/>
  <c r="U888" i="9"/>
  <c r="O888" i="9"/>
  <c r="L888" i="9"/>
  <c r="U887" i="9"/>
  <c r="O887" i="9"/>
  <c r="L887" i="9"/>
  <c r="U886" i="9"/>
  <c r="O886" i="9"/>
  <c r="L886" i="9"/>
  <c r="U885" i="9"/>
  <c r="O885" i="9"/>
  <c r="L885" i="9"/>
  <c r="U884" i="9"/>
  <c r="O884" i="9"/>
  <c r="L884" i="9"/>
  <c r="U883" i="9"/>
  <c r="O883" i="9"/>
  <c r="L883" i="9"/>
  <c r="U882" i="9"/>
  <c r="O882" i="9"/>
  <c r="L882" i="9"/>
  <c r="U881" i="9"/>
  <c r="O881" i="9"/>
  <c r="L881" i="9"/>
  <c r="U880" i="9"/>
  <c r="O880" i="9"/>
  <c r="L880" i="9"/>
  <c r="U879" i="9"/>
  <c r="O879" i="9"/>
  <c r="L879" i="9"/>
  <c r="U878" i="9"/>
  <c r="O878" i="9"/>
  <c r="L878" i="9"/>
  <c r="U877" i="9"/>
  <c r="O877" i="9"/>
  <c r="L877" i="9"/>
  <c r="U876" i="9"/>
  <c r="O876" i="9"/>
  <c r="L876" i="9"/>
  <c r="U875" i="9"/>
  <c r="O875" i="9"/>
  <c r="L875" i="9"/>
  <c r="U874" i="9"/>
  <c r="O874" i="9"/>
  <c r="L874" i="9"/>
  <c r="U873" i="9"/>
  <c r="O873" i="9"/>
  <c r="L873" i="9"/>
  <c r="U872" i="9"/>
  <c r="O872" i="9"/>
  <c r="L872" i="9"/>
  <c r="U871" i="9"/>
  <c r="O871" i="9"/>
  <c r="L871" i="9"/>
  <c r="U870" i="9"/>
  <c r="O870" i="9"/>
  <c r="L870" i="9"/>
  <c r="U869" i="9"/>
  <c r="O869" i="9"/>
  <c r="L869" i="9"/>
  <c r="U868" i="9"/>
  <c r="O868" i="9"/>
  <c r="L868" i="9"/>
  <c r="U867" i="9"/>
  <c r="O867" i="9"/>
  <c r="L867" i="9"/>
  <c r="U866" i="9"/>
  <c r="O866" i="9"/>
  <c r="L866" i="9"/>
  <c r="U865" i="9"/>
  <c r="O865" i="9"/>
  <c r="L865" i="9"/>
  <c r="U864" i="9"/>
  <c r="O864" i="9"/>
  <c r="L864" i="9"/>
  <c r="U863" i="9"/>
  <c r="O863" i="9"/>
  <c r="L863" i="9"/>
  <c r="U862" i="9"/>
  <c r="O862" i="9"/>
  <c r="L862" i="9"/>
  <c r="U861" i="9"/>
  <c r="O861" i="9"/>
  <c r="L861" i="9"/>
  <c r="U860" i="9"/>
  <c r="O860" i="9"/>
  <c r="L860" i="9"/>
  <c r="U859" i="9"/>
  <c r="O859" i="9"/>
  <c r="L859" i="9"/>
  <c r="U858" i="9"/>
  <c r="O858" i="9"/>
  <c r="L858" i="9"/>
  <c r="U857" i="9"/>
  <c r="O857" i="9"/>
  <c r="L857" i="9"/>
  <c r="U856" i="9"/>
  <c r="O856" i="9"/>
  <c r="L856" i="9"/>
  <c r="U855" i="9"/>
  <c r="O855" i="9"/>
  <c r="L855" i="9"/>
  <c r="U854" i="9"/>
  <c r="O854" i="9"/>
  <c r="L854" i="9"/>
  <c r="U853" i="9"/>
  <c r="O853" i="9"/>
  <c r="L853" i="9"/>
  <c r="U852" i="9"/>
  <c r="O852" i="9"/>
  <c r="L852" i="9"/>
  <c r="U851" i="9"/>
  <c r="O851" i="9"/>
  <c r="L851" i="9"/>
  <c r="U850" i="9"/>
  <c r="O850" i="9"/>
  <c r="L850" i="9"/>
  <c r="U849" i="9"/>
  <c r="O849" i="9"/>
  <c r="L849" i="9"/>
  <c r="U848" i="9"/>
  <c r="O848" i="9"/>
  <c r="L848" i="9"/>
  <c r="U847" i="9"/>
  <c r="O847" i="9"/>
  <c r="L847" i="9"/>
  <c r="U846" i="9"/>
  <c r="O846" i="9"/>
  <c r="L846" i="9"/>
  <c r="U845" i="9"/>
  <c r="O845" i="9"/>
  <c r="L845" i="9"/>
  <c r="U844" i="9"/>
  <c r="O844" i="9"/>
  <c r="L844" i="9"/>
  <c r="U843" i="9"/>
  <c r="O843" i="9"/>
  <c r="L843" i="9"/>
  <c r="U842" i="9"/>
  <c r="O842" i="9"/>
  <c r="L842" i="9"/>
  <c r="U841" i="9"/>
  <c r="O841" i="9"/>
  <c r="L841" i="9"/>
  <c r="U840" i="9"/>
  <c r="O840" i="9"/>
  <c r="L840" i="9"/>
  <c r="U839" i="9"/>
  <c r="O839" i="9"/>
  <c r="L839" i="9"/>
  <c r="U838" i="9"/>
  <c r="O838" i="9"/>
  <c r="L838" i="9"/>
  <c r="U837" i="9"/>
  <c r="O837" i="9"/>
  <c r="L837" i="9"/>
  <c r="U836" i="9"/>
  <c r="O836" i="9"/>
  <c r="L836" i="9"/>
  <c r="U835" i="9"/>
  <c r="O835" i="9"/>
  <c r="L835" i="9"/>
  <c r="U834" i="9"/>
  <c r="O834" i="9"/>
  <c r="L834" i="9"/>
  <c r="U833" i="9"/>
  <c r="O833" i="9"/>
  <c r="L833" i="9"/>
  <c r="U832" i="9"/>
  <c r="O832" i="9"/>
  <c r="L832" i="9"/>
  <c r="U831" i="9"/>
  <c r="O831" i="9"/>
  <c r="L831" i="9"/>
  <c r="U830" i="9"/>
  <c r="O830" i="9"/>
  <c r="L830" i="9"/>
  <c r="U829" i="9"/>
  <c r="O829" i="9"/>
  <c r="L829" i="9"/>
  <c r="U828" i="9"/>
  <c r="O828" i="9"/>
  <c r="L828" i="9"/>
  <c r="U827" i="9"/>
  <c r="O827" i="9"/>
  <c r="L827" i="9"/>
  <c r="U826" i="9"/>
  <c r="O826" i="9"/>
  <c r="L826" i="9"/>
  <c r="U825" i="9"/>
  <c r="O825" i="9"/>
  <c r="L825" i="9"/>
  <c r="U824" i="9"/>
  <c r="O824" i="9"/>
  <c r="L824" i="9"/>
  <c r="U823" i="9"/>
  <c r="O823" i="9"/>
  <c r="L823" i="9"/>
  <c r="U822" i="9"/>
  <c r="O822" i="9"/>
  <c r="L822" i="9"/>
  <c r="U821" i="9"/>
  <c r="O821" i="9"/>
  <c r="L821" i="9"/>
  <c r="U820" i="9"/>
  <c r="O820" i="9"/>
  <c r="L820" i="9"/>
  <c r="U819" i="9"/>
  <c r="O819" i="9"/>
  <c r="L819" i="9"/>
  <c r="U818" i="9"/>
  <c r="O818" i="9"/>
  <c r="L818" i="9"/>
  <c r="U817" i="9"/>
  <c r="O817" i="9"/>
  <c r="L817" i="9"/>
  <c r="U816" i="9"/>
  <c r="O816" i="9"/>
  <c r="L816" i="9"/>
  <c r="U815" i="9"/>
  <c r="O815" i="9"/>
  <c r="L815" i="9"/>
  <c r="U814" i="9"/>
  <c r="O814" i="9"/>
  <c r="L814" i="9"/>
  <c r="U813" i="9"/>
  <c r="O813" i="9"/>
  <c r="L813" i="9"/>
  <c r="U812" i="9"/>
  <c r="O812" i="9"/>
  <c r="L812" i="9"/>
  <c r="U811" i="9"/>
  <c r="O811" i="9"/>
  <c r="L811" i="9"/>
  <c r="U810" i="9"/>
  <c r="O810" i="9"/>
  <c r="L810" i="9"/>
  <c r="U809" i="9"/>
  <c r="O809" i="9"/>
  <c r="L809" i="9"/>
  <c r="U808" i="9"/>
  <c r="O808" i="9"/>
  <c r="L808" i="9"/>
  <c r="U807" i="9"/>
  <c r="O807" i="9"/>
  <c r="L807" i="9"/>
  <c r="U806" i="9"/>
  <c r="O806" i="9"/>
  <c r="L806" i="9"/>
  <c r="U805" i="9"/>
  <c r="O805" i="9"/>
  <c r="L805" i="9"/>
  <c r="U804" i="9"/>
  <c r="O804" i="9"/>
  <c r="L804" i="9"/>
  <c r="U803" i="9"/>
  <c r="O803" i="9"/>
  <c r="L803" i="9"/>
  <c r="U802" i="9"/>
  <c r="O802" i="9"/>
  <c r="L802" i="9"/>
  <c r="U801" i="9"/>
  <c r="O801" i="9"/>
  <c r="L801" i="9"/>
  <c r="U800" i="9"/>
  <c r="O800" i="9"/>
  <c r="L800" i="9"/>
  <c r="U799" i="9"/>
  <c r="O799" i="9"/>
  <c r="L799" i="9"/>
  <c r="U798" i="9"/>
  <c r="O798" i="9"/>
  <c r="L798" i="9"/>
  <c r="U797" i="9"/>
  <c r="O797" i="9"/>
  <c r="L797" i="9"/>
  <c r="U796" i="9"/>
  <c r="O796" i="9"/>
  <c r="L796" i="9"/>
  <c r="U795" i="9"/>
  <c r="O795" i="9"/>
  <c r="L795" i="9"/>
  <c r="U794" i="9"/>
  <c r="O794" i="9"/>
  <c r="L794" i="9"/>
  <c r="U793" i="9"/>
  <c r="O793" i="9"/>
  <c r="L793" i="9"/>
  <c r="U792" i="9"/>
  <c r="O792" i="9"/>
  <c r="L792" i="9"/>
  <c r="U791" i="9"/>
  <c r="O791" i="9"/>
  <c r="L791" i="9"/>
  <c r="U790" i="9"/>
  <c r="O790" i="9"/>
  <c r="L790" i="9"/>
  <c r="U789" i="9"/>
  <c r="O789" i="9"/>
  <c r="L789" i="9"/>
  <c r="U788" i="9"/>
  <c r="O788" i="9"/>
  <c r="L788" i="9"/>
  <c r="U787" i="9"/>
  <c r="O787" i="9"/>
  <c r="L787" i="9"/>
  <c r="U786" i="9"/>
  <c r="O786" i="9"/>
  <c r="L786" i="9"/>
  <c r="U785" i="9"/>
  <c r="O785" i="9"/>
  <c r="L785" i="9"/>
  <c r="U784" i="9"/>
  <c r="O784" i="9"/>
  <c r="L784" i="9"/>
  <c r="U783" i="9"/>
  <c r="O783" i="9"/>
  <c r="L783" i="9"/>
  <c r="U782" i="9"/>
  <c r="O782" i="9"/>
  <c r="L782" i="9"/>
  <c r="U781" i="9"/>
  <c r="O781" i="9"/>
  <c r="L781" i="9"/>
  <c r="U780" i="9"/>
  <c r="O780" i="9"/>
  <c r="L780" i="9"/>
  <c r="U779" i="9"/>
  <c r="O779" i="9"/>
  <c r="L779" i="9"/>
  <c r="U778" i="9"/>
  <c r="O778" i="9"/>
  <c r="L778" i="9"/>
  <c r="U777" i="9"/>
  <c r="O777" i="9"/>
  <c r="L777" i="9"/>
  <c r="U776" i="9"/>
  <c r="O776" i="9"/>
  <c r="L776" i="9"/>
  <c r="U775" i="9"/>
  <c r="O775" i="9"/>
  <c r="L775" i="9"/>
  <c r="U774" i="9"/>
  <c r="O774" i="9"/>
  <c r="L774" i="9"/>
  <c r="U773" i="9"/>
  <c r="O773" i="9"/>
  <c r="L773" i="9"/>
  <c r="U772" i="9"/>
  <c r="O772" i="9"/>
  <c r="L772" i="9"/>
  <c r="U771" i="9"/>
  <c r="O771" i="9"/>
  <c r="L771" i="9"/>
  <c r="U770" i="9"/>
  <c r="O770" i="9"/>
  <c r="L770" i="9"/>
  <c r="U769" i="9"/>
  <c r="O769" i="9"/>
  <c r="L769" i="9"/>
  <c r="U768" i="9"/>
  <c r="O768" i="9"/>
  <c r="L768" i="9"/>
  <c r="U767" i="9"/>
  <c r="O767" i="9"/>
  <c r="L767" i="9"/>
  <c r="U766" i="9"/>
  <c r="O766" i="9"/>
  <c r="L766" i="9"/>
  <c r="U765" i="9"/>
  <c r="O765" i="9"/>
  <c r="L765" i="9"/>
  <c r="U764" i="9"/>
  <c r="O764" i="9"/>
  <c r="L764" i="9"/>
  <c r="U763" i="9"/>
  <c r="O763" i="9"/>
  <c r="L763" i="9"/>
  <c r="U762" i="9"/>
  <c r="O762" i="9"/>
  <c r="L762" i="9"/>
  <c r="U761" i="9"/>
  <c r="O761" i="9"/>
  <c r="L761" i="9"/>
  <c r="U760" i="9"/>
  <c r="O760" i="9"/>
  <c r="L760" i="9"/>
  <c r="U759" i="9"/>
  <c r="O759" i="9"/>
  <c r="L759" i="9"/>
  <c r="U758" i="9"/>
  <c r="O758" i="9"/>
  <c r="L758" i="9"/>
  <c r="U757" i="9"/>
  <c r="O757" i="9"/>
  <c r="L757" i="9"/>
  <c r="U756" i="9"/>
  <c r="O756" i="9"/>
  <c r="L756" i="9"/>
  <c r="U755" i="9"/>
  <c r="O755" i="9"/>
  <c r="L755" i="9"/>
  <c r="U754" i="9"/>
  <c r="O754" i="9"/>
  <c r="L754" i="9"/>
  <c r="U753" i="9"/>
  <c r="O753" i="9"/>
  <c r="L753" i="9"/>
  <c r="U752" i="9"/>
  <c r="O752" i="9"/>
  <c r="L752" i="9"/>
  <c r="U751" i="9"/>
  <c r="O751" i="9"/>
  <c r="L751" i="9"/>
  <c r="U750" i="9"/>
  <c r="O750" i="9"/>
  <c r="L750" i="9"/>
  <c r="U749" i="9"/>
  <c r="O749" i="9"/>
  <c r="L749" i="9"/>
  <c r="U748" i="9"/>
  <c r="O748" i="9"/>
  <c r="L748" i="9"/>
  <c r="U747" i="9"/>
  <c r="O747" i="9"/>
  <c r="L747" i="9"/>
  <c r="U746" i="9"/>
  <c r="O746" i="9"/>
  <c r="L746" i="9"/>
  <c r="U745" i="9"/>
  <c r="O745" i="9"/>
  <c r="L745" i="9"/>
  <c r="U744" i="9"/>
  <c r="O744" i="9"/>
  <c r="L744" i="9"/>
  <c r="U743" i="9"/>
  <c r="O743" i="9"/>
  <c r="L743" i="9"/>
  <c r="U742" i="9"/>
  <c r="O742" i="9"/>
  <c r="L742" i="9"/>
  <c r="U741" i="9"/>
  <c r="O741" i="9"/>
  <c r="L741" i="9"/>
  <c r="U740" i="9"/>
  <c r="O740" i="9"/>
  <c r="L740" i="9"/>
  <c r="U739" i="9"/>
  <c r="O739" i="9"/>
  <c r="L739" i="9"/>
  <c r="U738" i="9"/>
  <c r="O738" i="9"/>
  <c r="L738" i="9"/>
  <c r="U737" i="9"/>
  <c r="O737" i="9"/>
  <c r="L737" i="9"/>
  <c r="U736" i="9"/>
  <c r="O736" i="9"/>
  <c r="L736" i="9"/>
  <c r="U735" i="9"/>
  <c r="O735" i="9"/>
  <c r="L735" i="9"/>
  <c r="U734" i="9"/>
  <c r="O734" i="9"/>
  <c r="L734" i="9"/>
  <c r="U733" i="9"/>
  <c r="O733" i="9"/>
  <c r="L733" i="9"/>
  <c r="U732" i="9"/>
  <c r="O732" i="9"/>
  <c r="L732" i="9"/>
  <c r="U731" i="9"/>
  <c r="O731" i="9"/>
  <c r="L731" i="9"/>
  <c r="U730" i="9"/>
  <c r="O730" i="9"/>
  <c r="L730" i="9"/>
  <c r="U729" i="9"/>
  <c r="O729" i="9"/>
  <c r="L729" i="9"/>
  <c r="U728" i="9"/>
  <c r="O728" i="9"/>
  <c r="L728" i="9"/>
  <c r="U727" i="9"/>
  <c r="O727" i="9"/>
  <c r="L727" i="9"/>
  <c r="U726" i="9"/>
  <c r="O726" i="9"/>
  <c r="L726" i="9"/>
  <c r="U725" i="9"/>
  <c r="O725" i="9"/>
  <c r="L725" i="9"/>
  <c r="U724" i="9"/>
  <c r="O724" i="9"/>
  <c r="L724" i="9"/>
  <c r="U723" i="9"/>
  <c r="O723" i="9"/>
  <c r="L723" i="9"/>
  <c r="U722" i="9"/>
  <c r="O722" i="9"/>
  <c r="L722" i="9"/>
  <c r="U721" i="9"/>
  <c r="O721" i="9"/>
  <c r="L721" i="9"/>
  <c r="U720" i="9"/>
  <c r="O720" i="9"/>
  <c r="L720" i="9"/>
  <c r="U719" i="9"/>
  <c r="O719" i="9"/>
  <c r="L719" i="9"/>
  <c r="U718" i="9"/>
  <c r="O718" i="9"/>
  <c r="L718" i="9"/>
  <c r="U717" i="9"/>
  <c r="O717" i="9"/>
  <c r="L717" i="9"/>
  <c r="U716" i="9"/>
  <c r="O716" i="9"/>
  <c r="L716" i="9"/>
  <c r="U715" i="9"/>
  <c r="O715" i="9"/>
  <c r="L715" i="9"/>
  <c r="U714" i="9"/>
  <c r="O714" i="9"/>
  <c r="L714" i="9"/>
  <c r="U713" i="9"/>
  <c r="O713" i="9"/>
  <c r="L713" i="9"/>
  <c r="U712" i="9"/>
  <c r="O712" i="9"/>
  <c r="L712" i="9"/>
  <c r="U711" i="9"/>
  <c r="O711" i="9"/>
  <c r="L711" i="9"/>
  <c r="U710" i="9"/>
  <c r="O710" i="9"/>
  <c r="L710" i="9"/>
  <c r="U709" i="9"/>
  <c r="O709" i="9"/>
  <c r="L709" i="9"/>
  <c r="U708" i="9"/>
  <c r="O708" i="9"/>
  <c r="L708" i="9"/>
  <c r="U707" i="9"/>
  <c r="O707" i="9"/>
  <c r="L707" i="9"/>
  <c r="U706" i="9"/>
  <c r="O706" i="9"/>
  <c r="L706" i="9"/>
  <c r="U705" i="9"/>
  <c r="O705" i="9"/>
  <c r="L705" i="9"/>
  <c r="U704" i="9"/>
  <c r="O704" i="9"/>
  <c r="L704" i="9"/>
  <c r="U703" i="9"/>
  <c r="O703" i="9"/>
  <c r="L703" i="9"/>
  <c r="U702" i="9"/>
  <c r="O702" i="9"/>
  <c r="L702" i="9"/>
  <c r="U701" i="9"/>
  <c r="O701" i="9"/>
  <c r="L701" i="9"/>
  <c r="U700" i="9"/>
  <c r="O700" i="9"/>
  <c r="L700" i="9"/>
  <c r="U699" i="9"/>
  <c r="O699" i="9"/>
  <c r="L699" i="9"/>
  <c r="U698" i="9"/>
  <c r="O698" i="9"/>
  <c r="L698" i="9"/>
  <c r="U697" i="9"/>
  <c r="O697" i="9"/>
  <c r="L697" i="9"/>
  <c r="U696" i="9"/>
  <c r="O696" i="9"/>
  <c r="L696" i="9"/>
  <c r="U695" i="9"/>
  <c r="O695" i="9"/>
  <c r="L695" i="9"/>
  <c r="U694" i="9"/>
  <c r="O694" i="9"/>
  <c r="L694" i="9"/>
  <c r="U693" i="9"/>
  <c r="O693" i="9"/>
  <c r="L693" i="9"/>
  <c r="U692" i="9"/>
  <c r="O692" i="9"/>
  <c r="L692" i="9"/>
  <c r="U691" i="9"/>
  <c r="O691" i="9"/>
  <c r="L691" i="9"/>
  <c r="U690" i="9"/>
  <c r="O690" i="9"/>
  <c r="L690" i="9"/>
  <c r="U689" i="9"/>
  <c r="O689" i="9"/>
  <c r="L689" i="9"/>
  <c r="U688" i="9"/>
  <c r="O688" i="9"/>
  <c r="L688" i="9"/>
  <c r="U687" i="9"/>
  <c r="O687" i="9"/>
  <c r="L687" i="9"/>
  <c r="U686" i="9"/>
  <c r="O686" i="9"/>
  <c r="L686" i="9"/>
  <c r="U685" i="9"/>
  <c r="O685" i="9"/>
  <c r="L685" i="9"/>
  <c r="U684" i="9"/>
  <c r="O684" i="9"/>
  <c r="L684" i="9"/>
  <c r="U683" i="9"/>
  <c r="O683" i="9"/>
  <c r="L683" i="9"/>
  <c r="U682" i="9"/>
  <c r="O682" i="9"/>
  <c r="L682" i="9"/>
  <c r="U681" i="9"/>
  <c r="O681" i="9"/>
  <c r="L681" i="9"/>
  <c r="U680" i="9"/>
  <c r="O680" i="9"/>
  <c r="L680" i="9"/>
  <c r="U679" i="9"/>
  <c r="O679" i="9"/>
  <c r="L679" i="9"/>
  <c r="U678" i="9"/>
  <c r="O678" i="9"/>
  <c r="L678" i="9"/>
  <c r="U677" i="9"/>
  <c r="O677" i="9"/>
  <c r="L677" i="9"/>
  <c r="U676" i="9"/>
  <c r="O676" i="9"/>
  <c r="L676" i="9"/>
  <c r="U675" i="9"/>
  <c r="O675" i="9"/>
  <c r="L675" i="9"/>
  <c r="U674" i="9"/>
  <c r="O674" i="9"/>
  <c r="L674" i="9"/>
  <c r="U673" i="9"/>
  <c r="O673" i="9"/>
  <c r="L673" i="9"/>
  <c r="U672" i="9"/>
  <c r="O672" i="9"/>
  <c r="L672" i="9"/>
  <c r="U671" i="9"/>
  <c r="O671" i="9"/>
  <c r="L671" i="9"/>
  <c r="U670" i="9"/>
  <c r="O670" i="9"/>
  <c r="L670" i="9"/>
  <c r="U669" i="9"/>
  <c r="O669" i="9"/>
  <c r="L669" i="9"/>
  <c r="U668" i="9"/>
  <c r="O668" i="9"/>
  <c r="L668" i="9"/>
  <c r="U667" i="9"/>
  <c r="O667" i="9"/>
  <c r="L667" i="9"/>
  <c r="U666" i="9"/>
  <c r="O666" i="9"/>
  <c r="L666" i="9"/>
  <c r="U665" i="9"/>
  <c r="O665" i="9"/>
  <c r="L665" i="9"/>
  <c r="U664" i="9"/>
  <c r="O664" i="9"/>
  <c r="L664" i="9"/>
  <c r="U663" i="9"/>
  <c r="O663" i="9"/>
  <c r="L663" i="9"/>
  <c r="U662" i="9"/>
  <c r="O662" i="9"/>
  <c r="L662" i="9"/>
  <c r="U661" i="9"/>
  <c r="O661" i="9"/>
  <c r="L661" i="9"/>
  <c r="U660" i="9"/>
  <c r="O660" i="9"/>
  <c r="L660" i="9"/>
  <c r="U659" i="9"/>
  <c r="O659" i="9"/>
  <c r="L659" i="9"/>
  <c r="U658" i="9"/>
  <c r="O658" i="9"/>
  <c r="L658" i="9"/>
  <c r="U657" i="9"/>
  <c r="O657" i="9"/>
  <c r="L657" i="9"/>
  <c r="U656" i="9"/>
  <c r="O656" i="9"/>
  <c r="L656" i="9"/>
  <c r="U655" i="9"/>
  <c r="O655" i="9"/>
  <c r="L655" i="9"/>
  <c r="U654" i="9"/>
  <c r="O654" i="9"/>
  <c r="L654" i="9"/>
  <c r="U653" i="9"/>
  <c r="O653" i="9"/>
  <c r="L653" i="9"/>
  <c r="U652" i="9"/>
  <c r="O652" i="9"/>
  <c r="L652" i="9"/>
  <c r="U651" i="9"/>
  <c r="O651" i="9"/>
  <c r="L651" i="9"/>
  <c r="U650" i="9"/>
  <c r="O650" i="9"/>
  <c r="L650" i="9"/>
  <c r="U649" i="9"/>
  <c r="O649" i="9"/>
  <c r="L649" i="9"/>
  <c r="U648" i="9"/>
  <c r="O648" i="9"/>
  <c r="L648" i="9"/>
  <c r="U647" i="9"/>
  <c r="O647" i="9"/>
  <c r="L647" i="9"/>
  <c r="U646" i="9"/>
  <c r="O646" i="9"/>
  <c r="L646" i="9"/>
  <c r="U645" i="9"/>
  <c r="O645" i="9"/>
  <c r="L645" i="9"/>
  <c r="U644" i="9"/>
  <c r="O644" i="9"/>
  <c r="L644" i="9"/>
  <c r="U643" i="9"/>
  <c r="O643" i="9"/>
  <c r="L643" i="9"/>
  <c r="U642" i="9"/>
  <c r="O642" i="9"/>
  <c r="L642" i="9"/>
  <c r="U641" i="9"/>
  <c r="O641" i="9"/>
  <c r="L641" i="9"/>
  <c r="U640" i="9"/>
  <c r="O640" i="9"/>
  <c r="L640" i="9"/>
  <c r="U639" i="9"/>
  <c r="O639" i="9"/>
  <c r="L639" i="9"/>
  <c r="U638" i="9"/>
  <c r="O638" i="9"/>
  <c r="L638" i="9"/>
  <c r="U637" i="9"/>
  <c r="O637" i="9"/>
  <c r="L637" i="9"/>
  <c r="U636" i="9"/>
  <c r="O636" i="9"/>
  <c r="L636" i="9"/>
  <c r="U635" i="9"/>
  <c r="O635" i="9"/>
  <c r="L635" i="9"/>
  <c r="U634" i="9"/>
  <c r="O634" i="9"/>
  <c r="L634" i="9"/>
  <c r="U633" i="9"/>
  <c r="O633" i="9"/>
  <c r="L633" i="9"/>
  <c r="U632" i="9"/>
  <c r="O632" i="9"/>
  <c r="L632" i="9"/>
  <c r="U631" i="9"/>
  <c r="O631" i="9"/>
  <c r="L631" i="9"/>
  <c r="U630" i="9"/>
  <c r="O630" i="9"/>
  <c r="L630" i="9"/>
  <c r="U629" i="9"/>
  <c r="O629" i="9"/>
  <c r="L629" i="9"/>
  <c r="U628" i="9"/>
  <c r="O628" i="9"/>
  <c r="L628" i="9"/>
  <c r="U627" i="9"/>
  <c r="O627" i="9"/>
  <c r="L627" i="9"/>
  <c r="U626" i="9"/>
  <c r="O626" i="9"/>
  <c r="L626" i="9"/>
  <c r="U625" i="9"/>
  <c r="O625" i="9"/>
  <c r="L625" i="9"/>
  <c r="U624" i="9"/>
  <c r="O624" i="9"/>
  <c r="L624" i="9"/>
  <c r="U623" i="9"/>
  <c r="O623" i="9"/>
  <c r="L623" i="9"/>
  <c r="U622" i="9"/>
  <c r="O622" i="9"/>
  <c r="L622" i="9"/>
  <c r="U621" i="9"/>
  <c r="O621" i="9"/>
  <c r="L621" i="9"/>
  <c r="U620" i="9"/>
  <c r="O620" i="9"/>
  <c r="L620" i="9"/>
  <c r="U619" i="9"/>
  <c r="O619" i="9"/>
  <c r="L619" i="9"/>
  <c r="U618" i="9"/>
  <c r="O618" i="9"/>
  <c r="L618" i="9"/>
  <c r="U617" i="9"/>
  <c r="O617" i="9"/>
  <c r="L617" i="9"/>
  <c r="U616" i="9"/>
  <c r="O616" i="9"/>
  <c r="L616" i="9"/>
  <c r="U615" i="9"/>
  <c r="O615" i="9"/>
  <c r="L615" i="9"/>
  <c r="U614" i="9"/>
  <c r="O614" i="9"/>
  <c r="L614" i="9"/>
  <c r="U613" i="9"/>
  <c r="O613" i="9"/>
  <c r="L613" i="9"/>
  <c r="U612" i="9"/>
  <c r="O612" i="9"/>
  <c r="L612" i="9"/>
  <c r="U611" i="9"/>
  <c r="O611" i="9"/>
  <c r="L611" i="9"/>
  <c r="U610" i="9"/>
  <c r="O610" i="9"/>
  <c r="L610" i="9"/>
  <c r="U609" i="9"/>
  <c r="O609" i="9"/>
  <c r="L609" i="9"/>
  <c r="U608" i="9"/>
  <c r="O608" i="9"/>
  <c r="L608" i="9"/>
  <c r="U607" i="9"/>
  <c r="O607" i="9"/>
  <c r="L607" i="9"/>
  <c r="U606" i="9"/>
  <c r="O606" i="9"/>
  <c r="L606" i="9"/>
  <c r="U605" i="9"/>
  <c r="O605" i="9"/>
  <c r="L605" i="9"/>
  <c r="U604" i="9"/>
  <c r="O604" i="9"/>
  <c r="L604" i="9"/>
  <c r="U603" i="9"/>
  <c r="O603" i="9"/>
  <c r="L603" i="9"/>
  <c r="U602" i="9"/>
  <c r="O602" i="9"/>
  <c r="L602" i="9"/>
  <c r="U601" i="9"/>
  <c r="O601" i="9"/>
  <c r="L601" i="9"/>
  <c r="U600" i="9"/>
  <c r="O600" i="9"/>
  <c r="L600" i="9"/>
  <c r="U599" i="9"/>
  <c r="O599" i="9"/>
  <c r="L599" i="9"/>
  <c r="U598" i="9"/>
  <c r="O598" i="9"/>
  <c r="L598" i="9"/>
  <c r="U597" i="9"/>
  <c r="O597" i="9"/>
  <c r="L597" i="9"/>
  <c r="U596" i="9"/>
  <c r="O596" i="9"/>
  <c r="L596" i="9"/>
  <c r="U595" i="9"/>
  <c r="O595" i="9"/>
  <c r="L595" i="9"/>
  <c r="U594" i="9"/>
  <c r="O594" i="9"/>
  <c r="L594" i="9"/>
  <c r="U593" i="9"/>
  <c r="O593" i="9"/>
  <c r="L593" i="9"/>
  <c r="U592" i="9"/>
  <c r="O592" i="9"/>
  <c r="L592" i="9"/>
  <c r="U591" i="9"/>
  <c r="O591" i="9"/>
  <c r="L591" i="9"/>
  <c r="U590" i="9"/>
  <c r="O590" i="9"/>
  <c r="L590" i="9"/>
  <c r="U589" i="9"/>
  <c r="O589" i="9"/>
  <c r="L589" i="9"/>
  <c r="U588" i="9"/>
  <c r="O588" i="9"/>
  <c r="L588" i="9"/>
  <c r="U587" i="9"/>
  <c r="O587" i="9"/>
  <c r="L587" i="9"/>
  <c r="U586" i="9"/>
  <c r="O586" i="9"/>
  <c r="L586" i="9"/>
  <c r="U585" i="9"/>
  <c r="O585" i="9"/>
  <c r="L585" i="9"/>
  <c r="U584" i="9"/>
  <c r="O584" i="9"/>
  <c r="L584" i="9"/>
  <c r="U583" i="9"/>
  <c r="O583" i="9"/>
  <c r="L583" i="9"/>
  <c r="U582" i="9"/>
  <c r="O582" i="9"/>
  <c r="L582" i="9"/>
  <c r="U581" i="9"/>
  <c r="O581" i="9"/>
  <c r="L581" i="9"/>
  <c r="U580" i="9"/>
  <c r="O580" i="9"/>
  <c r="L580" i="9"/>
  <c r="U579" i="9"/>
  <c r="O579" i="9"/>
  <c r="L579" i="9"/>
  <c r="U578" i="9"/>
  <c r="O578" i="9"/>
  <c r="L578" i="9"/>
  <c r="U577" i="9"/>
  <c r="O577" i="9"/>
  <c r="L577" i="9"/>
  <c r="U576" i="9"/>
  <c r="O576" i="9"/>
  <c r="L576" i="9"/>
  <c r="U575" i="9"/>
  <c r="O575" i="9"/>
  <c r="L575" i="9"/>
  <c r="U574" i="9"/>
  <c r="O574" i="9"/>
  <c r="L574" i="9"/>
  <c r="U573" i="9"/>
  <c r="O573" i="9"/>
  <c r="L573" i="9"/>
  <c r="U572" i="9"/>
  <c r="O572" i="9"/>
  <c r="L572" i="9"/>
  <c r="U571" i="9"/>
  <c r="O571" i="9"/>
  <c r="L571" i="9"/>
  <c r="U570" i="9"/>
  <c r="O570" i="9"/>
  <c r="L570" i="9"/>
  <c r="U569" i="9"/>
  <c r="O569" i="9"/>
  <c r="L569" i="9"/>
  <c r="U568" i="9"/>
  <c r="O568" i="9"/>
  <c r="L568" i="9"/>
  <c r="U567" i="9"/>
  <c r="O567" i="9"/>
  <c r="L567" i="9"/>
  <c r="U566" i="9"/>
  <c r="O566" i="9"/>
  <c r="L566" i="9"/>
  <c r="U565" i="9"/>
  <c r="O565" i="9"/>
  <c r="L565" i="9"/>
  <c r="U564" i="9"/>
  <c r="O564" i="9"/>
  <c r="L564" i="9"/>
  <c r="U563" i="9"/>
  <c r="O563" i="9"/>
  <c r="L563" i="9"/>
  <c r="U562" i="9"/>
  <c r="O562" i="9"/>
  <c r="L562" i="9"/>
  <c r="U561" i="9"/>
  <c r="O561" i="9"/>
  <c r="L561" i="9"/>
  <c r="U560" i="9"/>
  <c r="O560" i="9"/>
  <c r="L560" i="9"/>
  <c r="U559" i="9"/>
  <c r="O559" i="9"/>
  <c r="L559" i="9"/>
  <c r="U558" i="9"/>
  <c r="O558" i="9"/>
  <c r="L558" i="9"/>
  <c r="U557" i="9"/>
  <c r="O557" i="9"/>
  <c r="L557" i="9"/>
  <c r="U556" i="9"/>
  <c r="O556" i="9"/>
  <c r="L556" i="9"/>
  <c r="U555" i="9"/>
  <c r="O555" i="9"/>
  <c r="L555" i="9"/>
  <c r="U554" i="9"/>
  <c r="O554" i="9"/>
  <c r="L554" i="9"/>
  <c r="U553" i="9"/>
  <c r="O553" i="9"/>
  <c r="L553" i="9"/>
  <c r="U552" i="9"/>
  <c r="O552" i="9"/>
  <c r="L552" i="9"/>
  <c r="U551" i="9"/>
  <c r="O551" i="9"/>
  <c r="L551" i="9"/>
  <c r="U550" i="9"/>
  <c r="O550" i="9"/>
  <c r="L550" i="9"/>
  <c r="U549" i="9"/>
  <c r="O549" i="9"/>
  <c r="L549" i="9"/>
  <c r="U548" i="9"/>
  <c r="O548" i="9"/>
  <c r="L548" i="9"/>
  <c r="U547" i="9"/>
  <c r="O547" i="9"/>
  <c r="L547" i="9"/>
  <c r="U546" i="9"/>
  <c r="O546" i="9"/>
  <c r="L546" i="9"/>
  <c r="U545" i="9"/>
  <c r="O545" i="9"/>
  <c r="L545" i="9"/>
  <c r="U544" i="9"/>
  <c r="O544" i="9"/>
  <c r="L544" i="9"/>
  <c r="U543" i="9"/>
  <c r="O543" i="9"/>
  <c r="L543" i="9"/>
  <c r="U542" i="9"/>
  <c r="O542" i="9"/>
  <c r="L542" i="9"/>
  <c r="U541" i="9"/>
  <c r="O541" i="9"/>
  <c r="L541" i="9"/>
  <c r="U540" i="9"/>
  <c r="O540" i="9"/>
  <c r="L540" i="9"/>
  <c r="U539" i="9"/>
  <c r="O539" i="9"/>
  <c r="L539" i="9"/>
  <c r="U538" i="9"/>
  <c r="O538" i="9"/>
  <c r="L538" i="9"/>
  <c r="U537" i="9"/>
  <c r="O537" i="9"/>
  <c r="L537" i="9"/>
  <c r="U536" i="9"/>
  <c r="O536" i="9"/>
  <c r="L536" i="9"/>
  <c r="U535" i="9"/>
  <c r="O535" i="9"/>
  <c r="L535" i="9"/>
  <c r="U534" i="9"/>
  <c r="O534" i="9"/>
  <c r="L534" i="9"/>
  <c r="U533" i="9"/>
  <c r="O533" i="9"/>
  <c r="L533" i="9"/>
  <c r="U532" i="9"/>
  <c r="O532" i="9"/>
  <c r="L532" i="9"/>
  <c r="U531" i="9"/>
  <c r="O531" i="9"/>
  <c r="L531" i="9"/>
  <c r="U530" i="9"/>
  <c r="O530" i="9"/>
  <c r="L530" i="9"/>
  <c r="U529" i="9"/>
  <c r="O529" i="9"/>
  <c r="L529" i="9"/>
  <c r="U528" i="9"/>
  <c r="O528" i="9"/>
  <c r="L528" i="9"/>
  <c r="U527" i="9"/>
  <c r="O527" i="9"/>
  <c r="L527" i="9"/>
  <c r="U526" i="9"/>
  <c r="O526" i="9"/>
  <c r="L526" i="9"/>
  <c r="U525" i="9"/>
  <c r="O525" i="9"/>
  <c r="L525" i="9"/>
  <c r="U524" i="9"/>
  <c r="O524" i="9"/>
  <c r="L524" i="9"/>
  <c r="U523" i="9"/>
  <c r="O523" i="9"/>
  <c r="L523" i="9"/>
  <c r="U522" i="9"/>
  <c r="O522" i="9"/>
  <c r="L522" i="9"/>
  <c r="U521" i="9"/>
  <c r="O521" i="9"/>
  <c r="L521" i="9"/>
  <c r="U520" i="9"/>
  <c r="O520" i="9"/>
  <c r="L520" i="9"/>
  <c r="U519" i="9"/>
  <c r="O519" i="9"/>
  <c r="L519" i="9"/>
  <c r="U518" i="9"/>
  <c r="O518" i="9"/>
  <c r="L518" i="9"/>
  <c r="U517" i="9"/>
  <c r="O517" i="9"/>
  <c r="L517" i="9"/>
  <c r="U516" i="9"/>
  <c r="O516" i="9"/>
  <c r="L516" i="9"/>
  <c r="U515" i="9"/>
  <c r="O515" i="9"/>
  <c r="L515" i="9"/>
  <c r="U514" i="9"/>
  <c r="O514" i="9"/>
  <c r="L514" i="9"/>
  <c r="U513" i="9"/>
  <c r="O513" i="9"/>
  <c r="L513" i="9"/>
  <c r="U512" i="9"/>
  <c r="O512" i="9"/>
  <c r="L512" i="9"/>
  <c r="U511" i="9"/>
  <c r="O511" i="9"/>
  <c r="L511" i="9"/>
  <c r="U510" i="9"/>
  <c r="O510" i="9"/>
  <c r="L510" i="9"/>
  <c r="U509" i="9"/>
  <c r="O509" i="9"/>
  <c r="L509" i="9"/>
  <c r="U508" i="9"/>
  <c r="O508" i="9"/>
  <c r="L508" i="9"/>
  <c r="U507" i="9"/>
  <c r="O507" i="9"/>
  <c r="L507" i="9"/>
  <c r="U506" i="9"/>
  <c r="O506" i="9"/>
  <c r="L506" i="9"/>
  <c r="U505" i="9"/>
  <c r="O505" i="9"/>
  <c r="L505" i="9"/>
  <c r="U504" i="9"/>
  <c r="O504" i="9"/>
  <c r="L504" i="9"/>
  <c r="U503" i="9"/>
  <c r="O503" i="9"/>
  <c r="L503" i="9"/>
  <c r="U502" i="9"/>
  <c r="O502" i="9"/>
  <c r="L502" i="9"/>
  <c r="U501" i="9"/>
  <c r="O501" i="9"/>
  <c r="L501" i="9"/>
  <c r="U500" i="9"/>
  <c r="O500" i="9"/>
  <c r="L500" i="9"/>
  <c r="U499" i="9"/>
  <c r="O499" i="9"/>
  <c r="L499" i="9"/>
  <c r="U498" i="9"/>
  <c r="O498" i="9"/>
  <c r="L498" i="9"/>
  <c r="U497" i="9"/>
  <c r="O497" i="9"/>
  <c r="L497" i="9"/>
  <c r="U496" i="9"/>
  <c r="O496" i="9"/>
  <c r="L496" i="9"/>
  <c r="U495" i="9"/>
  <c r="O495" i="9"/>
  <c r="L495" i="9"/>
  <c r="U494" i="9"/>
  <c r="O494" i="9"/>
  <c r="L494" i="9"/>
  <c r="U493" i="9"/>
  <c r="O493" i="9"/>
  <c r="L493" i="9"/>
  <c r="U492" i="9"/>
  <c r="O492" i="9"/>
  <c r="L492" i="9"/>
  <c r="U491" i="9"/>
  <c r="O491" i="9"/>
  <c r="L491" i="9"/>
  <c r="U490" i="9"/>
  <c r="O490" i="9"/>
  <c r="L490" i="9"/>
  <c r="U489" i="9"/>
  <c r="O489" i="9"/>
  <c r="L489" i="9"/>
  <c r="U488" i="9"/>
  <c r="O488" i="9"/>
  <c r="L488" i="9"/>
  <c r="U487" i="9"/>
  <c r="O487" i="9"/>
  <c r="L487" i="9"/>
  <c r="U486" i="9"/>
  <c r="O486" i="9"/>
  <c r="L486" i="9"/>
  <c r="U485" i="9"/>
  <c r="O485" i="9"/>
  <c r="L485" i="9"/>
  <c r="U484" i="9"/>
  <c r="O484" i="9"/>
  <c r="L484" i="9"/>
  <c r="U483" i="9"/>
  <c r="O483" i="9"/>
  <c r="L483" i="9"/>
  <c r="U482" i="9"/>
  <c r="O482" i="9"/>
  <c r="L482" i="9"/>
  <c r="U481" i="9"/>
  <c r="O481" i="9"/>
  <c r="L481" i="9"/>
  <c r="U480" i="9"/>
  <c r="O480" i="9"/>
  <c r="L480" i="9"/>
  <c r="U479" i="9"/>
  <c r="O479" i="9"/>
  <c r="L479" i="9"/>
  <c r="U478" i="9"/>
  <c r="O478" i="9"/>
  <c r="L478" i="9"/>
  <c r="U477" i="9"/>
  <c r="O477" i="9"/>
  <c r="L477" i="9"/>
  <c r="U476" i="9"/>
  <c r="O476" i="9"/>
  <c r="L476" i="9"/>
  <c r="U475" i="9"/>
  <c r="O475" i="9"/>
  <c r="L475" i="9"/>
  <c r="U474" i="9"/>
  <c r="O474" i="9"/>
  <c r="L474" i="9"/>
  <c r="U473" i="9"/>
  <c r="O473" i="9"/>
  <c r="L473" i="9"/>
  <c r="U472" i="9"/>
  <c r="O472" i="9"/>
  <c r="L472" i="9"/>
  <c r="U471" i="9"/>
  <c r="O471" i="9"/>
  <c r="L471" i="9"/>
  <c r="U470" i="9"/>
  <c r="O470" i="9"/>
  <c r="L470" i="9"/>
  <c r="U469" i="9"/>
  <c r="O469" i="9"/>
  <c r="L469" i="9"/>
  <c r="U468" i="9"/>
  <c r="O468" i="9"/>
  <c r="L468" i="9"/>
  <c r="U467" i="9"/>
  <c r="O467" i="9"/>
  <c r="L467" i="9"/>
  <c r="U466" i="9"/>
  <c r="O466" i="9"/>
  <c r="L466" i="9"/>
  <c r="U465" i="9"/>
  <c r="O465" i="9"/>
  <c r="L465" i="9"/>
  <c r="U464" i="9"/>
  <c r="O464" i="9"/>
  <c r="L464" i="9"/>
  <c r="U463" i="9"/>
  <c r="O463" i="9"/>
  <c r="L463" i="9"/>
  <c r="U462" i="9"/>
  <c r="O462" i="9"/>
  <c r="L462" i="9"/>
  <c r="U461" i="9"/>
  <c r="O461" i="9"/>
  <c r="L461" i="9"/>
  <c r="U460" i="9"/>
  <c r="O460" i="9"/>
  <c r="L460" i="9"/>
  <c r="U459" i="9"/>
  <c r="O459" i="9"/>
  <c r="L459" i="9"/>
  <c r="U458" i="9"/>
  <c r="O458" i="9"/>
  <c r="L458" i="9"/>
  <c r="U457" i="9"/>
  <c r="O457" i="9"/>
  <c r="L457" i="9"/>
  <c r="U456" i="9"/>
  <c r="O456" i="9"/>
  <c r="L456" i="9"/>
  <c r="U455" i="9"/>
  <c r="O455" i="9"/>
  <c r="L455" i="9"/>
  <c r="U454" i="9"/>
  <c r="O454" i="9"/>
  <c r="L454" i="9"/>
  <c r="U453" i="9"/>
  <c r="O453" i="9"/>
  <c r="L453" i="9"/>
  <c r="U452" i="9"/>
  <c r="O452" i="9"/>
  <c r="L452" i="9"/>
  <c r="U451" i="9"/>
  <c r="O451" i="9"/>
  <c r="L451" i="9"/>
  <c r="U450" i="9"/>
  <c r="O450" i="9"/>
  <c r="L450" i="9"/>
  <c r="U449" i="9"/>
  <c r="O449" i="9"/>
  <c r="L449" i="9"/>
  <c r="U448" i="9"/>
  <c r="O448" i="9"/>
  <c r="L448" i="9"/>
  <c r="U447" i="9"/>
  <c r="O447" i="9"/>
  <c r="L447" i="9"/>
  <c r="U446" i="9"/>
  <c r="O446" i="9"/>
  <c r="L446" i="9"/>
  <c r="U445" i="9"/>
  <c r="O445" i="9"/>
  <c r="L445" i="9"/>
  <c r="U444" i="9"/>
  <c r="O444" i="9"/>
  <c r="L444" i="9"/>
  <c r="U443" i="9"/>
  <c r="O443" i="9"/>
  <c r="L443" i="9"/>
  <c r="U442" i="9"/>
  <c r="O442" i="9"/>
  <c r="L442" i="9"/>
  <c r="U441" i="9"/>
  <c r="O441" i="9"/>
  <c r="L441" i="9"/>
  <c r="U440" i="9"/>
  <c r="O440" i="9"/>
  <c r="L440" i="9"/>
  <c r="U439" i="9"/>
  <c r="O439" i="9"/>
  <c r="L439" i="9"/>
  <c r="U438" i="9"/>
  <c r="O438" i="9"/>
  <c r="L438" i="9"/>
  <c r="U437" i="9"/>
  <c r="O437" i="9"/>
  <c r="L437" i="9"/>
  <c r="U436" i="9"/>
  <c r="O436" i="9"/>
  <c r="L436" i="9"/>
  <c r="U435" i="9"/>
  <c r="O435" i="9"/>
  <c r="L435" i="9"/>
  <c r="U434" i="9"/>
  <c r="O434" i="9"/>
  <c r="L434" i="9"/>
  <c r="U433" i="9"/>
  <c r="O433" i="9"/>
  <c r="L433" i="9"/>
  <c r="U432" i="9"/>
  <c r="O432" i="9"/>
  <c r="L432" i="9"/>
  <c r="U431" i="9"/>
  <c r="O431" i="9"/>
  <c r="L431" i="9"/>
  <c r="U430" i="9"/>
  <c r="O430" i="9"/>
  <c r="L430" i="9"/>
  <c r="U429" i="9"/>
  <c r="O429" i="9"/>
  <c r="L429" i="9"/>
  <c r="U428" i="9"/>
  <c r="O428" i="9"/>
  <c r="L428" i="9"/>
  <c r="U427" i="9"/>
  <c r="O427" i="9"/>
  <c r="L427" i="9"/>
  <c r="U426" i="9"/>
  <c r="O426" i="9"/>
  <c r="L426" i="9"/>
  <c r="U425" i="9"/>
  <c r="O425" i="9"/>
  <c r="L425" i="9"/>
  <c r="U424" i="9"/>
  <c r="O424" i="9"/>
  <c r="L424" i="9"/>
  <c r="U423" i="9"/>
  <c r="O423" i="9"/>
  <c r="L423" i="9"/>
  <c r="U422" i="9"/>
  <c r="O422" i="9"/>
  <c r="L422" i="9"/>
  <c r="U421" i="9"/>
  <c r="O421" i="9"/>
  <c r="L421" i="9"/>
  <c r="U420" i="9"/>
  <c r="O420" i="9"/>
  <c r="L420" i="9"/>
  <c r="U419" i="9"/>
  <c r="O419" i="9"/>
  <c r="L419" i="9"/>
  <c r="U418" i="9"/>
  <c r="O418" i="9"/>
  <c r="L418" i="9"/>
  <c r="U417" i="9"/>
  <c r="O417" i="9"/>
  <c r="L417" i="9"/>
  <c r="U416" i="9"/>
  <c r="O416" i="9"/>
  <c r="L416" i="9"/>
  <c r="U415" i="9"/>
  <c r="O415" i="9"/>
  <c r="L415" i="9"/>
  <c r="U414" i="9"/>
  <c r="O414" i="9"/>
  <c r="L414" i="9"/>
  <c r="U413" i="9"/>
  <c r="O413" i="9"/>
  <c r="L413" i="9"/>
  <c r="U412" i="9"/>
  <c r="O412" i="9"/>
  <c r="L412" i="9"/>
  <c r="U411" i="9"/>
  <c r="O411" i="9"/>
  <c r="L411" i="9"/>
  <c r="U410" i="9"/>
  <c r="O410" i="9"/>
  <c r="L410" i="9"/>
  <c r="U409" i="9"/>
  <c r="O409" i="9"/>
  <c r="L409" i="9"/>
  <c r="U408" i="9"/>
  <c r="O408" i="9"/>
  <c r="L408" i="9"/>
  <c r="U407" i="9"/>
  <c r="O407" i="9"/>
  <c r="L407" i="9"/>
  <c r="U406" i="9"/>
  <c r="O406" i="9"/>
  <c r="L406" i="9"/>
  <c r="U405" i="9"/>
  <c r="O405" i="9"/>
  <c r="L405" i="9"/>
  <c r="U404" i="9"/>
  <c r="O404" i="9"/>
  <c r="L404" i="9"/>
  <c r="U403" i="9"/>
  <c r="O403" i="9"/>
  <c r="L403" i="9"/>
  <c r="U402" i="9"/>
  <c r="O402" i="9"/>
  <c r="L402" i="9"/>
  <c r="U401" i="9"/>
  <c r="O401" i="9"/>
  <c r="L401" i="9"/>
  <c r="U400" i="9"/>
  <c r="O400" i="9"/>
  <c r="L400" i="9"/>
  <c r="U399" i="9"/>
  <c r="O399" i="9"/>
  <c r="L399" i="9"/>
  <c r="U398" i="9"/>
  <c r="O398" i="9"/>
  <c r="L398" i="9"/>
  <c r="U397" i="9"/>
  <c r="O397" i="9"/>
  <c r="L397" i="9"/>
  <c r="U396" i="9"/>
  <c r="O396" i="9"/>
  <c r="L396" i="9"/>
  <c r="U395" i="9"/>
  <c r="O395" i="9"/>
  <c r="L395" i="9"/>
  <c r="U394" i="9"/>
  <c r="O394" i="9"/>
  <c r="L394" i="9"/>
  <c r="U393" i="9"/>
  <c r="O393" i="9"/>
  <c r="L393" i="9"/>
  <c r="U392" i="9"/>
  <c r="O392" i="9"/>
  <c r="L392" i="9"/>
  <c r="U391" i="9"/>
  <c r="O391" i="9"/>
  <c r="L391" i="9"/>
  <c r="U390" i="9"/>
  <c r="O390" i="9"/>
  <c r="L390" i="9"/>
  <c r="U389" i="9"/>
  <c r="O389" i="9"/>
  <c r="L389" i="9"/>
  <c r="U388" i="9"/>
  <c r="O388" i="9"/>
  <c r="L388" i="9"/>
  <c r="U387" i="9"/>
  <c r="O387" i="9"/>
  <c r="L387" i="9"/>
  <c r="U386" i="9"/>
  <c r="O386" i="9"/>
  <c r="L386" i="9"/>
  <c r="U385" i="9"/>
  <c r="O385" i="9"/>
  <c r="L385" i="9"/>
  <c r="U384" i="9"/>
  <c r="O384" i="9"/>
  <c r="L384" i="9"/>
  <c r="U383" i="9"/>
  <c r="O383" i="9"/>
  <c r="L383" i="9"/>
  <c r="U382" i="9"/>
  <c r="O382" i="9"/>
  <c r="L382" i="9"/>
  <c r="U381" i="9"/>
  <c r="O381" i="9"/>
  <c r="L381" i="9"/>
  <c r="U380" i="9"/>
  <c r="O380" i="9"/>
  <c r="L380" i="9"/>
  <c r="U379" i="9"/>
  <c r="O379" i="9"/>
  <c r="L379" i="9"/>
  <c r="U378" i="9"/>
  <c r="O378" i="9"/>
  <c r="L378" i="9"/>
  <c r="U377" i="9"/>
  <c r="O377" i="9"/>
  <c r="L377" i="9"/>
  <c r="U376" i="9"/>
  <c r="O376" i="9"/>
  <c r="L376" i="9"/>
  <c r="U375" i="9"/>
  <c r="O375" i="9"/>
  <c r="L375" i="9"/>
  <c r="U374" i="9"/>
  <c r="O374" i="9"/>
  <c r="L374" i="9"/>
  <c r="U373" i="9"/>
  <c r="O373" i="9"/>
  <c r="L373" i="9"/>
  <c r="U372" i="9"/>
  <c r="O372" i="9"/>
  <c r="L372" i="9"/>
  <c r="U371" i="9"/>
  <c r="O371" i="9"/>
  <c r="L371" i="9"/>
  <c r="U370" i="9"/>
  <c r="O370" i="9"/>
  <c r="L370" i="9"/>
  <c r="U369" i="9"/>
  <c r="O369" i="9"/>
  <c r="L369" i="9"/>
  <c r="U368" i="9"/>
  <c r="O368" i="9"/>
  <c r="L368" i="9"/>
  <c r="U367" i="9"/>
  <c r="O367" i="9"/>
  <c r="L367" i="9"/>
  <c r="U366" i="9"/>
  <c r="O366" i="9"/>
  <c r="L366" i="9"/>
  <c r="U365" i="9"/>
  <c r="O365" i="9"/>
  <c r="L365" i="9"/>
  <c r="U364" i="9"/>
  <c r="O364" i="9"/>
  <c r="L364" i="9"/>
  <c r="U363" i="9"/>
  <c r="O363" i="9"/>
  <c r="L363" i="9"/>
  <c r="U362" i="9"/>
  <c r="O362" i="9"/>
  <c r="L362" i="9"/>
  <c r="U361" i="9"/>
  <c r="O361" i="9"/>
  <c r="L361" i="9"/>
  <c r="U360" i="9"/>
  <c r="O360" i="9"/>
  <c r="L360" i="9"/>
  <c r="U359" i="9"/>
  <c r="O359" i="9"/>
  <c r="L359" i="9"/>
  <c r="U358" i="9"/>
  <c r="O358" i="9"/>
  <c r="L358" i="9"/>
  <c r="U357" i="9"/>
  <c r="O357" i="9"/>
  <c r="L357" i="9"/>
  <c r="U356" i="9"/>
  <c r="O356" i="9"/>
  <c r="L356" i="9"/>
  <c r="U355" i="9"/>
  <c r="O355" i="9"/>
  <c r="L355" i="9"/>
  <c r="U354" i="9"/>
  <c r="O354" i="9"/>
  <c r="L354" i="9"/>
  <c r="U353" i="9"/>
  <c r="O353" i="9"/>
  <c r="L353" i="9"/>
  <c r="U352" i="9"/>
  <c r="O352" i="9"/>
  <c r="L352" i="9"/>
  <c r="U351" i="9"/>
  <c r="O351" i="9"/>
  <c r="L351" i="9"/>
  <c r="U350" i="9"/>
  <c r="O350" i="9"/>
  <c r="L350" i="9"/>
  <c r="U349" i="9"/>
  <c r="O349" i="9"/>
  <c r="L349" i="9"/>
  <c r="U348" i="9"/>
  <c r="O348" i="9"/>
  <c r="L348" i="9"/>
  <c r="U347" i="9"/>
  <c r="O347" i="9"/>
  <c r="L347" i="9"/>
  <c r="U346" i="9"/>
  <c r="O346" i="9"/>
  <c r="L346" i="9"/>
  <c r="U345" i="9"/>
  <c r="O345" i="9"/>
  <c r="L345" i="9"/>
  <c r="U344" i="9"/>
  <c r="O344" i="9"/>
  <c r="L344" i="9"/>
  <c r="U343" i="9"/>
  <c r="O343" i="9"/>
  <c r="L343" i="9"/>
  <c r="U342" i="9"/>
  <c r="O342" i="9"/>
  <c r="L342" i="9"/>
  <c r="U341" i="9"/>
  <c r="O341" i="9"/>
  <c r="L341" i="9"/>
  <c r="U340" i="9"/>
  <c r="O340" i="9"/>
  <c r="L340" i="9"/>
  <c r="U339" i="9"/>
  <c r="O339" i="9"/>
  <c r="L339" i="9"/>
  <c r="U338" i="9"/>
  <c r="O338" i="9"/>
  <c r="L338" i="9"/>
  <c r="U337" i="9"/>
  <c r="O337" i="9"/>
  <c r="L337" i="9"/>
  <c r="U336" i="9"/>
  <c r="O336" i="9"/>
  <c r="L336" i="9"/>
  <c r="U335" i="9"/>
  <c r="O335" i="9"/>
  <c r="L335" i="9"/>
  <c r="U334" i="9"/>
  <c r="O334" i="9"/>
  <c r="L334" i="9"/>
  <c r="U333" i="9"/>
  <c r="O333" i="9"/>
  <c r="L333" i="9"/>
  <c r="U332" i="9"/>
  <c r="O332" i="9"/>
  <c r="L332" i="9"/>
  <c r="U331" i="9"/>
  <c r="O331" i="9"/>
  <c r="L331" i="9"/>
  <c r="U330" i="9"/>
  <c r="O330" i="9"/>
  <c r="L330" i="9"/>
  <c r="U329" i="9"/>
  <c r="O329" i="9"/>
  <c r="L329" i="9"/>
  <c r="U328" i="9"/>
  <c r="O328" i="9"/>
  <c r="L328" i="9"/>
  <c r="U327" i="9"/>
  <c r="O327" i="9"/>
  <c r="L327" i="9"/>
  <c r="U326" i="9"/>
  <c r="O326" i="9"/>
  <c r="L326" i="9"/>
  <c r="U325" i="9"/>
  <c r="O325" i="9"/>
  <c r="L325" i="9"/>
  <c r="U324" i="9"/>
  <c r="O324" i="9"/>
  <c r="L324" i="9"/>
  <c r="U323" i="9"/>
  <c r="O323" i="9"/>
  <c r="L323" i="9"/>
  <c r="U322" i="9"/>
  <c r="O322" i="9"/>
  <c r="L322" i="9"/>
  <c r="U321" i="9"/>
  <c r="O321" i="9"/>
  <c r="L321" i="9"/>
  <c r="U320" i="9"/>
  <c r="O320" i="9"/>
  <c r="L320" i="9"/>
  <c r="U319" i="9"/>
  <c r="O319" i="9"/>
  <c r="L319" i="9"/>
  <c r="U318" i="9"/>
  <c r="O318" i="9"/>
  <c r="L318" i="9"/>
  <c r="U317" i="9"/>
  <c r="O317" i="9"/>
  <c r="L317" i="9"/>
  <c r="U316" i="9"/>
  <c r="O316" i="9"/>
  <c r="L316" i="9"/>
  <c r="U315" i="9"/>
  <c r="O315" i="9"/>
  <c r="L315" i="9"/>
  <c r="U314" i="9"/>
  <c r="O314" i="9"/>
  <c r="L314" i="9"/>
  <c r="U313" i="9"/>
  <c r="O313" i="9"/>
  <c r="L313" i="9"/>
  <c r="U312" i="9"/>
  <c r="O312" i="9"/>
  <c r="L312" i="9"/>
  <c r="U311" i="9"/>
  <c r="O311" i="9"/>
  <c r="L311" i="9"/>
  <c r="U310" i="9"/>
  <c r="O310" i="9"/>
  <c r="L310" i="9"/>
  <c r="U309" i="9"/>
  <c r="O309" i="9"/>
  <c r="L309" i="9"/>
  <c r="U308" i="9"/>
  <c r="O308" i="9"/>
  <c r="L308" i="9"/>
  <c r="U307" i="9"/>
  <c r="O307" i="9"/>
  <c r="L307" i="9"/>
  <c r="U306" i="9"/>
  <c r="O306" i="9"/>
  <c r="L306" i="9"/>
  <c r="U305" i="9"/>
  <c r="O305" i="9"/>
  <c r="L305" i="9"/>
  <c r="U304" i="9"/>
  <c r="O304" i="9"/>
  <c r="L304" i="9"/>
  <c r="U303" i="9"/>
  <c r="O303" i="9"/>
  <c r="L303" i="9"/>
  <c r="U302" i="9"/>
  <c r="O302" i="9"/>
  <c r="L302" i="9"/>
  <c r="U301" i="9"/>
  <c r="O301" i="9"/>
  <c r="L301" i="9"/>
  <c r="U300" i="9"/>
  <c r="O300" i="9"/>
  <c r="L300" i="9"/>
  <c r="U299" i="9"/>
  <c r="O299" i="9"/>
  <c r="L299" i="9"/>
  <c r="U298" i="9"/>
  <c r="O298" i="9"/>
  <c r="L298" i="9"/>
  <c r="U297" i="9"/>
  <c r="O297" i="9"/>
  <c r="L297" i="9"/>
  <c r="U296" i="9"/>
  <c r="O296" i="9"/>
  <c r="L296" i="9"/>
  <c r="U295" i="9"/>
  <c r="O295" i="9"/>
  <c r="L295" i="9"/>
  <c r="U294" i="9"/>
  <c r="O294" i="9"/>
  <c r="L294" i="9"/>
  <c r="U293" i="9"/>
  <c r="O293" i="9"/>
  <c r="L293" i="9"/>
  <c r="U292" i="9"/>
  <c r="O292" i="9"/>
  <c r="L292" i="9"/>
  <c r="U291" i="9"/>
  <c r="O291" i="9"/>
  <c r="L291" i="9"/>
  <c r="U290" i="9"/>
  <c r="O290" i="9"/>
  <c r="L290" i="9"/>
  <c r="U289" i="9"/>
  <c r="O289" i="9"/>
  <c r="L289" i="9"/>
  <c r="U288" i="9"/>
  <c r="O288" i="9"/>
  <c r="L288" i="9"/>
  <c r="U287" i="9"/>
  <c r="O287" i="9"/>
  <c r="L287" i="9"/>
  <c r="U286" i="9"/>
  <c r="O286" i="9"/>
  <c r="L286" i="9"/>
  <c r="U285" i="9"/>
  <c r="O285" i="9"/>
  <c r="L285" i="9"/>
  <c r="U284" i="9"/>
  <c r="O284" i="9"/>
  <c r="L284" i="9"/>
  <c r="U283" i="9"/>
  <c r="O283" i="9"/>
  <c r="L283" i="9"/>
  <c r="U282" i="9"/>
  <c r="O282" i="9"/>
  <c r="L282" i="9"/>
  <c r="U281" i="9"/>
  <c r="O281" i="9"/>
  <c r="L281" i="9"/>
  <c r="U280" i="9"/>
  <c r="O280" i="9"/>
  <c r="L280" i="9"/>
  <c r="U279" i="9"/>
  <c r="O279" i="9"/>
  <c r="L279" i="9"/>
  <c r="U278" i="9"/>
  <c r="O278" i="9"/>
  <c r="L278" i="9"/>
  <c r="U277" i="9"/>
  <c r="O277" i="9"/>
  <c r="L277" i="9"/>
  <c r="U276" i="9"/>
  <c r="O276" i="9"/>
  <c r="L276" i="9"/>
  <c r="U275" i="9"/>
  <c r="O275" i="9"/>
  <c r="L275" i="9"/>
  <c r="U274" i="9"/>
  <c r="O274" i="9"/>
  <c r="L274" i="9"/>
  <c r="U273" i="9"/>
  <c r="O273" i="9"/>
  <c r="L273" i="9"/>
  <c r="U272" i="9"/>
  <c r="O272" i="9"/>
  <c r="L272" i="9"/>
  <c r="U271" i="9"/>
  <c r="O271" i="9"/>
  <c r="L271" i="9"/>
  <c r="U270" i="9"/>
  <c r="O270" i="9"/>
  <c r="L270" i="9"/>
  <c r="U269" i="9"/>
  <c r="O269" i="9"/>
  <c r="L269" i="9"/>
  <c r="U268" i="9"/>
  <c r="O268" i="9"/>
  <c r="L268" i="9"/>
  <c r="U267" i="9"/>
  <c r="O267" i="9"/>
  <c r="L267" i="9"/>
  <c r="U266" i="9"/>
  <c r="O266" i="9"/>
  <c r="L266" i="9"/>
  <c r="U265" i="9"/>
  <c r="O265" i="9"/>
  <c r="L265" i="9"/>
  <c r="U264" i="9"/>
  <c r="O264" i="9"/>
  <c r="L264" i="9"/>
  <c r="U263" i="9"/>
  <c r="O263" i="9"/>
  <c r="L263" i="9"/>
  <c r="U262" i="9"/>
  <c r="O262" i="9"/>
  <c r="L262" i="9"/>
  <c r="U261" i="9"/>
  <c r="O261" i="9"/>
  <c r="L261" i="9"/>
  <c r="U260" i="9"/>
  <c r="O260" i="9"/>
  <c r="L260" i="9"/>
  <c r="U259" i="9"/>
  <c r="O259" i="9"/>
  <c r="L259" i="9"/>
  <c r="U258" i="9"/>
  <c r="O258" i="9"/>
  <c r="L258" i="9"/>
  <c r="U257" i="9"/>
  <c r="O257" i="9"/>
  <c r="L257" i="9"/>
  <c r="U256" i="9"/>
  <c r="O256" i="9"/>
  <c r="L256" i="9"/>
  <c r="U255" i="9"/>
  <c r="O255" i="9"/>
  <c r="L255" i="9"/>
  <c r="U254" i="9"/>
  <c r="O254" i="9"/>
  <c r="L254" i="9"/>
  <c r="U253" i="9"/>
  <c r="O253" i="9"/>
  <c r="L253" i="9"/>
  <c r="U252" i="9"/>
  <c r="O252" i="9"/>
  <c r="L252" i="9"/>
  <c r="U251" i="9"/>
  <c r="O251" i="9"/>
  <c r="L251" i="9"/>
  <c r="U250" i="9"/>
  <c r="O250" i="9"/>
  <c r="L250" i="9"/>
  <c r="U249" i="9"/>
  <c r="O249" i="9"/>
  <c r="L249" i="9"/>
  <c r="U248" i="9"/>
  <c r="O248" i="9"/>
  <c r="L248" i="9"/>
  <c r="U247" i="9"/>
  <c r="O247" i="9"/>
  <c r="L247" i="9"/>
  <c r="U246" i="9"/>
  <c r="O246" i="9"/>
  <c r="L246" i="9"/>
  <c r="U245" i="9"/>
  <c r="O245" i="9"/>
  <c r="L245" i="9"/>
  <c r="U244" i="9"/>
  <c r="O244" i="9"/>
  <c r="L244" i="9"/>
  <c r="U243" i="9"/>
  <c r="O243" i="9"/>
  <c r="L243" i="9"/>
  <c r="U242" i="9"/>
  <c r="O242" i="9"/>
  <c r="L242" i="9"/>
  <c r="U241" i="9"/>
  <c r="O241" i="9"/>
  <c r="L241" i="9"/>
  <c r="U240" i="9"/>
  <c r="O240" i="9"/>
  <c r="L240" i="9"/>
  <c r="U239" i="9"/>
  <c r="O239" i="9"/>
  <c r="L239" i="9"/>
  <c r="U238" i="9"/>
  <c r="O238" i="9"/>
  <c r="L238" i="9"/>
  <c r="U237" i="9"/>
  <c r="O237" i="9"/>
  <c r="L237" i="9"/>
  <c r="U236" i="9"/>
  <c r="O236" i="9"/>
  <c r="L236" i="9"/>
  <c r="U235" i="9"/>
  <c r="O235" i="9"/>
  <c r="L235" i="9"/>
  <c r="U234" i="9"/>
  <c r="O234" i="9"/>
  <c r="L234" i="9"/>
  <c r="U233" i="9"/>
  <c r="O233" i="9"/>
  <c r="L233" i="9"/>
  <c r="U232" i="9"/>
  <c r="O232" i="9"/>
  <c r="L232" i="9"/>
  <c r="U231" i="9"/>
  <c r="O231" i="9"/>
  <c r="L231" i="9"/>
  <c r="U230" i="9"/>
  <c r="O230" i="9"/>
  <c r="L230" i="9"/>
  <c r="U229" i="9"/>
  <c r="O229" i="9"/>
  <c r="L229" i="9"/>
  <c r="U228" i="9"/>
  <c r="O228" i="9"/>
  <c r="L228" i="9"/>
  <c r="U227" i="9"/>
  <c r="O227" i="9"/>
  <c r="L227" i="9"/>
  <c r="U226" i="9"/>
  <c r="O226" i="9"/>
  <c r="L226" i="9"/>
  <c r="U225" i="9"/>
  <c r="O225" i="9"/>
  <c r="L225" i="9"/>
  <c r="U224" i="9"/>
  <c r="O224" i="9"/>
  <c r="L224" i="9"/>
  <c r="U223" i="9"/>
  <c r="O223" i="9"/>
  <c r="L223" i="9"/>
  <c r="U222" i="9"/>
  <c r="O222" i="9"/>
  <c r="L222" i="9"/>
  <c r="U221" i="9"/>
  <c r="O221" i="9"/>
  <c r="L221" i="9"/>
  <c r="U220" i="9"/>
  <c r="O220" i="9"/>
  <c r="L220" i="9"/>
  <c r="U219" i="9"/>
  <c r="O219" i="9"/>
  <c r="L219" i="9"/>
  <c r="U218" i="9"/>
  <c r="O218" i="9"/>
  <c r="L218" i="9"/>
  <c r="U217" i="9"/>
  <c r="O217" i="9"/>
  <c r="L217" i="9"/>
  <c r="U216" i="9"/>
  <c r="O216" i="9"/>
  <c r="L216" i="9"/>
  <c r="U215" i="9"/>
  <c r="O215" i="9"/>
  <c r="L215" i="9"/>
  <c r="U214" i="9"/>
  <c r="O214" i="9"/>
  <c r="L214" i="9"/>
  <c r="U213" i="9"/>
  <c r="O213" i="9"/>
  <c r="L213" i="9"/>
  <c r="U212" i="9"/>
  <c r="O212" i="9"/>
  <c r="L212" i="9"/>
  <c r="U211" i="9"/>
  <c r="O211" i="9"/>
  <c r="L211" i="9"/>
  <c r="U210" i="9"/>
  <c r="O210" i="9"/>
  <c r="L210" i="9"/>
  <c r="U209" i="9"/>
  <c r="O209" i="9"/>
  <c r="L209" i="9"/>
  <c r="U208" i="9"/>
  <c r="O208" i="9"/>
  <c r="L208" i="9"/>
  <c r="U207" i="9"/>
  <c r="O207" i="9"/>
  <c r="L207" i="9"/>
  <c r="U206" i="9"/>
  <c r="O206" i="9"/>
  <c r="L206" i="9"/>
  <c r="U205" i="9"/>
  <c r="O205" i="9"/>
  <c r="L205" i="9"/>
  <c r="U204" i="9"/>
  <c r="O204" i="9"/>
  <c r="L204" i="9"/>
  <c r="U203" i="9"/>
  <c r="O203" i="9"/>
  <c r="L203" i="9"/>
  <c r="U202" i="9"/>
  <c r="O202" i="9"/>
  <c r="L202" i="9"/>
  <c r="U201" i="9"/>
  <c r="O201" i="9"/>
  <c r="L201" i="9"/>
  <c r="U200" i="9"/>
  <c r="O200" i="9"/>
  <c r="L200" i="9"/>
  <c r="U199" i="9"/>
  <c r="O199" i="9"/>
  <c r="L199" i="9"/>
  <c r="U198" i="9"/>
  <c r="O198" i="9"/>
  <c r="L198" i="9"/>
  <c r="U197" i="9"/>
  <c r="O197" i="9"/>
  <c r="L197" i="9"/>
  <c r="U196" i="9"/>
  <c r="O196" i="9"/>
  <c r="L196" i="9"/>
  <c r="U195" i="9"/>
  <c r="O195" i="9"/>
  <c r="L195" i="9"/>
  <c r="U194" i="9"/>
  <c r="O194" i="9"/>
  <c r="L194" i="9"/>
  <c r="U193" i="9"/>
  <c r="O193" i="9"/>
  <c r="L193" i="9"/>
  <c r="U192" i="9"/>
  <c r="O192" i="9"/>
  <c r="L192" i="9"/>
  <c r="U191" i="9"/>
  <c r="O191" i="9"/>
  <c r="L191" i="9"/>
  <c r="U190" i="9"/>
  <c r="O190" i="9"/>
  <c r="L190" i="9"/>
  <c r="U189" i="9"/>
  <c r="O189" i="9"/>
  <c r="L189" i="9"/>
  <c r="U188" i="9"/>
  <c r="O188" i="9"/>
  <c r="L188" i="9"/>
  <c r="U187" i="9"/>
  <c r="O187" i="9"/>
  <c r="L187" i="9"/>
  <c r="U186" i="9"/>
  <c r="O186" i="9"/>
  <c r="L186" i="9"/>
  <c r="U185" i="9"/>
  <c r="O185" i="9"/>
  <c r="L185" i="9"/>
  <c r="U184" i="9"/>
  <c r="O184" i="9"/>
  <c r="L184" i="9"/>
  <c r="U183" i="9"/>
  <c r="O183" i="9"/>
  <c r="L183" i="9"/>
  <c r="U182" i="9"/>
  <c r="O182" i="9"/>
  <c r="L182" i="9"/>
  <c r="U181" i="9"/>
  <c r="O181" i="9"/>
  <c r="L181" i="9"/>
  <c r="U180" i="9"/>
  <c r="O180" i="9"/>
  <c r="L180" i="9"/>
  <c r="U179" i="9"/>
  <c r="O179" i="9"/>
  <c r="L179" i="9"/>
  <c r="U178" i="9"/>
  <c r="O178" i="9"/>
  <c r="L178" i="9"/>
  <c r="U177" i="9"/>
  <c r="O177" i="9"/>
  <c r="L177" i="9"/>
  <c r="U176" i="9"/>
  <c r="O176" i="9"/>
  <c r="L176" i="9"/>
  <c r="U175" i="9"/>
  <c r="O175" i="9"/>
  <c r="L175" i="9"/>
  <c r="U174" i="9"/>
  <c r="O174" i="9"/>
  <c r="L174" i="9"/>
  <c r="U173" i="9"/>
  <c r="O173" i="9"/>
  <c r="L173" i="9"/>
  <c r="U172" i="9"/>
  <c r="O172" i="9"/>
  <c r="L172" i="9"/>
  <c r="U171" i="9"/>
  <c r="O171" i="9"/>
  <c r="L171" i="9"/>
  <c r="U170" i="9"/>
  <c r="O170" i="9"/>
  <c r="L170" i="9"/>
  <c r="U169" i="9"/>
  <c r="O169" i="9"/>
  <c r="L169" i="9"/>
  <c r="U168" i="9"/>
  <c r="O168" i="9"/>
  <c r="L168" i="9"/>
  <c r="U167" i="9"/>
  <c r="O167" i="9"/>
  <c r="L167" i="9"/>
  <c r="U166" i="9"/>
  <c r="O166" i="9"/>
  <c r="L166" i="9"/>
  <c r="U165" i="9"/>
  <c r="O165" i="9"/>
  <c r="L165" i="9"/>
  <c r="U164" i="9"/>
  <c r="O164" i="9"/>
  <c r="L164" i="9"/>
  <c r="U163" i="9"/>
  <c r="O163" i="9"/>
  <c r="L163" i="9"/>
  <c r="U162" i="9"/>
  <c r="O162" i="9"/>
  <c r="L162" i="9"/>
  <c r="U161" i="9"/>
  <c r="O161" i="9"/>
  <c r="L161" i="9"/>
  <c r="U160" i="9"/>
  <c r="O160" i="9"/>
  <c r="L160" i="9"/>
  <c r="U159" i="9"/>
  <c r="O159" i="9"/>
  <c r="L159" i="9"/>
  <c r="U158" i="9"/>
  <c r="O158" i="9"/>
  <c r="L158" i="9"/>
  <c r="U157" i="9"/>
  <c r="O157" i="9"/>
  <c r="L157" i="9"/>
  <c r="U156" i="9"/>
  <c r="O156" i="9"/>
  <c r="L156" i="9"/>
  <c r="U155" i="9"/>
  <c r="O155" i="9"/>
  <c r="L155" i="9"/>
  <c r="U154" i="9"/>
  <c r="O154" i="9"/>
  <c r="L154" i="9"/>
  <c r="U153" i="9"/>
  <c r="O153" i="9"/>
  <c r="L153" i="9"/>
  <c r="U152" i="9"/>
  <c r="O152" i="9"/>
  <c r="L152" i="9"/>
  <c r="U151" i="9"/>
  <c r="O151" i="9"/>
  <c r="L151" i="9"/>
  <c r="U150" i="9"/>
  <c r="O150" i="9"/>
  <c r="L150" i="9"/>
  <c r="U149" i="9"/>
  <c r="O149" i="9"/>
  <c r="L149" i="9"/>
  <c r="U148" i="9"/>
  <c r="O148" i="9"/>
  <c r="L148" i="9"/>
  <c r="U147" i="9"/>
  <c r="O147" i="9"/>
  <c r="L147" i="9"/>
  <c r="U146" i="9"/>
  <c r="O146" i="9"/>
  <c r="L146" i="9"/>
  <c r="U145" i="9"/>
  <c r="O145" i="9"/>
  <c r="L145" i="9"/>
  <c r="U144" i="9"/>
  <c r="O144" i="9"/>
  <c r="L144" i="9"/>
  <c r="U143" i="9"/>
  <c r="O143" i="9"/>
  <c r="L143" i="9"/>
  <c r="U142" i="9"/>
  <c r="O142" i="9"/>
  <c r="L142" i="9"/>
  <c r="U141" i="9"/>
  <c r="O141" i="9"/>
  <c r="L141" i="9"/>
  <c r="U140" i="9"/>
  <c r="O140" i="9"/>
  <c r="L140" i="9"/>
  <c r="U139" i="9"/>
  <c r="O139" i="9"/>
  <c r="L139" i="9"/>
  <c r="U138" i="9"/>
  <c r="O138" i="9"/>
  <c r="L138" i="9"/>
  <c r="U137" i="9"/>
  <c r="O137" i="9"/>
  <c r="L137" i="9"/>
  <c r="U136" i="9"/>
  <c r="O136" i="9"/>
  <c r="L136" i="9"/>
  <c r="U135" i="9"/>
  <c r="O135" i="9"/>
  <c r="L135" i="9"/>
  <c r="U134" i="9"/>
  <c r="O134" i="9"/>
  <c r="L134" i="9"/>
  <c r="U133" i="9"/>
  <c r="O133" i="9"/>
  <c r="L133" i="9"/>
  <c r="U132" i="9"/>
  <c r="O132" i="9"/>
  <c r="L132" i="9"/>
  <c r="U131" i="9"/>
  <c r="O131" i="9"/>
  <c r="L131" i="9"/>
  <c r="U130" i="9"/>
  <c r="O130" i="9"/>
  <c r="L130" i="9"/>
  <c r="U129" i="9"/>
  <c r="O129" i="9"/>
  <c r="L129" i="9"/>
  <c r="U128" i="9"/>
  <c r="O128" i="9"/>
  <c r="L128" i="9"/>
  <c r="U127" i="9"/>
  <c r="O127" i="9"/>
  <c r="L127" i="9"/>
  <c r="U126" i="9"/>
  <c r="O126" i="9"/>
  <c r="L126" i="9"/>
  <c r="U125" i="9"/>
  <c r="O125" i="9"/>
  <c r="L125" i="9"/>
  <c r="U124" i="9"/>
  <c r="O124" i="9"/>
  <c r="L124" i="9"/>
  <c r="U123" i="9"/>
  <c r="O123" i="9"/>
  <c r="L123" i="9"/>
  <c r="U122" i="9"/>
  <c r="O122" i="9"/>
  <c r="L122" i="9"/>
  <c r="U121" i="9"/>
  <c r="O121" i="9"/>
  <c r="L121" i="9"/>
  <c r="U120" i="9"/>
  <c r="O120" i="9"/>
  <c r="L120" i="9"/>
  <c r="U119" i="9"/>
  <c r="O119" i="9"/>
  <c r="L119" i="9"/>
  <c r="U118" i="9"/>
  <c r="O118" i="9"/>
  <c r="L118" i="9"/>
  <c r="U117" i="9"/>
  <c r="O117" i="9"/>
  <c r="L117" i="9"/>
  <c r="U116" i="9"/>
  <c r="O116" i="9"/>
  <c r="L116" i="9"/>
  <c r="U115" i="9"/>
  <c r="O115" i="9"/>
  <c r="L115" i="9"/>
  <c r="U114" i="9"/>
  <c r="O114" i="9"/>
  <c r="L114" i="9"/>
  <c r="U113" i="9"/>
  <c r="O113" i="9"/>
  <c r="L113" i="9"/>
  <c r="U112" i="9"/>
  <c r="O112" i="9"/>
  <c r="L112" i="9"/>
  <c r="U111" i="9"/>
  <c r="O111" i="9"/>
  <c r="L111" i="9"/>
  <c r="U110" i="9"/>
  <c r="O110" i="9"/>
  <c r="L110" i="9"/>
  <c r="U109" i="9"/>
  <c r="O109" i="9"/>
  <c r="L109" i="9"/>
  <c r="U108" i="9"/>
  <c r="O108" i="9"/>
  <c r="L108" i="9"/>
  <c r="U107" i="9"/>
  <c r="O107" i="9"/>
  <c r="L107" i="9"/>
  <c r="U106" i="9"/>
  <c r="O106" i="9"/>
  <c r="L106" i="9"/>
  <c r="U105" i="9"/>
  <c r="O105" i="9"/>
  <c r="L105" i="9"/>
  <c r="U104" i="9"/>
  <c r="O104" i="9"/>
  <c r="L104" i="9"/>
  <c r="U103" i="9"/>
  <c r="O103" i="9"/>
  <c r="L103" i="9"/>
  <c r="U102" i="9"/>
  <c r="O102" i="9"/>
  <c r="L102" i="9"/>
  <c r="U101" i="9"/>
  <c r="O101" i="9"/>
  <c r="L101" i="9"/>
  <c r="U100" i="9"/>
  <c r="O100" i="9"/>
  <c r="L100" i="9"/>
  <c r="U99" i="9"/>
  <c r="O99" i="9"/>
  <c r="L99" i="9"/>
  <c r="U98" i="9"/>
  <c r="O98" i="9"/>
  <c r="L98" i="9"/>
  <c r="U97" i="9"/>
  <c r="O97" i="9"/>
  <c r="L97" i="9"/>
  <c r="U96" i="9"/>
  <c r="O96" i="9"/>
  <c r="L96" i="9"/>
  <c r="U95" i="9"/>
  <c r="O95" i="9"/>
  <c r="L95" i="9"/>
  <c r="U94" i="9"/>
  <c r="O94" i="9"/>
  <c r="L94" i="9"/>
  <c r="U93" i="9"/>
  <c r="O93" i="9"/>
  <c r="L93" i="9"/>
  <c r="U92" i="9"/>
  <c r="O92" i="9"/>
  <c r="L92" i="9"/>
  <c r="U91" i="9"/>
  <c r="O91" i="9"/>
  <c r="L91" i="9"/>
  <c r="U90" i="9"/>
  <c r="O90" i="9"/>
  <c r="L90" i="9"/>
  <c r="U89" i="9"/>
  <c r="O89" i="9"/>
  <c r="L89" i="9"/>
  <c r="U88" i="9"/>
  <c r="O88" i="9"/>
  <c r="L88" i="9"/>
  <c r="U87" i="9"/>
  <c r="O87" i="9"/>
  <c r="L87" i="9"/>
  <c r="U86" i="9"/>
  <c r="O86" i="9"/>
  <c r="L86" i="9"/>
  <c r="U85" i="9"/>
  <c r="O85" i="9"/>
  <c r="L85" i="9"/>
  <c r="U84" i="9"/>
  <c r="O84" i="9"/>
  <c r="L84" i="9"/>
  <c r="U83" i="9"/>
  <c r="O83" i="9"/>
  <c r="L83" i="9"/>
  <c r="U82" i="9"/>
  <c r="O82" i="9"/>
  <c r="L82" i="9"/>
  <c r="U81" i="9"/>
  <c r="O81" i="9"/>
  <c r="L81" i="9"/>
  <c r="U80" i="9"/>
  <c r="O80" i="9"/>
  <c r="L80" i="9"/>
  <c r="U79" i="9"/>
  <c r="O79" i="9"/>
  <c r="L79" i="9"/>
  <c r="U78" i="9"/>
  <c r="O78" i="9"/>
  <c r="L78" i="9"/>
  <c r="U77" i="9"/>
  <c r="O77" i="9"/>
  <c r="L77" i="9"/>
  <c r="U76" i="9"/>
  <c r="O76" i="9"/>
  <c r="L76" i="9"/>
  <c r="U75" i="9"/>
  <c r="O75" i="9"/>
  <c r="L75" i="9"/>
  <c r="U74" i="9"/>
  <c r="O74" i="9"/>
  <c r="L74" i="9"/>
  <c r="U73" i="9"/>
  <c r="O73" i="9"/>
  <c r="L73" i="9"/>
  <c r="U72" i="9"/>
  <c r="O72" i="9"/>
  <c r="L72" i="9"/>
  <c r="U71" i="9"/>
  <c r="O71" i="9"/>
  <c r="L71" i="9"/>
  <c r="U70" i="9"/>
  <c r="O70" i="9"/>
  <c r="L70" i="9"/>
  <c r="U69" i="9"/>
  <c r="O69" i="9"/>
  <c r="L69" i="9"/>
  <c r="U68" i="9"/>
  <c r="O68" i="9"/>
  <c r="L68" i="9"/>
  <c r="U67" i="9"/>
  <c r="O67" i="9"/>
  <c r="L67" i="9"/>
  <c r="U66" i="9"/>
  <c r="O66" i="9"/>
  <c r="L66" i="9"/>
  <c r="U65" i="9"/>
  <c r="O65" i="9"/>
  <c r="L65" i="9"/>
  <c r="U64" i="9"/>
  <c r="O64" i="9"/>
  <c r="L64" i="9"/>
  <c r="U63" i="9"/>
  <c r="O63" i="9"/>
  <c r="L63" i="9"/>
  <c r="U62" i="9"/>
  <c r="O62" i="9"/>
  <c r="L62" i="9"/>
  <c r="U61" i="9"/>
  <c r="O61" i="9"/>
  <c r="L61" i="9"/>
  <c r="U60" i="9"/>
  <c r="O60" i="9"/>
  <c r="L60" i="9"/>
  <c r="U59" i="9"/>
  <c r="O59" i="9"/>
  <c r="L59" i="9"/>
  <c r="U58" i="9"/>
  <c r="O58" i="9"/>
  <c r="L58" i="9"/>
  <c r="U57" i="9"/>
  <c r="O57" i="9"/>
  <c r="L57" i="9"/>
  <c r="U56" i="9"/>
  <c r="O56" i="9"/>
  <c r="L56" i="9"/>
  <c r="U55" i="9"/>
  <c r="O55" i="9"/>
  <c r="L55" i="9"/>
  <c r="U54" i="9"/>
  <c r="O54" i="9"/>
  <c r="L54" i="9"/>
  <c r="U53" i="9"/>
  <c r="O53" i="9"/>
  <c r="L53" i="9"/>
  <c r="U52" i="9"/>
  <c r="O52" i="9"/>
  <c r="L52" i="9"/>
  <c r="U51" i="9"/>
  <c r="O51" i="9"/>
  <c r="L51" i="9"/>
  <c r="U50" i="9"/>
  <c r="O50" i="9"/>
  <c r="L50" i="9"/>
  <c r="U49" i="9"/>
  <c r="O49" i="9"/>
  <c r="L49" i="9"/>
  <c r="U48" i="9"/>
  <c r="O48" i="9"/>
  <c r="L48" i="9"/>
  <c r="U47" i="9"/>
  <c r="O47" i="9"/>
  <c r="L47" i="9"/>
  <c r="U46" i="9"/>
  <c r="O46" i="9"/>
  <c r="L46" i="9"/>
  <c r="U45" i="9"/>
  <c r="O45" i="9"/>
  <c r="L45" i="9"/>
  <c r="U44" i="9"/>
  <c r="O44" i="9"/>
  <c r="L44" i="9"/>
  <c r="U43" i="9"/>
  <c r="O43" i="9"/>
  <c r="L43" i="9"/>
  <c r="U42" i="9"/>
  <c r="O42" i="9"/>
  <c r="L42" i="9"/>
  <c r="U41" i="9"/>
  <c r="O41" i="9"/>
  <c r="L41" i="9"/>
  <c r="U40" i="9"/>
  <c r="O40" i="9"/>
  <c r="L40" i="9"/>
  <c r="U39" i="9"/>
  <c r="O39" i="9"/>
  <c r="L39" i="9"/>
  <c r="U38" i="9"/>
  <c r="O38" i="9"/>
  <c r="L38" i="9"/>
  <c r="U37" i="9"/>
  <c r="O37" i="9"/>
  <c r="L37" i="9"/>
  <c r="U36" i="9"/>
  <c r="O36" i="9"/>
  <c r="L36" i="9"/>
  <c r="U35" i="9"/>
  <c r="O35" i="9"/>
  <c r="L35" i="9"/>
  <c r="U34" i="9"/>
  <c r="O34" i="9"/>
  <c r="L34" i="9"/>
  <c r="U33" i="9"/>
  <c r="O33" i="9"/>
  <c r="L33" i="9"/>
  <c r="U32" i="9"/>
  <c r="O32" i="9"/>
  <c r="L32" i="9"/>
  <c r="U31" i="9"/>
  <c r="O31" i="9"/>
  <c r="L31" i="9"/>
  <c r="U30" i="9"/>
  <c r="O30" i="9"/>
  <c r="L30" i="9"/>
  <c r="U29" i="9"/>
  <c r="O29" i="9"/>
  <c r="L29" i="9"/>
  <c r="U28" i="9"/>
  <c r="O28" i="9"/>
  <c r="L28" i="9"/>
  <c r="U27" i="9"/>
  <c r="O27" i="9"/>
  <c r="L27" i="9"/>
  <c r="U26" i="9"/>
  <c r="O26" i="9"/>
  <c r="L26" i="9"/>
  <c r="U25" i="9"/>
  <c r="O25" i="9"/>
  <c r="L25" i="9"/>
  <c r="U24" i="9"/>
  <c r="O24" i="9"/>
  <c r="L24" i="9"/>
  <c r="U23" i="9"/>
  <c r="O23" i="9"/>
  <c r="L23" i="9"/>
  <c r="U22" i="9"/>
  <c r="O22" i="9"/>
  <c r="L22" i="9"/>
  <c r="U21" i="9"/>
  <c r="O21" i="9"/>
  <c r="L21" i="9"/>
  <c r="U20" i="9"/>
  <c r="O20" i="9"/>
  <c r="L20" i="9"/>
  <c r="U19" i="9"/>
  <c r="O19" i="9"/>
  <c r="L19" i="9"/>
  <c r="U18" i="9"/>
  <c r="O18" i="9"/>
  <c r="L18" i="9"/>
  <c r="U17" i="9"/>
  <c r="O17" i="9"/>
  <c r="L17" i="9"/>
  <c r="U16" i="9"/>
  <c r="O16" i="9"/>
  <c r="L16" i="9"/>
  <c r="U15" i="9"/>
  <c r="O15" i="9"/>
  <c r="L15" i="9"/>
  <c r="U14" i="9"/>
  <c r="O14" i="9"/>
  <c r="L14" i="9"/>
  <c r="U13" i="9"/>
  <c r="O13" i="9"/>
  <c r="L13" i="9"/>
  <c r="U12" i="9"/>
  <c r="O12" i="9"/>
  <c r="L12" i="9"/>
  <c r="U11" i="9"/>
  <c r="O11" i="9"/>
  <c r="L11" i="9"/>
  <c r="U10" i="9"/>
  <c r="O10" i="9"/>
  <c r="L10" i="9"/>
  <c r="U9" i="9"/>
  <c r="O9" i="9"/>
  <c r="L9" i="9"/>
  <c r="U8" i="9"/>
  <c r="O8" i="9"/>
  <c r="L8" i="9"/>
  <c r="U7" i="9"/>
  <c r="O7" i="9"/>
  <c r="L7" i="9"/>
  <c r="U6" i="9"/>
  <c r="O6" i="9"/>
  <c r="L6" i="9"/>
  <c r="U5" i="9"/>
  <c r="O5" i="9"/>
  <c r="L5" i="9"/>
  <c r="U4" i="9"/>
  <c r="O4" i="9"/>
  <c r="L4" i="9"/>
  <c r="O3" i="9"/>
  <c r="L3" i="9"/>
  <c r="M3" i="9" s="1"/>
  <c r="N3" i="9" s="1"/>
  <c r="O2" i="9"/>
  <c r="M2" i="9"/>
  <c r="N2" i="9" s="1"/>
  <c r="AB5" i="9" l="1"/>
  <c r="AB14" i="9"/>
  <c r="AB55" i="9"/>
  <c r="AB13" i="9"/>
  <c r="M4" i="9"/>
  <c r="N4" i="9" l="1"/>
  <c r="M5" i="9"/>
  <c r="N5" i="9" l="1"/>
  <c r="M6" i="9"/>
  <c r="N6" i="9" l="1"/>
  <c r="M7" i="9"/>
  <c r="N7" i="9" l="1"/>
  <c r="M8" i="9"/>
  <c r="N8" i="9" l="1"/>
  <c r="M9" i="9"/>
  <c r="N9" i="9" l="1"/>
  <c r="M10" i="9"/>
  <c r="N10" i="9" l="1"/>
  <c r="M11" i="9"/>
  <c r="N11" i="9" l="1"/>
  <c r="M12" i="9"/>
  <c r="N12" i="9" l="1"/>
  <c r="M13" i="9"/>
  <c r="N13" i="9" l="1"/>
  <c r="M14" i="9"/>
  <c r="M15" i="9" l="1"/>
  <c r="N14" i="9"/>
  <c r="N15" i="9" l="1"/>
  <c r="M16" i="9"/>
  <c r="N16" i="9" l="1"/>
  <c r="M17" i="9"/>
  <c r="N17" i="9" l="1"/>
  <c r="M18" i="9"/>
  <c r="N18" i="9" l="1"/>
  <c r="M19" i="9"/>
  <c r="N19" i="9" l="1"/>
  <c r="M20" i="9"/>
  <c r="M21" i="9" l="1"/>
  <c r="N20" i="9"/>
  <c r="N21" i="9" l="1"/>
  <c r="M22" i="9"/>
  <c r="N22" i="9" l="1"/>
  <c r="M23" i="9"/>
  <c r="N23" i="9" l="1"/>
  <c r="M24" i="9"/>
  <c r="N24" i="9" l="1"/>
  <c r="M25" i="9"/>
  <c r="N25" i="9" l="1"/>
  <c r="M26" i="9"/>
  <c r="N26" i="9" l="1"/>
  <c r="M27" i="9"/>
  <c r="N27" i="9" l="1"/>
  <c r="M28" i="9"/>
  <c r="N28" i="9" l="1"/>
  <c r="M29" i="9"/>
  <c r="N29" i="9" l="1"/>
  <c r="M30" i="9"/>
  <c r="M31" i="9" l="1"/>
  <c r="N30" i="9"/>
  <c r="N31" i="9" l="1"/>
  <c r="M32" i="9"/>
  <c r="N32" i="9" l="1"/>
  <c r="M33" i="9"/>
  <c r="N33" i="9" l="1"/>
  <c r="M34" i="9"/>
  <c r="N34" i="9" l="1"/>
  <c r="M35" i="9"/>
  <c r="N35" i="9" l="1"/>
  <c r="M36" i="9"/>
  <c r="M37" i="9" l="1"/>
  <c r="N36" i="9"/>
  <c r="N37" i="9" l="1"/>
  <c r="M38" i="9"/>
  <c r="N38" i="9" l="1"/>
  <c r="M39" i="9"/>
  <c r="N39" i="9" l="1"/>
  <c r="M40" i="9"/>
  <c r="N40" i="9" l="1"/>
  <c r="M41" i="9"/>
  <c r="N41" i="9" l="1"/>
  <c r="M42" i="9"/>
  <c r="N42" i="9" l="1"/>
  <c r="M43" i="9"/>
  <c r="N43" i="9" l="1"/>
  <c r="M44" i="9"/>
  <c r="N44" i="9" l="1"/>
  <c r="M45" i="9"/>
  <c r="N45" i="9" l="1"/>
  <c r="M46" i="9"/>
  <c r="M47" i="9" l="1"/>
  <c r="N46" i="9"/>
  <c r="N47" i="9" l="1"/>
  <c r="M48" i="9"/>
  <c r="N48" i="9" l="1"/>
  <c r="M49" i="9"/>
  <c r="N49" i="9" l="1"/>
  <c r="M50" i="9"/>
  <c r="N50" i="9" l="1"/>
  <c r="M51" i="9"/>
  <c r="N51" i="9" l="1"/>
  <c r="M52" i="9"/>
  <c r="N52" i="9" l="1"/>
  <c r="M53" i="9"/>
  <c r="N53" i="9" l="1"/>
  <c r="M54" i="9"/>
  <c r="N54" i="9" l="1"/>
  <c r="M55" i="9"/>
  <c r="N55" i="9" l="1"/>
  <c r="M56" i="9"/>
  <c r="N56" i="9" l="1"/>
  <c r="M57" i="9"/>
  <c r="N57" i="9" l="1"/>
  <c r="M58" i="9"/>
  <c r="N58" i="9" l="1"/>
  <c r="M59" i="9"/>
  <c r="N59" i="9" l="1"/>
  <c r="M60" i="9"/>
  <c r="N60" i="9" l="1"/>
  <c r="M61" i="9"/>
  <c r="N61" i="9" l="1"/>
  <c r="M62" i="9"/>
  <c r="M63" i="9" l="1"/>
  <c r="N62" i="9"/>
  <c r="N63" i="9" l="1"/>
  <c r="M64" i="9"/>
  <c r="N64" i="9" l="1"/>
  <c r="M65" i="9"/>
  <c r="N65" i="9" l="1"/>
  <c r="M66" i="9"/>
  <c r="N66" i="9" l="1"/>
  <c r="M67" i="9"/>
  <c r="N67" i="9" l="1"/>
  <c r="M68" i="9"/>
  <c r="N68" i="9" l="1"/>
  <c r="M69" i="9"/>
  <c r="N69" i="9" l="1"/>
  <c r="M70" i="9"/>
  <c r="N70" i="9" l="1"/>
  <c r="M71" i="9"/>
  <c r="N71" i="9" l="1"/>
  <c r="M72" i="9"/>
  <c r="N72" i="9" l="1"/>
  <c r="M73" i="9"/>
  <c r="N73" i="9" l="1"/>
  <c r="M74" i="9"/>
  <c r="N74" i="9" l="1"/>
  <c r="M75" i="9"/>
  <c r="N75" i="9" l="1"/>
  <c r="M76" i="9"/>
  <c r="N76" i="9" l="1"/>
  <c r="M77" i="9"/>
  <c r="N77" i="9" l="1"/>
  <c r="M78" i="9"/>
  <c r="M79" i="9" l="1"/>
  <c r="N78" i="9"/>
  <c r="N79" i="9" l="1"/>
  <c r="M80" i="9"/>
  <c r="N80" i="9" l="1"/>
  <c r="M81" i="9"/>
  <c r="N81" i="9" l="1"/>
  <c r="M82" i="9"/>
  <c r="N82" i="9" l="1"/>
  <c r="M83" i="9"/>
  <c r="N83" i="9" l="1"/>
  <c r="M84" i="9"/>
  <c r="N84" i="9" l="1"/>
  <c r="M85" i="9"/>
  <c r="M86" i="9" l="1"/>
  <c r="N85" i="9"/>
  <c r="N86" i="9" l="1"/>
  <c r="M87" i="9"/>
  <c r="M88" i="9" l="1"/>
  <c r="N87" i="9"/>
  <c r="N88" i="9" l="1"/>
  <c r="M89" i="9"/>
  <c r="N89" i="9" l="1"/>
  <c r="M90" i="9"/>
  <c r="N90" i="9" l="1"/>
  <c r="M91" i="9"/>
  <c r="M92" i="9" l="1"/>
  <c r="N91" i="9"/>
  <c r="N92" i="9" l="1"/>
  <c r="M93" i="9"/>
  <c r="N93" i="9" l="1"/>
  <c r="M94" i="9"/>
  <c r="N94" i="9" l="1"/>
  <c r="M95" i="9"/>
  <c r="N95" i="9" l="1"/>
  <c r="M96" i="9"/>
  <c r="N96" i="9" l="1"/>
  <c r="M97" i="9"/>
  <c r="N97" i="9" l="1"/>
  <c r="M98" i="9"/>
  <c r="N98" i="9" l="1"/>
  <c r="M99" i="9"/>
  <c r="N99" i="9" l="1"/>
  <c r="M100" i="9"/>
  <c r="N100" i="9" l="1"/>
  <c r="M101" i="9"/>
  <c r="N101" i="9" l="1"/>
  <c r="M102" i="9"/>
  <c r="N102" i="9" l="1"/>
  <c r="M103" i="9"/>
  <c r="M104" i="9" l="1"/>
  <c r="N103" i="9"/>
  <c r="N104" i="9" l="1"/>
  <c r="M105" i="9"/>
  <c r="N105" i="9" l="1"/>
  <c r="M106" i="9"/>
  <c r="N106" i="9" l="1"/>
  <c r="M107" i="9"/>
  <c r="M108" i="9" l="1"/>
  <c r="N107" i="9"/>
  <c r="N108" i="9" l="1"/>
  <c r="M109" i="9"/>
  <c r="N109" i="9" l="1"/>
  <c r="M110" i="9"/>
  <c r="N110" i="9" l="1"/>
  <c r="M111" i="9"/>
  <c r="N111" i="9" l="1"/>
  <c r="M112" i="9"/>
  <c r="N112" i="9" l="1"/>
  <c r="M113" i="9"/>
  <c r="N113" i="9" l="1"/>
  <c r="M114" i="9"/>
  <c r="N114" i="9" l="1"/>
  <c r="M115" i="9"/>
  <c r="N115" i="9" l="1"/>
  <c r="M116" i="9"/>
  <c r="N116" i="9" l="1"/>
  <c r="M117" i="9"/>
  <c r="N117" i="9" l="1"/>
  <c r="M118" i="9"/>
  <c r="N118" i="9" l="1"/>
  <c r="M119" i="9"/>
  <c r="N119" i="9" l="1"/>
  <c r="M120" i="9"/>
  <c r="N120" i="9" l="1"/>
  <c r="M121" i="9"/>
  <c r="N121" i="9" l="1"/>
  <c r="M122" i="9"/>
  <c r="M123" i="9" l="1"/>
  <c r="N122" i="9"/>
  <c r="M124" i="9" l="1"/>
  <c r="N123" i="9"/>
  <c r="N124" i="9" l="1"/>
  <c r="M125" i="9"/>
  <c r="N125" i="9" l="1"/>
  <c r="M126" i="9"/>
  <c r="N126" i="9" l="1"/>
  <c r="M127" i="9"/>
  <c r="N127" i="9" l="1"/>
  <c r="M128" i="9"/>
  <c r="N128" i="9" l="1"/>
  <c r="M129" i="9"/>
  <c r="N129" i="9" l="1"/>
  <c r="M130" i="9"/>
  <c r="N130" i="9" l="1"/>
  <c r="M131" i="9"/>
  <c r="N131" i="9" l="1"/>
  <c r="M132" i="9"/>
  <c r="N132" i="9" l="1"/>
  <c r="M133" i="9"/>
  <c r="N133" i="9" l="1"/>
  <c r="M134" i="9"/>
  <c r="N134" i="9" l="1"/>
  <c r="M135" i="9"/>
  <c r="N135" i="9" l="1"/>
  <c r="M136" i="9"/>
  <c r="N136" i="9" l="1"/>
  <c r="M137" i="9"/>
  <c r="N137" i="9" l="1"/>
  <c r="M138" i="9"/>
  <c r="N138" i="9" l="1"/>
  <c r="M139" i="9"/>
  <c r="M140" i="9" l="1"/>
  <c r="N139" i="9"/>
  <c r="N140" i="9" l="1"/>
  <c r="M141" i="9"/>
  <c r="N141" i="9" l="1"/>
  <c r="M142" i="9"/>
  <c r="N142" i="9" l="1"/>
  <c r="M143" i="9"/>
  <c r="N143" i="9" l="1"/>
  <c r="M144" i="9"/>
  <c r="N144" i="9" l="1"/>
  <c r="M145" i="9"/>
  <c r="N145" i="9" l="1"/>
  <c r="M146" i="9"/>
  <c r="N146" i="9" l="1"/>
  <c r="M147" i="9"/>
  <c r="N147" i="9" l="1"/>
  <c r="M148" i="9"/>
  <c r="N148" i="9" l="1"/>
  <c r="M149" i="9"/>
  <c r="N149" i="9" l="1"/>
  <c r="M150" i="9"/>
  <c r="N150" i="9" l="1"/>
  <c r="M151" i="9"/>
  <c r="N151" i="9" l="1"/>
  <c r="M152" i="9"/>
  <c r="N152" i="9" l="1"/>
  <c r="M153" i="9"/>
  <c r="N153" i="9" l="1"/>
  <c r="M154" i="9"/>
  <c r="N154" i="9" l="1"/>
  <c r="M155" i="9"/>
  <c r="M156" i="9" l="1"/>
  <c r="N155" i="9"/>
  <c r="N156" i="9" l="1"/>
  <c r="M157" i="9"/>
  <c r="N157" i="9" l="1"/>
  <c r="M158" i="9"/>
  <c r="N158" i="9" l="1"/>
  <c r="M159" i="9"/>
  <c r="N159" i="9" l="1"/>
  <c r="M160" i="9"/>
  <c r="N160" i="9" l="1"/>
  <c r="M161" i="9"/>
  <c r="N161" i="9" l="1"/>
  <c r="M162" i="9"/>
  <c r="N162" i="9" l="1"/>
  <c r="M163" i="9"/>
  <c r="N163" i="9" l="1"/>
  <c r="M164" i="9"/>
  <c r="N164" i="9" l="1"/>
  <c r="M165" i="9"/>
  <c r="N165" i="9" l="1"/>
  <c r="M166" i="9"/>
  <c r="N166" i="9" l="1"/>
  <c r="M167" i="9"/>
  <c r="N167" i="9" l="1"/>
  <c r="M168" i="9"/>
  <c r="N168" i="9" l="1"/>
  <c r="M169" i="9"/>
  <c r="N169" i="9" l="1"/>
  <c r="M170" i="9"/>
  <c r="N170" i="9" l="1"/>
  <c r="M171" i="9"/>
  <c r="M172" i="9" l="1"/>
  <c r="N171" i="9"/>
  <c r="N172" i="9" l="1"/>
  <c r="M173" i="9"/>
  <c r="N173" i="9" l="1"/>
  <c r="M174" i="9"/>
  <c r="N174" i="9" l="1"/>
  <c r="M175" i="9"/>
  <c r="N175" i="9" l="1"/>
  <c r="M176" i="9"/>
  <c r="N176" i="9" l="1"/>
  <c r="M177" i="9"/>
  <c r="N177" i="9" l="1"/>
  <c r="M178" i="9"/>
  <c r="N178" i="9" l="1"/>
  <c r="M179" i="9"/>
  <c r="N179" i="9" l="1"/>
  <c r="M180" i="9"/>
  <c r="N180" i="9" l="1"/>
  <c r="M181" i="9"/>
  <c r="N181" i="9" l="1"/>
  <c r="M182" i="9"/>
  <c r="N182" i="9" l="1"/>
  <c r="M183" i="9"/>
  <c r="N183" i="9" l="1"/>
  <c r="M184" i="9"/>
  <c r="N184" i="9" l="1"/>
  <c r="M185" i="9"/>
  <c r="N185" i="9" l="1"/>
  <c r="M186" i="9"/>
  <c r="N186" i="9" l="1"/>
  <c r="M187" i="9"/>
  <c r="M188" i="9" l="1"/>
  <c r="N187" i="9"/>
  <c r="N188" i="9" l="1"/>
  <c r="M189" i="9"/>
  <c r="N189" i="9" l="1"/>
  <c r="M190" i="9"/>
  <c r="N190" i="9" l="1"/>
  <c r="M191" i="9"/>
  <c r="N191" i="9" l="1"/>
  <c r="M192" i="9"/>
  <c r="N192" i="9" l="1"/>
  <c r="M193" i="9"/>
  <c r="N193" i="9" l="1"/>
  <c r="M194" i="9"/>
  <c r="N194" i="9" l="1"/>
  <c r="M195" i="9"/>
  <c r="N195" i="9" l="1"/>
  <c r="M196" i="9"/>
  <c r="N196" i="9" l="1"/>
  <c r="M197" i="9"/>
  <c r="N197" i="9" l="1"/>
  <c r="M198" i="9"/>
  <c r="N198" i="9" l="1"/>
  <c r="M199" i="9"/>
  <c r="N199" i="9" l="1"/>
  <c r="M200" i="9"/>
  <c r="N200" i="9" l="1"/>
  <c r="M201" i="9"/>
  <c r="N201" i="9" l="1"/>
  <c r="M202" i="9"/>
  <c r="N202" i="9" l="1"/>
  <c r="M203" i="9"/>
  <c r="M204" i="9" l="1"/>
  <c r="N203" i="9"/>
  <c r="N204" i="9" l="1"/>
  <c r="M205" i="9"/>
  <c r="N205" i="9" l="1"/>
  <c r="M206" i="9"/>
  <c r="N206" i="9" l="1"/>
  <c r="M207" i="9"/>
  <c r="M208" i="9" l="1"/>
  <c r="N207" i="9"/>
  <c r="M209" i="9" l="1"/>
  <c r="N208" i="9"/>
  <c r="N209" i="9" l="1"/>
  <c r="M210" i="9"/>
  <c r="N210" i="9" l="1"/>
  <c r="M211" i="9"/>
  <c r="N211" i="9" l="1"/>
  <c r="M212" i="9"/>
  <c r="N212" i="9" l="1"/>
  <c r="M213" i="9"/>
  <c r="N213" i="9" l="1"/>
  <c r="M214" i="9"/>
  <c r="N214" i="9" l="1"/>
  <c r="M215" i="9"/>
  <c r="N215" i="9" l="1"/>
  <c r="M216" i="9"/>
  <c r="N216" i="9" l="1"/>
  <c r="M217" i="9"/>
  <c r="N217" i="9" l="1"/>
  <c r="M218" i="9"/>
  <c r="N218" i="9" l="1"/>
  <c r="M219" i="9"/>
  <c r="N219" i="9" l="1"/>
  <c r="M220" i="9"/>
  <c r="N220" i="9" l="1"/>
  <c r="M221" i="9"/>
  <c r="N221" i="9" l="1"/>
  <c r="M222" i="9"/>
  <c r="N222" i="9" l="1"/>
  <c r="M223" i="9"/>
  <c r="N223" i="9" l="1"/>
  <c r="M224" i="9"/>
  <c r="N224" i="9" l="1"/>
  <c r="M225" i="9"/>
  <c r="N225" i="9" l="1"/>
  <c r="M226" i="9"/>
  <c r="N226" i="9" l="1"/>
  <c r="M227" i="9"/>
  <c r="N227" i="9" l="1"/>
  <c r="M228" i="9"/>
  <c r="N228" i="9" l="1"/>
  <c r="M229" i="9"/>
  <c r="N229" i="9" l="1"/>
  <c r="M230" i="9"/>
  <c r="N230" i="9" l="1"/>
  <c r="M231" i="9"/>
  <c r="N231" i="9" l="1"/>
  <c r="M232" i="9"/>
  <c r="N232" i="9" l="1"/>
  <c r="M233" i="9"/>
  <c r="N233" i="9" l="1"/>
  <c r="M234" i="9"/>
  <c r="N234" i="9" l="1"/>
  <c r="M235" i="9"/>
  <c r="N235" i="9" l="1"/>
  <c r="M236" i="9"/>
  <c r="N236" i="9" l="1"/>
  <c r="M237" i="9"/>
  <c r="N237" i="9" l="1"/>
  <c r="M238" i="9"/>
  <c r="N238" i="9" l="1"/>
  <c r="M239" i="9"/>
  <c r="N239" i="9" l="1"/>
  <c r="M240" i="9"/>
  <c r="N240" i="9" l="1"/>
  <c r="M241" i="9"/>
  <c r="N241" i="9" l="1"/>
  <c r="M242" i="9"/>
  <c r="N242" i="9" l="1"/>
  <c r="M243" i="9"/>
  <c r="M244" i="9" l="1"/>
  <c r="N243" i="9"/>
  <c r="N244" i="9" l="1"/>
  <c r="M245" i="9"/>
  <c r="N245" i="9" l="1"/>
  <c r="M246" i="9"/>
  <c r="N246" i="9" l="1"/>
  <c r="M247" i="9"/>
  <c r="N247" i="9" l="1"/>
  <c r="M248" i="9"/>
  <c r="N248" i="9" l="1"/>
  <c r="M249" i="9"/>
  <c r="N249" i="9" l="1"/>
  <c r="M250" i="9"/>
  <c r="N250" i="9" l="1"/>
  <c r="M251" i="9"/>
  <c r="N251" i="9" l="1"/>
  <c r="M252" i="9"/>
  <c r="N252" i="9" l="1"/>
  <c r="M253" i="9"/>
  <c r="N253" i="9" l="1"/>
  <c r="M254" i="9"/>
  <c r="N254" i="9" l="1"/>
  <c r="M255" i="9"/>
  <c r="N255" i="9" l="1"/>
  <c r="M256" i="9"/>
  <c r="N256" i="9" l="1"/>
  <c r="M257" i="9"/>
  <c r="N257" i="9" l="1"/>
  <c r="M258" i="9"/>
  <c r="N258" i="9" l="1"/>
  <c r="M259" i="9"/>
  <c r="M260" i="9" l="1"/>
  <c r="N259" i="9"/>
  <c r="N260" i="9" l="1"/>
  <c r="M261" i="9"/>
  <c r="N261" i="9" l="1"/>
  <c r="M262" i="9"/>
  <c r="N262" i="9" l="1"/>
  <c r="M263" i="9"/>
  <c r="N263" i="9" l="1"/>
  <c r="M264" i="9"/>
  <c r="N264" i="9" l="1"/>
  <c r="M265" i="9"/>
  <c r="N265" i="9" l="1"/>
  <c r="M266" i="9"/>
  <c r="N266" i="9" l="1"/>
  <c r="M267" i="9"/>
  <c r="N267" i="9" l="1"/>
  <c r="M268" i="9"/>
  <c r="N268" i="9" l="1"/>
  <c r="M269" i="9"/>
  <c r="N269" i="9" l="1"/>
  <c r="M270" i="9"/>
  <c r="N270" i="9" l="1"/>
  <c r="M271" i="9"/>
  <c r="N271" i="9" l="1"/>
  <c r="M272" i="9"/>
  <c r="N272" i="9" l="1"/>
  <c r="M273" i="9"/>
  <c r="N273" i="9" l="1"/>
  <c r="M274" i="9"/>
  <c r="N274" i="9" l="1"/>
  <c r="M275" i="9"/>
  <c r="M276" i="9" l="1"/>
  <c r="N275" i="9"/>
  <c r="N276" i="9" l="1"/>
  <c r="M277" i="9"/>
  <c r="N277" i="9" l="1"/>
  <c r="M278" i="9"/>
  <c r="N278" i="9" l="1"/>
  <c r="M279" i="9"/>
  <c r="N279" i="9" l="1"/>
  <c r="M280" i="9"/>
  <c r="N280" i="9" l="1"/>
  <c r="M281" i="9"/>
  <c r="N281" i="9" l="1"/>
  <c r="M282" i="9"/>
  <c r="N282" i="9" l="1"/>
  <c r="M283" i="9"/>
  <c r="N283" i="9" l="1"/>
  <c r="M284" i="9"/>
  <c r="N284" i="9" l="1"/>
  <c r="M285" i="9"/>
  <c r="N285" i="9" l="1"/>
  <c r="M286" i="9"/>
  <c r="N286" i="9" l="1"/>
  <c r="M287" i="9"/>
  <c r="N287" i="9" l="1"/>
  <c r="M288" i="9"/>
  <c r="N288" i="9" l="1"/>
  <c r="M289" i="9"/>
  <c r="N289" i="9" l="1"/>
  <c r="M290" i="9"/>
  <c r="N290" i="9" l="1"/>
  <c r="M291" i="9"/>
  <c r="M292" i="9" l="1"/>
  <c r="N291" i="9"/>
  <c r="N292" i="9" l="1"/>
  <c r="M293" i="9"/>
  <c r="N293" i="9" l="1"/>
  <c r="M294" i="9"/>
  <c r="N294" i="9" l="1"/>
  <c r="M295" i="9"/>
  <c r="N295" i="9" l="1"/>
  <c r="M296" i="9"/>
  <c r="N296" i="9" l="1"/>
  <c r="M297" i="9"/>
  <c r="N297" i="9" l="1"/>
  <c r="M298" i="9"/>
  <c r="N298" i="9" l="1"/>
  <c r="M299" i="9"/>
  <c r="N299" i="9" l="1"/>
  <c r="M300" i="9"/>
  <c r="N300" i="9" l="1"/>
  <c r="M301" i="9"/>
  <c r="N301" i="9" l="1"/>
  <c r="M302" i="9"/>
  <c r="N302" i="9" l="1"/>
  <c r="M303" i="9"/>
  <c r="N303" i="9" l="1"/>
  <c r="M304" i="9"/>
  <c r="N304" i="9" l="1"/>
  <c r="M305" i="9"/>
  <c r="N305" i="9" l="1"/>
  <c r="M306" i="9"/>
  <c r="N306" i="9" l="1"/>
  <c r="M307" i="9"/>
  <c r="M308" i="9" l="1"/>
  <c r="N307" i="9"/>
  <c r="N308" i="9" l="1"/>
  <c r="M309" i="9"/>
  <c r="N309" i="9" l="1"/>
  <c r="M310" i="9"/>
  <c r="N310" i="9" l="1"/>
  <c r="M311" i="9"/>
  <c r="N311" i="9" l="1"/>
  <c r="M312" i="9"/>
  <c r="N312" i="9" l="1"/>
  <c r="M313" i="9"/>
  <c r="N313" i="9" l="1"/>
  <c r="M314" i="9"/>
  <c r="N314" i="9" l="1"/>
  <c r="M315" i="9"/>
  <c r="N315" i="9" l="1"/>
  <c r="M316" i="9"/>
  <c r="N316" i="9" l="1"/>
  <c r="M317" i="9"/>
  <c r="N317" i="9" l="1"/>
  <c r="M318" i="9"/>
  <c r="N318" i="9" l="1"/>
  <c r="M319" i="9"/>
  <c r="M320" i="9" l="1"/>
  <c r="N319" i="9"/>
  <c r="N320" i="9" l="1"/>
  <c r="M321" i="9"/>
  <c r="N321" i="9" l="1"/>
  <c r="M322" i="9"/>
  <c r="M323" i="9" l="1"/>
  <c r="N322" i="9"/>
  <c r="M324" i="9" l="1"/>
  <c r="N323" i="9"/>
  <c r="N324" i="9" l="1"/>
  <c r="M325" i="9"/>
  <c r="N325" i="9" l="1"/>
  <c r="M326" i="9"/>
  <c r="N326" i="9" l="1"/>
  <c r="M327" i="9"/>
  <c r="N327" i="9" l="1"/>
  <c r="M328" i="9"/>
  <c r="N328" i="9" l="1"/>
  <c r="M329" i="9"/>
  <c r="N329" i="9" l="1"/>
  <c r="M330" i="9"/>
  <c r="N330" i="9" l="1"/>
  <c r="M331" i="9"/>
  <c r="N331" i="9" l="1"/>
  <c r="M332" i="9"/>
  <c r="N332" i="9" l="1"/>
  <c r="M333" i="9"/>
  <c r="N333" i="9" l="1"/>
  <c r="M334" i="9"/>
  <c r="N334" i="9" l="1"/>
  <c r="M335" i="9"/>
  <c r="M336" i="9" l="1"/>
  <c r="N335" i="9"/>
  <c r="N336" i="9" l="1"/>
  <c r="M337" i="9"/>
  <c r="N337" i="9" l="1"/>
  <c r="M338" i="9"/>
  <c r="N338" i="9" l="1"/>
  <c r="M339" i="9"/>
  <c r="N339" i="9" l="1"/>
  <c r="M340" i="9"/>
  <c r="N340" i="9" l="1"/>
  <c r="M341" i="9"/>
  <c r="N341" i="9" l="1"/>
  <c r="M342" i="9"/>
  <c r="N342" i="9" l="1"/>
  <c r="M343" i="9"/>
  <c r="N343" i="9" l="1"/>
  <c r="M344" i="9"/>
  <c r="N344" i="9" l="1"/>
  <c r="M345" i="9"/>
  <c r="N345" i="9" l="1"/>
  <c r="M346" i="9"/>
  <c r="N346" i="9" l="1"/>
  <c r="M347" i="9"/>
  <c r="N347" i="9" l="1"/>
  <c r="M348" i="9"/>
  <c r="N348" i="9" l="1"/>
  <c r="M349" i="9"/>
  <c r="N349" i="9" l="1"/>
  <c r="M350" i="9"/>
  <c r="N350" i="9" l="1"/>
  <c r="M351" i="9"/>
  <c r="N351" i="9" l="1"/>
  <c r="M352" i="9"/>
  <c r="N352" i="9" l="1"/>
  <c r="M353" i="9"/>
  <c r="N353" i="9" l="1"/>
  <c r="M354" i="9"/>
  <c r="N354" i="9" l="1"/>
  <c r="M355" i="9"/>
  <c r="M356" i="9" l="1"/>
  <c r="N355" i="9"/>
  <c r="N356" i="9" l="1"/>
  <c r="M357" i="9"/>
  <c r="N357" i="9" l="1"/>
  <c r="M358" i="9"/>
  <c r="N358" i="9" l="1"/>
  <c r="M359" i="9"/>
  <c r="N359" i="9" l="1"/>
  <c r="M360" i="9"/>
  <c r="N360" i="9" l="1"/>
  <c r="M361" i="9"/>
  <c r="N361" i="9" l="1"/>
  <c r="M362" i="9"/>
  <c r="N362" i="9" l="1"/>
  <c r="M363" i="9"/>
  <c r="N363" i="9" l="1"/>
  <c r="M364" i="9"/>
  <c r="N364" i="9" l="1"/>
  <c r="M365" i="9"/>
  <c r="N365" i="9" l="1"/>
  <c r="M366" i="9"/>
  <c r="N366" i="9" l="1"/>
  <c r="M367" i="9"/>
  <c r="N367" i="9" l="1"/>
  <c r="M368" i="9"/>
  <c r="N368" i="9" l="1"/>
  <c r="M369" i="9"/>
  <c r="N369" i="9" l="1"/>
  <c r="M370" i="9"/>
  <c r="N370" i="9" l="1"/>
  <c r="M371" i="9"/>
  <c r="M372" i="9" l="1"/>
  <c r="N371" i="9"/>
  <c r="N372" i="9" l="1"/>
  <c r="M373" i="9"/>
  <c r="N373" i="9" l="1"/>
  <c r="M374" i="9"/>
  <c r="N374" i="9" l="1"/>
  <c r="M375" i="9"/>
  <c r="N375" i="9" l="1"/>
  <c r="M376" i="9"/>
  <c r="N376" i="9" l="1"/>
  <c r="M377" i="9"/>
  <c r="N377" i="9" l="1"/>
  <c r="M378" i="9"/>
  <c r="N378" i="9" l="1"/>
  <c r="M379" i="9"/>
  <c r="N379" i="9" l="1"/>
  <c r="M380" i="9"/>
  <c r="N380" i="9" l="1"/>
  <c r="M381" i="9"/>
  <c r="N381" i="9" l="1"/>
  <c r="M382" i="9"/>
  <c r="N382" i="9" l="1"/>
  <c r="M383" i="9"/>
  <c r="N383" i="9" l="1"/>
  <c r="M384" i="9"/>
  <c r="N384" i="9" l="1"/>
  <c r="M385" i="9"/>
  <c r="N385" i="9" l="1"/>
  <c r="M386" i="9"/>
  <c r="N386" i="9" l="1"/>
  <c r="M387" i="9"/>
  <c r="M388" i="9" l="1"/>
  <c r="N387" i="9"/>
  <c r="N388" i="9" l="1"/>
  <c r="M389" i="9"/>
  <c r="N389" i="9" l="1"/>
  <c r="M390" i="9"/>
  <c r="N390" i="9" l="1"/>
  <c r="M391" i="9"/>
  <c r="N391" i="9" l="1"/>
  <c r="M392" i="9"/>
  <c r="N392" i="9" l="1"/>
  <c r="M393" i="9"/>
  <c r="N393" i="9" l="1"/>
  <c r="M394" i="9"/>
  <c r="N394" i="9" l="1"/>
  <c r="M395" i="9"/>
  <c r="N395" i="9" l="1"/>
  <c r="M396" i="9"/>
  <c r="N396" i="9" l="1"/>
  <c r="M397" i="9"/>
  <c r="N397" i="9" l="1"/>
  <c r="M398" i="9"/>
  <c r="N398" i="9" l="1"/>
  <c r="M399" i="9"/>
  <c r="N399" i="9" l="1"/>
  <c r="M400" i="9"/>
  <c r="N400" i="9" l="1"/>
  <c r="M401" i="9"/>
  <c r="N401" i="9" l="1"/>
  <c r="M402" i="9"/>
  <c r="N402" i="9" l="1"/>
  <c r="M403" i="9"/>
  <c r="M404" i="9" l="1"/>
  <c r="N403" i="9"/>
  <c r="N404" i="9" l="1"/>
  <c r="M405" i="9"/>
  <c r="N405" i="9" l="1"/>
  <c r="M406" i="9"/>
  <c r="N406" i="9" l="1"/>
  <c r="M407" i="9"/>
  <c r="N407" i="9" l="1"/>
  <c r="M408" i="9"/>
  <c r="N408" i="9" l="1"/>
  <c r="M409" i="9"/>
  <c r="N409" i="9" l="1"/>
  <c r="M410" i="9"/>
  <c r="N410" i="9" l="1"/>
  <c r="M411" i="9"/>
  <c r="N411" i="9" l="1"/>
  <c r="M412" i="9"/>
  <c r="N412" i="9" l="1"/>
  <c r="M413" i="9"/>
  <c r="N413" i="9" l="1"/>
  <c r="M414" i="9"/>
  <c r="N414" i="9" l="1"/>
  <c r="M415" i="9"/>
  <c r="N415" i="9" l="1"/>
  <c r="M416" i="9"/>
  <c r="N416" i="9" l="1"/>
  <c r="M417" i="9"/>
  <c r="N417" i="9" l="1"/>
  <c r="M418" i="9"/>
  <c r="N418" i="9" l="1"/>
  <c r="M419" i="9"/>
  <c r="M420" i="9" l="1"/>
  <c r="N419" i="9"/>
  <c r="N420" i="9" l="1"/>
  <c r="M421" i="9"/>
  <c r="N421" i="9" l="1"/>
  <c r="M422" i="9"/>
  <c r="N422" i="9" l="1"/>
  <c r="M423" i="9"/>
  <c r="N423" i="9" l="1"/>
  <c r="M424" i="9"/>
  <c r="N424" i="9" l="1"/>
  <c r="M425" i="9"/>
  <c r="N425" i="9" l="1"/>
  <c r="M426" i="9"/>
  <c r="N426" i="9" l="1"/>
  <c r="M427" i="9"/>
  <c r="M428" i="9" l="1"/>
  <c r="N427" i="9"/>
  <c r="N428" i="9" l="1"/>
  <c r="M429" i="9"/>
  <c r="N429" i="9" l="1"/>
  <c r="M430" i="9"/>
  <c r="N430" i="9" l="1"/>
  <c r="M431" i="9"/>
  <c r="N431" i="9" l="1"/>
  <c r="M432" i="9"/>
  <c r="N432" i="9" l="1"/>
  <c r="M433" i="9"/>
  <c r="N433" i="9" l="1"/>
  <c r="M434" i="9"/>
  <c r="N434" i="9" l="1"/>
  <c r="M435" i="9"/>
  <c r="N435" i="9" l="1"/>
  <c r="M436" i="9"/>
  <c r="N436" i="9" l="1"/>
  <c r="M437" i="9"/>
  <c r="N437" i="9" l="1"/>
  <c r="M438" i="9"/>
  <c r="M439" i="9" l="1"/>
  <c r="N438" i="9"/>
  <c r="N439" i="9" l="1"/>
  <c r="M440" i="9"/>
  <c r="N440" i="9" l="1"/>
  <c r="M441" i="9"/>
  <c r="N441" i="9" l="1"/>
  <c r="M442" i="9"/>
  <c r="M443" i="9" l="1"/>
  <c r="N442" i="9"/>
  <c r="N443" i="9" l="1"/>
  <c r="M444" i="9"/>
  <c r="N444" i="9" l="1"/>
  <c r="M445" i="9"/>
  <c r="N445" i="9" l="1"/>
  <c r="M446" i="9"/>
  <c r="N446" i="9" l="1"/>
  <c r="M447" i="9"/>
  <c r="N447" i="9" l="1"/>
  <c r="M448" i="9"/>
  <c r="N448" i="9" l="1"/>
  <c r="M449" i="9"/>
  <c r="N449" i="9" l="1"/>
  <c r="M450" i="9"/>
  <c r="N450" i="9" l="1"/>
  <c r="M451" i="9"/>
  <c r="N451" i="9" l="1"/>
  <c r="M452" i="9"/>
  <c r="M453" i="9" l="1"/>
  <c r="N452" i="9"/>
  <c r="N453" i="9" l="1"/>
  <c r="M454" i="9"/>
  <c r="N454" i="9" l="1"/>
  <c r="M455" i="9"/>
  <c r="M456" i="9" l="1"/>
  <c r="N455" i="9"/>
  <c r="N456" i="9" l="1"/>
  <c r="M457" i="9"/>
  <c r="N457" i="9" l="1"/>
  <c r="M458" i="9"/>
  <c r="M459" i="9" l="1"/>
  <c r="N458" i="9"/>
  <c r="N459" i="9" l="1"/>
  <c r="M460" i="9"/>
  <c r="N460" i="9" l="1"/>
  <c r="M461" i="9"/>
  <c r="N461" i="9" l="1"/>
  <c r="M462" i="9"/>
  <c r="N462" i="9" l="1"/>
  <c r="M463" i="9"/>
  <c r="N463" i="9" l="1"/>
  <c r="M464" i="9"/>
  <c r="N464" i="9" l="1"/>
  <c r="M465" i="9"/>
  <c r="N465" i="9" l="1"/>
  <c r="M466" i="9"/>
  <c r="N466" i="9" l="1"/>
  <c r="M467" i="9"/>
  <c r="N467" i="9" l="1"/>
  <c r="M468" i="9"/>
  <c r="N468" i="9" l="1"/>
  <c r="M469" i="9"/>
  <c r="N469" i="9" l="1"/>
  <c r="M470" i="9"/>
  <c r="N470" i="9" l="1"/>
  <c r="M471" i="9"/>
  <c r="N471" i="9" l="1"/>
  <c r="M472" i="9"/>
  <c r="N472" i="9" l="1"/>
  <c r="M473" i="9"/>
  <c r="N473" i="9" l="1"/>
  <c r="M474" i="9"/>
  <c r="M475" i="9" l="1"/>
  <c r="N474" i="9"/>
  <c r="N475" i="9" l="1"/>
  <c r="M476" i="9"/>
  <c r="N476" i="9" l="1"/>
  <c r="M477" i="9"/>
  <c r="N477" i="9" l="1"/>
  <c r="M478" i="9"/>
  <c r="N478" i="9" l="1"/>
  <c r="M479" i="9"/>
  <c r="N479" i="9" l="1"/>
  <c r="M480" i="9"/>
  <c r="N480" i="9" l="1"/>
  <c r="M481" i="9"/>
  <c r="N481" i="9" l="1"/>
  <c r="M482" i="9"/>
  <c r="N482" i="9" l="1"/>
  <c r="M483" i="9"/>
  <c r="N483" i="9" l="1"/>
  <c r="M484" i="9"/>
  <c r="M485" i="9" l="1"/>
  <c r="N484" i="9"/>
  <c r="N485" i="9" l="1"/>
  <c r="M486" i="9"/>
  <c r="N486" i="9" l="1"/>
  <c r="M487" i="9"/>
  <c r="N487" i="9" l="1"/>
  <c r="M488" i="9"/>
  <c r="N488" i="9" l="1"/>
  <c r="M489" i="9"/>
  <c r="N489" i="9" l="1"/>
  <c r="M490" i="9"/>
  <c r="M491" i="9" l="1"/>
  <c r="N490" i="9"/>
  <c r="N491" i="9" l="1"/>
  <c r="M492" i="9"/>
  <c r="N492" i="9" l="1"/>
  <c r="M493" i="9"/>
  <c r="N493" i="9" l="1"/>
  <c r="M494" i="9"/>
  <c r="N494" i="9" l="1"/>
  <c r="M495" i="9"/>
  <c r="N495" i="9" l="1"/>
  <c r="M496" i="9"/>
  <c r="N496" i="9" l="1"/>
  <c r="M497" i="9"/>
  <c r="N497" i="9" l="1"/>
  <c r="M498" i="9"/>
  <c r="N498" i="9" l="1"/>
  <c r="M499" i="9"/>
  <c r="N499" i="9" l="1"/>
  <c r="M500" i="9"/>
  <c r="N500" i="9" l="1"/>
  <c r="M501" i="9"/>
  <c r="N501" i="9" l="1"/>
  <c r="M502" i="9"/>
  <c r="N502" i="9" l="1"/>
  <c r="M503" i="9"/>
  <c r="N503" i="9" l="1"/>
  <c r="M504" i="9"/>
  <c r="N504" i="9" l="1"/>
  <c r="M505" i="9"/>
  <c r="N505" i="9" l="1"/>
  <c r="M506" i="9"/>
  <c r="M507" i="9" l="1"/>
  <c r="N506" i="9"/>
  <c r="N507" i="9" l="1"/>
  <c r="M508" i="9"/>
  <c r="N508" i="9" l="1"/>
  <c r="M509" i="9"/>
  <c r="N509" i="9" l="1"/>
  <c r="M510" i="9"/>
  <c r="N510" i="9" l="1"/>
  <c r="M511" i="9"/>
  <c r="N511" i="9" l="1"/>
  <c r="M512" i="9"/>
  <c r="N512" i="9" l="1"/>
  <c r="M513" i="9"/>
  <c r="V511" i="9"/>
  <c r="W511" i="9" s="1"/>
  <c r="P511" i="9"/>
  <c r="S511" i="9" l="1"/>
  <c r="Q511" i="9"/>
  <c r="N513" i="9"/>
  <c r="M514" i="9"/>
  <c r="V512" i="9"/>
  <c r="W512" i="9" s="1"/>
  <c r="P512" i="9"/>
  <c r="V2" i="9"/>
  <c r="P2" i="9"/>
  <c r="S2" i="9" s="1"/>
  <c r="V3" i="9"/>
  <c r="P3" i="9"/>
  <c r="S3" i="9" s="1"/>
  <c r="P4" i="9"/>
  <c r="S4" i="9" s="1"/>
  <c r="V4" i="9"/>
  <c r="Q4" i="9" s="1"/>
  <c r="P5" i="9"/>
  <c r="V5" i="9"/>
  <c r="W5" i="9" s="1"/>
  <c r="P6" i="9"/>
  <c r="V6" i="9"/>
  <c r="W6" i="9" s="1"/>
  <c r="V7" i="9"/>
  <c r="W7" i="9" s="1"/>
  <c r="P7" i="9"/>
  <c r="V8" i="9"/>
  <c r="W8" i="9" s="1"/>
  <c r="P8" i="9"/>
  <c r="V9" i="9"/>
  <c r="W9" i="9" s="1"/>
  <c r="P9" i="9"/>
  <c r="V10" i="9"/>
  <c r="W10" i="9" s="1"/>
  <c r="P10" i="9"/>
  <c r="V11" i="9"/>
  <c r="W11" i="9" s="1"/>
  <c r="P11" i="9"/>
  <c r="V12" i="9"/>
  <c r="W12" i="9" s="1"/>
  <c r="P12" i="9"/>
  <c r="V13" i="9"/>
  <c r="W13" i="9" s="1"/>
  <c r="P13" i="9"/>
  <c r="V14" i="9"/>
  <c r="W14" i="9" s="1"/>
  <c r="P14" i="9"/>
  <c r="V15" i="9"/>
  <c r="W15" i="9" s="1"/>
  <c r="P15" i="9"/>
  <c r="P16" i="9"/>
  <c r="V16" i="9"/>
  <c r="W16" i="9" s="1"/>
  <c r="P17" i="9"/>
  <c r="V17" i="9"/>
  <c r="W17" i="9" s="1"/>
  <c r="V18" i="9"/>
  <c r="W18" i="9" s="1"/>
  <c r="P18" i="9"/>
  <c r="V19" i="9"/>
  <c r="W19" i="9" s="1"/>
  <c r="P19" i="9"/>
  <c r="V20" i="9"/>
  <c r="W20" i="9" s="1"/>
  <c r="P20" i="9"/>
  <c r="P21" i="9"/>
  <c r="V21" i="9"/>
  <c r="W21" i="9" s="1"/>
  <c r="P22" i="9"/>
  <c r="V22" i="9"/>
  <c r="W22" i="9" s="1"/>
  <c r="V23" i="9"/>
  <c r="W23" i="9" s="1"/>
  <c r="P23" i="9"/>
  <c r="V24" i="9"/>
  <c r="W24" i="9" s="1"/>
  <c r="P24" i="9"/>
  <c r="V25" i="9"/>
  <c r="W25" i="9" s="1"/>
  <c r="P25" i="9"/>
  <c r="V26" i="9"/>
  <c r="W26" i="9" s="1"/>
  <c r="P26" i="9"/>
  <c r="P27" i="9"/>
  <c r="V27" i="9"/>
  <c r="W27" i="9" s="1"/>
  <c r="P28" i="9"/>
  <c r="V28" i="9"/>
  <c r="W28" i="9" s="1"/>
  <c r="V29" i="9"/>
  <c r="W29" i="9" s="1"/>
  <c r="P29" i="9"/>
  <c r="V30" i="9"/>
  <c r="W30" i="9" s="1"/>
  <c r="P30" i="9"/>
  <c r="V31" i="9"/>
  <c r="W31" i="9" s="1"/>
  <c r="P31" i="9"/>
  <c r="P32" i="9"/>
  <c r="V32" i="9"/>
  <c r="W32" i="9" s="1"/>
  <c r="P33" i="9"/>
  <c r="V33" i="9"/>
  <c r="W33" i="9" s="1"/>
  <c r="V34" i="9"/>
  <c r="W34" i="9" s="1"/>
  <c r="P34" i="9"/>
  <c r="V35" i="9"/>
  <c r="W35" i="9" s="1"/>
  <c r="P35" i="9"/>
  <c r="V36" i="9"/>
  <c r="W36" i="9" s="1"/>
  <c r="P36" i="9"/>
  <c r="P37" i="9"/>
  <c r="V37" i="9"/>
  <c r="W37" i="9" s="1"/>
  <c r="P38" i="9"/>
  <c r="V38" i="9"/>
  <c r="W38" i="9" s="1"/>
  <c r="V39" i="9"/>
  <c r="W39" i="9" s="1"/>
  <c r="P39" i="9"/>
  <c r="V40" i="9"/>
  <c r="W40" i="9" s="1"/>
  <c r="P40" i="9"/>
  <c r="V41" i="9"/>
  <c r="W41" i="9" s="1"/>
  <c r="P41" i="9"/>
  <c r="V42" i="9"/>
  <c r="W42" i="9" s="1"/>
  <c r="P42" i="9"/>
  <c r="P43" i="9"/>
  <c r="V43" i="9"/>
  <c r="W43" i="9" s="1"/>
  <c r="P44" i="9"/>
  <c r="V44" i="9"/>
  <c r="W44" i="9" s="1"/>
  <c r="V45" i="9"/>
  <c r="W45" i="9" s="1"/>
  <c r="P45" i="9"/>
  <c r="V46" i="9"/>
  <c r="W46" i="9" s="1"/>
  <c r="P46" i="9"/>
  <c r="V47" i="9"/>
  <c r="W47" i="9" s="1"/>
  <c r="P47" i="9"/>
  <c r="P48" i="9"/>
  <c r="V48" i="9"/>
  <c r="W48" i="9" s="1"/>
  <c r="P49" i="9"/>
  <c r="V49" i="9"/>
  <c r="W49" i="9" s="1"/>
  <c r="V50" i="9"/>
  <c r="W50" i="9" s="1"/>
  <c r="P50" i="9"/>
  <c r="V51" i="9"/>
  <c r="W51" i="9" s="1"/>
  <c r="P51" i="9"/>
  <c r="V52" i="9"/>
  <c r="W52" i="9" s="1"/>
  <c r="P52" i="9"/>
  <c r="V53" i="9"/>
  <c r="W53" i="9" s="1"/>
  <c r="P53" i="9"/>
  <c r="V54" i="9"/>
  <c r="W54" i="9" s="1"/>
  <c r="P54" i="9"/>
  <c r="P55" i="9"/>
  <c r="V55" i="9"/>
  <c r="W55" i="9" s="1"/>
  <c r="P56" i="9"/>
  <c r="V56" i="9"/>
  <c r="W56" i="9" s="1"/>
  <c r="P57" i="9"/>
  <c r="V57" i="9"/>
  <c r="W57" i="9" s="1"/>
  <c r="P58" i="9"/>
  <c r="V58" i="9"/>
  <c r="W58" i="9" s="1"/>
  <c r="P59" i="9"/>
  <c r="V59" i="9"/>
  <c r="W59" i="9" s="1"/>
  <c r="V60" i="9"/>
  <c r="W60" i="9" s="1"/>
  <c r="P60" i="9"/>
  <c r="V61" i="9"/>
  <c r="W61" i="9" s="1"/>
  <c r="P61" i="9"/>
  <c r="V62" i="9"/>
  <c r="W62" i="9" s="1"/>
  <c r="P62" i="9"/>
  <c r="P63" i="9"/>
  <c r="V63" i="9"/>
  <c r="W63" i="9" s="1"/>
  <c r="P64" i="9"/>
  <c r="V64" i="9"/>
  <c r="W64" i="9" s="1"/>
  <c r="V65" i="9"/>
  <c r="W65" i="9" s="1"/>
  <c r="P65" i="9"/>
  <c r="V66" i="9"/>
  <c r="W66" i="9" s="1"/>
  <c r="P66" i="9"/>
  <c r="V67" i="9"/>
  <c r="W67" i="9" s="1"/>
  <c r="P67" i="9"/>
  <c r="V68" i="9"/>
  <c r="W68" i="9" s="1"/>
  <c r="P68" i="9"/>
  <c r="P69" i="9"/>
  <c r="V69" i="9"/>
  <c r="W69" i="9" s="1"/>
  <c r="P70" i="9"/>
  <c r="V70" i="9"/>
  <c r="W70" i="9" s="1"/>
  <c r="V71" i="9"/>
  <c r="W71" i="9" s="1"/>
  <c r="P71" i="9"/>
  <c r="V72" i="9"/>
  <c r="W72" i="9" s="1"/>
  <c r="P72" i="9"/>
  <c r="V73" i="9"/>
  <c r="W73" i="9" s="1"/>
  <c r="P73" i="9"/>
  <c r="P74" i="9"/>
  <c r="V74" i="9"/>
  <c r="W74" i="9" s="1"/>
  <c r="P75" i="9"/>
  <c r="V75" i="9"/>
  <c r="W75" i="9" s="1"/>
  <c r="V76" i="9"/>
  <c r="W76" i="9" s="1"/>
  <c r="P76" i="9"/>
  <c r="P77" i="9"/>
  <c r="V77" i="9"/>
  <c r="W77" i="9" s="1"/>
  <c r="V78" i="9"/>
  <c r="W78" i="9" s="1"/>
  <c r="P78" i="9"/>
  <c r="V79" i="9"/>
  <c r="W79" i="9" s="1"/>
  <c r="P79" i="9"/>
  <c r="V80" i="9"/>
  <c r="W80" i="9" s="1"/>
  <c r="P80" i="9"/>
  <c r="V81" i="9"/>
  <c r="W81" i="9" s="1"/>
  <c r="P81" i="9"/>
  <c r="V82" i="9"/>
  <c r="W82" i="9" s="1"/>
  <c r="P82" i="9"/>
  <c r="V83" i="9"/>
  <c r="W83" i="9" s="1"/>
  <c r="P83" i="9"/>
  <c r="V84" i="9"/>
  <c r="W84" i="9" s="1"/>
  <c r="P84" i="9"/>
  <c r="P85" i="9"/>
  <c r="V85" i="9"/>
  <c r="W85" i="9" s="1"/>
  <c r="V86" i="9"/>
  <c r="W86" i="9" s="1"/>
  <c r="P86" i="9"/>
  <c r="P87" i="9"/>
  <c r="V87" i="9"/>
  <c r="W87" i="9" s="1"/>
  <c r="P88" i="9"/>
  <c r="V88" i="9"/>
  <c r="W88" i="9" s="1"/>
  <c r="V89" i="9"/>
  <c r="W89" i="9" s="1"/>
  <c r="P89" i="9"/>
  <c r="V90" i="9"/>
  <c r="W90" i="9" s="1"/>
  <c r="P90" i="9"/>
  <c r="V91" i="9"/>
  <c r="W91" i="9" s="1"/>
  <c r="P91" i="9"/>
  <c r="P92" i="9"/>
  <c r="V92" i="9"/>
  <c r="W92" i="9" s="1"/>
  <c r="V93" i="9"/>
  <c r="W93" i="9" s="1"/>
  <c r="P93" i="9"/>
  <c r="V94" i="9"/>
  <c r="W94" i="9" s="1"/>
  <c r="P94" i="9"/>
  <c r="P95" i="9"/>
  <c r="V95" i="9"/>
  <c r="W95" i="9" s="1"/>
  <c r="V96" i="9"/>
  <c r="W96" i="9" s="1"/>
  <c r="P96" i="9"/>
  <c r="V97" i="9"/>
  <c r="W97" i="9" s="1"/>
  <c r="P97" i="9"/>
  <c r="P98" i="9"/>
  <c r="V98" i="9"/>
  <c r="W98" i="9" s="1"/>
  <c r="V99" i="9"/>
  <c r="W99" i="9" s="1"/>
  <c r="P99" i="9"/>
  <c r="V100" i="9"/>
  <c r="W100" i="9" s="1"/>
  <c r="P100" i="9"/>
  <c r="P101" i="9"/>
  <c r="V101" i="9"/>
  <c r="W101" i="9" s="1"/>
  <c r="V102" i="9"/>
  <c r="W102" i="9" s="1"/>
  <c r="P102" i="9"/>
  <c r="P103" i="9"/>
  <c r="V103" i="9"/>
  <c r="W103" i="9" s="1"/>
  <c r="P104" i="9"/>
  <c r="V104" i="9"/>
  <c r="W104" i="9" s="1"/>
  <c r="V105" i="9"/>
  <c r="W105" i="9" s="1"/>
  <c r="P105" i="9"/>
  <c r="V106" i="9"/>
  <c r="W106" i="9" s="1"/>
  <c r="P106" i="9"/>
  <c r="P107" i="9"/>
  <c r="V107" i="9"/>
  <c r="W107" i="9" s="1"/>
  <c r="P108" i="9"/>
  <c r="V108" i="9"/>
  <c r="W108" i="9" s="1"/>
  <c r="P109" i="9"/>
  <c r="V109" i="9"/>
  <c r="W109" i="9" s="1"/>
  <c r="V110" i="9"/>
  <c r="W110" i="9" s="1"/>
  <c r="P110" i="9"/>
  <c r="V111" i="9"/>
  <c r="W111" i="9" s="1"/>
  <c r="P111" i="9"/>
  <c r="V112" i="9"/>
  <c r="W112" i="9" s="1"/>
  <c r="P112" i="9"/>
  <c r="V113" i="9"/>
  <c r="W113" i="9" s="1"/>
  <c r="P113" i="9"/>
  <c r="P114" i="9"/>
  <c r="V114" i="9"/>
  <c r="W114" i="9" s="1"/>
  <c r="V115" i="9"/>
  <c r="W115" i="9" s="1"/>
  <c r="P115" i="9"/>
  <c r="V116" i="9"/>
  <c r="W116" i="9" s="1"/>
  <c r="P116" i="9"/>
  <c r="V117" i="9"/>
  <c r="W117" i="9" s="1"/>
  <c r="P117" i="9"/>
  <c r="V118" i="9"/>
  <c r="W118" i="9" s="1"/>
  <c r="P118" i="9"/>
  <c r="P119" i="9"/>
  <c r="V119" i="9"/>
  <c r="W119" i="9" s="1"/>
  <c r="P120" i="9"/>
  <c r="V120" i="9"/>
  <c r="W120" i="9" s="1"/>
  <c r="V121" i="9"/>
  <c r="W121" i="9" s="1"/>
  <c r="P121" i="9"/>
  <c r="V122" i="9"/>
  <c r="W122" i="9" s="1"/>
  <c r="P122" i="9"/>
  <c r="P123" i="9"/>
  <c r="V123" i="9"/>
  <c r="W123" i="9" s="1"/>
  <c r="P124" i="9"/>
  <c r="V124" i="9"/>
  <c r="W124" i="9" s="1"/>
  <c r="P125" i="9"/>
  <c r="V125" i="9"/>
  <c r="W125" i="9" s="1"/>
  <c r="V126" i="9"/>
  <c r="W126" i="9" s="1"/>
  <c r="P126" i="9"/>
  <c r="V127" i="9"/>
  <c r="W127" i="9" s="1"/>
  <c r="P127" i="9"/>
  <c r="V128" i="9"/>
  <c r="W128" i="9" s="1"/>
  <c r="P128" i="9"/>
  <c r="V129" i="9"/>
  <c r="W129" i="9" s="1"/>
  <c r="P129" i="9"/>
  <c r="P130" i="9"/>
  <c r="V130" i="9"/>
  <c r="W130" i="9" s="1"/>
  <c r="P131" i="9"/>
  <c r="V131" i="9"/>
  <c r="W131" i="9" s="1"/>
  <c r="V132" i="9"/>
  <c r="W132" i="9" s="1"/>
  <c r="P132" i="9"/>
  <c r="V133" i="9"/>
  <c r="W133" i="9" s="1"/>
  <c r="P133" i="9"/>
  <c r="V134" i="9"/>
  <c r="W134" i="9" s="1"/>
  <c r="P134" i="9"/>
  <c r="P135" i="9"/>
  <c r="V135" i="9"/>
  <c r="W135" i="9" s="1"/>
  <c r="P136" i="9"/>
  <c r="V136" i="9"/>
  <c r="W136" i="9" s="1"/>
  <c r="V137" i="9"/>
  <c r="W137" i="9" s="1"/>
  <c r="P137" i="9"/>
  <c r="V138" i="9"/>
  <c r="W138" i="9" s="1"/>
  <c r="P138" i="9"/>
  <c r="V139" i="9"/>
  <c r="W139" i="9" s="1"/>
  <c r="P139" i="9"/>
  <c r="P140" i="9"/>
  <c r="V140" i="9"/>
  <c r="W140" i="9" s="1"/>
  <c r="P141" i="9"/>
  <c r="V141" i="9"/>
  <c r="W141" i="9" s="1"/>
  <c r="V142" i="9"/>
  <c r="W142" i="9" s="1"/>
  <c r="P142" i="9"/>
  <c r="V143" i="9"/>
  <c r="W143" i="9" s="1"/>
  <c r="P143" i="9"/>
  <c r="V144" i="9"/>
  <c r="W144" i="9" s="1"/>
  <c r="P144" i="9"/>
  <c r="V145" i="9"/>
  <c r="W145" i="9" s="1"/>
  <c r="P145" i="9"/>
  <c r="P146" i="9"/>
  <c r="V146" i="9"/>
  <c r="W146" i="9" s="1"/>
  <c r="P147" i="9"/>
  <c r="V147" i="9"/>
  <c r="W147" i="9" s="1"/>
  <c r="V148" i="9"/>
  <c r="W148" i="9" s="1"/>
  <c r="P148" i="9"/>
  <c r="V149" i="9"/>
  <c r="W149" i="9" s="1"/>
  <c r="P149" i="9"/>
  <c r="V150" i="9"/>
  <c r="W150" i="9" s="1"/>
  <c r="P150" i="9"/>
  <c r="P151" i="9"/>
  <c r="V151" i="9"/>
  <c r="W151" i="9" s="1"/>
  <c r="P152" i="9"/>
  <c r="V152" i="9"/>
  <c r="W152" i="9" s="1"/>
  <c r="V153" i="9"/>
  <c r="W153" i="9" s="1"/>
  <c r="P153" i="9"/>
  <c r="V154" i="9"/>
  <c r="W154" i="9" s="1"/>
  <c r="P154" i="9"/>
  <c r="V155" i="9"/>
  <c r="W155" i="9" s="1"/>
  <c r="P155" i="9"/>
  <c r="P156" i="9"/>
  <c r="V156" i="9"/>
  <c r="W156" i="9" s="1"/>
  <c r="P157" i="9"/>
  <c r="V157" i="9"/>
  <c r="W157" i="9" s="1"/>
  <c r="V158" i="9"/>
  <c r="W158" i="9" s="1"/>
  <c r="P158" i="9"/>
  <c r="V159" i="9"/>
  <c r="W159" i="9" s="1"/>
  <c r="P159" i="9"/>
  <c r="V160" i="9"/>
  <c r="W160" i="9" s="1"/>
  <c r="P160" i="9"/>
  <c r="V161" i="9"/>
  <c r="W161" i="9" s="1"/>
  <c r="P161" i="9"/>
  <c r="P162" i="9"/>
  <c r="V162" i="9"/>
  <c r="W162" i="9" s="1"/>
  <c r="P163" i="9"/>
  <c r="V163" i="9"/>
  <c r="W163" i="9" s="1"/>
  <c r="V164" i="9"/>
  <c r="W164" i="9" s="1"/>
  <c r="P164" i="9"/>
  <c r="V165" i="9"/>
  <c r="W165" i="9" s="1"/>
  <c r="P165" i="9"/>
  <c r="V166" i="9"/>
  <c r="W166" i="9" s="1"/>
  <c r="P166" i="9"/>
  <c r="P167" i="9"/>
  <c r="V167" i="9"/>
  <c r="W167" i="9" s="1"/>
  <c r="P168" i="9"/>
  <c r="V168" i="9"/>
  <c r="W168" i="9" s="1"/>
  <c r="V169" i="9"/>
  <c r="W169" i="9" s="1"/>
  <c r="P169" i="9"/>
  <c r="V170" i="9"/>
  <c r="W170" i="9" s="1"/>
  <c r="P170" i="9"/>
  <c r="V171" i="9"/>
  <c r="W171" i="9" s="1"/>
  <c r="P171" i="9"/>
  <c r="P172" i="9"/>
  <c r="V172" i="9"/>
  <c r="W172" i="9" s="1"/>
  <c r="P173" i="9"/>
  <c r="V173" i="9"/>
  <c r="W173" i="9" s="1"/>
  <c r="V174" i="9"/>
  <c r="W174" i="9" s="1"/>
  <c r="P174" i="9"/>
  <c r="V175" i="9"/>
  <c r="W175" i="9" s="1"/>
  <c r="P175" i="9"/>
  <c r="V176" i="9"/>
  <c r="W176" i="9" s="1"/>
  <c r="P176" i="9"/>
  <c r="V177" i="9"/>
  <c r="W177" i="9" s="1"/>
  <c r="P177" i="9"/>
  <c r="P178" i="9"/>
  <c r="V178" i="9"/>
  <c r="W178" i="9" s="1"/>
  <c r="P179" i="9"/>
  <c r="V179" i="9"/>
  <c r="W179" i="9" s="1"/>
  <c r="V180" i="9"/>
  <c r="W180" i="9" s="1"/>
  <c r="P180" i="9"/>
  <c r="V181" i="9"/>
  <c r="W181" i="9" s="1"/>
  <c r="P181" i="9"/>
  <c r="V182" i="9"/>
  <c r="W182" i="9" s="1"/>
  <c r="P182" i="9"/>
  <c r="P183" i="9"/>
  <c r="V183" i="9"/>
  <c r="W183" i="9" s="1"/>
  <c r="P184" i="9"/>
  <c r="V184" i="9"/>
  <c r="W184" i="9" s="1"/>
  <c r="V185" i="9"/>
  <c r="W185" i="9" s="1"/>
  <c r="P185" i="9"/>
  <c r="V186" i="9"/>
  <c r="W186" i="9" s="1"/>
  <c r="P186" i="9"/>
  <c r="V187" i="9"/>
  <c r="W187" i="9" s="1"/>
  <c r="P187" i="9"/>
  <c r="P188" i="9"/>
  <c r="V188" i="9"/>
  <c r="W188" i="9" s="1"/>
  <c r="P189" i="9"/>
  <c r="V189" i="9"/>
  <c r="W189" i="9" s="1"/>
  <c r="V190" i="9"/>
  <c r="W190" i="9" s="1"/>
  <c r="P190" i="9"/>
  <c r="V191" i="9"/>
  <c r="W191" i="9" s="1"/>
  <c r="P191" i="9"/>
  <c r="V192" i="9"/>
  <c r="W192" i="9" s="1"/>
  <c r="P192" i="9"/>
  <c r="V193" i="9"/>
  <c r="W193" i="9" s="1"/>
  <c r="P193" i="9"/>
  <c r="P194" i="9"/>
  <c r="V194" i="9"/>
  <c r="W194" i="9" s="1"/>
  <c r="P195" i="9"/>
  <c r="V195" i="9"/>
  <c r="W195" i="9" s="1"/>
  <c r="V196" i="9"/>
  <c r="W196" i="9" s="1"/>
  <c r="P196" i="9"/>
  <c r="V197" i="9"/>
  <c r="W197" i="9" s="1"/>
  <c r="P197" i="9"/>
  <c r="V198" i="9"/>
  <c r="W198" i="9" s="1"/>
  <c r="P198" i="9"/>
  <c r="P199" i="9"/>
  <c r="V199" i="9"/>
  <c r="W199" i="9" s="1"/>
  <c r="P200" i="9"/>
  <c r="V200" i="9"/>
  <c r="W200" i="9" s="1"/>
  <c r="V201" i="9"/>
  <c r="W201" i="9" s="1"/>
  <c r="P201" i="9"/>
  <c r="V202" i="9"/>
  <c r="W202" i="9" s="1"/>
  <c r="P202" i="9"/>
  <c r="V203" i="9"/>
  <c r="W203" i="9" s="1"/>
  <c r="P203" i="9"/>
  <c r="P204" i="9"/>
  <c r="V204" i="9"/>
  <c r="W204" i="9" s="1"/>
  <c r="P205" i="9"/>
  <c r="V205" i="9"/>
  <c r="W205" i="9" s="1"/>
  <c r="V206" i="9"/>
  <c r="W206" i="9" s="1"/>
  <c r="P206" i="9"/>
  <c r="P207" i="9"/>
  <c r="V207" i="9"/>
  <c r="W207" i="9" s="1"/>
  <c r="P208" i="9"/>
  <c r="V208" i="9"/>
  <c r="W208" i="9" s="1"/>
  <c r="V209" i="9"/>
  <c r="W209" i="9" s="1"/>
  <c r="P209" i="9"/>
  <c r="P210" i="9"/>
  <c r="V210" i="9"/>
  <c r="W210" i="9" s="1"/>
  <c r="P211" i="9"/>
  <c r="V211" i="9"/>
  <c r="W211" i="9" s="1"/>
  <c r="P212" i="9"/>
  <c r="V212" i="9"/>
  <c r="W212" i="9" s="1"/>
  <c r="V213" i="9"/>
  <c r="W213" i="9" s="1"/>
  <c r="P213" i="9"/>
  <c r="V214" i="9"/>
  <c r="W214" i="9" s="1"/>
  <c r="P214" i="9"/>
  <c r="P215" i="9"/>
  <c r="V215" i="9"/>
  <c r="W215" i="9" s="1"/>
  <c r="V216" i="9"/>
  <c r="W216" i="9" s="1"/>
  <c r="P216" i="9"/>
  <c r="V217" i="9"/>
  <c r="W217" i="9" s="1"/>
  <c r="P217" i="9"/>
  <c r="P218" i="9"/>
  <c r="V218" i="9"/>
  <c r="W218" i="9" s="1"/>
  <c r="V219" i="9"/>
  <c r="W219" i="9" s="1"/>
  <c r="P219" i="9"/>
  <c r="V220" i="9"/>
  <c r="W220" i="9" s="1"/>
  <c r="P220" i="9"/>
  <c r="P221" i="9"/>
  <c r="V221" i="9"/>
  <c r="W221" i="9" s="1"/>
  <c r="V222" i="9"/>
  <c r="W222" i="9" s="1"/>
  <c r="P222" i="9"/>
  <c r="P223" i="9"/>
  <c r="V223" i="9"/>
  <c r="W223" i="9" s="1"/>
  <c r="P224" i="9"/>
  <c r="V224" i="9"/>
  <c r="W224" i="9" s="1"/>
  <c r="V225" i="9"/>
  <c r="W225" i="9" s="1"/>
  <c r="P225" i="9"/>
  <c r="V226" i="9"/>
  <c r="W226" i="9" s="1"/>
  <c r="P226" i="9"/>
  <c r="P227" i="9"/>
  <c r="V227" i="9"/>
  <c r="W227" i="9" s="1"/>
  <c r="P228" i="9"/>
  <c r="V228" i="9"/>
  <c r="W228" i="9" s="1"/>
  <c r="V229" i="9"/>
  <c r="W229" i="9" s="1"/>
  <c r="P229" i="9"/>
  <c r="V230" i="9"/>
  <c r="W230" i="9" s="1"/>
  <c r="P230" i="9"/>
  <c r="P231" i="9"/>
  <c r="V231" i="9"/>
  <c r="W231" i="9" s="1"/>
  <c r="V232" i="9"/>
  <c r="W232" i="9" s="1"/>
  <c r="P232" i="9"/>
  <c r="V233" i="9"/>
  <c r="W233" i="9" s="1"/>
  <c r="P233" i="9"/>
  <c r="P234" i="9"/>
  <c r="V234" i="9"/>
  <c r="W234" i="9" s="1"/>
  <c r="V235" i="9"/>
  <c r="W235" i="9" s="1"/>
  <c r="P235" i="9"/>
  <c r="V236" i="9"/>
  <c r="W236" i="9" s="1"/>
  <c r="P236" i="9"/>
  <c r="V237" i="9"/>
  <c r="W237" i="9" s="1"/>
  <c r="P237" i="9"/>
  <c r="V238" i="9"/>
  <c r="W238" i="9" s="1"/>
  <c r="P238" i="9"/>
  <c r="P239" i="9"/>
  <c r="V239" i="9"/>
  <c r="W239" i="9" s="1"/>
  <c r="P240" i="9"/>
  <c r="V240" i="9"/>
  <c r="W240" i="9" s="1"/>
  <c r="V241" i="9"/>
  <c r="W241" i="9" s="1"/>
  <c r="P241" i="9"/>
  <c r="V242" i="9"/>
  <c r="W242" i="9" s="1"/>
  <c r="P242" i="9"/>
  <c r="P243" i="9"/>
  <c r="V243" i="9"/>
  <c r="W243" i="9" s="1"/>
  <c r="P244" i="9"/>
  <c r="V244" i="9"/>
  <c r="W244" i="9" s="1"/>
  <c r="P245" i="9"/>
  <c r="V245" i="9"/>
  <c r="W245" i="9" s="1"/>
  <c r="V246" i="9"/>
  <c r="W246" i="9" s="1"/>
  <c r="P246" i="9"/>
  <c r="V247" i="9"/>
  <c r="W247" i="9" s="1"/>
  <c r="P247" i="9"/>
  <c r="V248" i="9"/>
  <c r="W248" i="9" s="1"/>
  <c r="P248" i="9"/>
  <c r="V249" i="9"/>
  <c r="W249" i="9" s="1"/>
  <c r="P249" i="9"/>
  <c r="P250" i="9"/>
  <c r="V250" i="9"/>
  <c r="W250" i="9" s="1"/>
  <c r="P251" i="9"/>
  <c r="V251" i="9"/>
  <c r="W251" i="9" s="1"/>
  <c r="V252" i="9"/>
  <c r="W252" i="9" s="1"/>
  <c r="P252" i="9"/>
  <c r="V253" i="9"/>
  <c r="W253" i="9" s="1"/>
  <c r="P253" i="9"/>
  <c r="V254" i="9"/>
  <c r="W254" i="9" s="1"/>
  <c r="P254" i="9"/>
  <c r="P255" i="9"/>
  <c r="V255" i="9"/>
  <c r="W255" i="9" s="1"/>
  <c r="V256" i="9"/>
  <c r="W256" i="9" s="1"/>
  <c r="P256" i="9"/>
  <c r="P257" i="9"/>
  <c r="V257" i="9"/>
  <c r="W257" i="9" s="1"/>
  <c r="V258" i="9"/>
  <c r="W258" i="9" s="1"/>
  <c r="P258" i="9"/>
  <c r="V259" i="9"/>
  <c r="W259" i="9" s="1"/>
  <c r="P259" i="9"/>
  <c r="P260" i="9"/>
  <c r="V260" i="9"/>
  <c r="W260" i="9" s="1"/>
  <c r="P261" i="9"/>
  <c r="V261" i="9"/>
  <c r="W261" i="9" s="1"/>
  <c r="V262" i="9"/>
  <c r="W262" i="9" s="1"/>
  <c r="P262" i="9"/>
  <c r="V263" i="9"/>
  <c r="W263" i="9" s="1"/>
  <c r="P263" i="9"/>
  <c r="V264" i="9"/>
  <c r="W264" i="9" s="1"/>
  <c r="P264" i="9"/>
  <c r="V265" i="9"/>
  <c r="W265" i="9" s="1"/>
  <c r="P265" i="9"/>
  <c r="P266" i="9"/>
  <c r="V266" i="9"/>
  <c r="W266" i="9" s="1"/>
  <c r="P267" i="9"/>
  <c r="V267" i="9"/>
  <c r="W267" i="9" s="1"/>
  <c r="V268" i="9"/>
  <c r="W268" i="9" s="1"/>
  <c r="P268" i="9"/>
  <c r="V269" i="9"/>
  <c r="W269" i="9" s="1"/>
  <c r="P269" i="9"/>
  <c r="V270" i="9"/>
  <c r="W270" i="9" s="1"/>
  <c r="P270" i="9"/>
  <c r="P271" i="9"/>
  <c r="V271" i="9"/>
  <c r="W271" i="9" s="1"/>
  <c r="P272" i="9"/>
  <c r="V272" i="9"/>
  <c r="W272" i="9" s="1"/>
  <c r="V273" i="9"/>
  <c r="W273" i="9" s="1"/>
  <c r="P273" i="9"/>
  <c r="V274" i="9"/>
  <c r="W274" i="9" s="1"/>
  <c r="P274" i="9"/>
  <c r="V275" i="9"/>
  <c r="W275" i="9" s="1"/>
  <c r="P275" i="9"/>
  <c r="P276" i="9"/>
  <c r="V276" i="9"/>
  <c r="W276" i="9" s="1"/>
  <c r="P277" i="9"/>
  <c r="V277" i="9"/>
  <c r="W277" i="9" s="1"/>
  <c r="V278" i="9"/>
  <c r="W278" i="9" s="1"/>
  <c r="P278" i="9"/>
  <c r="V279" i="9"/>
  <c r="W279" i="9" s="1"/>
  <c r="P279" i="9"/>
  <c r="V280" i="9"/>
  <c r="W280" i="9" s="1"/>
  <c r="P280" i="9"/>
  <c r="V281" i="9"/>
  <c r="W281" i="9" s="1"/>
  <c r="P281" i="9"/>
  <c r="P282" i="9"/>
  <c r="V282" i="9"/>
  <c r="W282" i="9" s="1"/>
  <c r="P283" i="9"/>
  <c r="V283" i="9"/>
  <c r="W283" i="9" s="1"/>
  <c r="P284" i="9"/>
  <c r="V284" i="9"/>
  <c r="W284" i="9" s="1"/>
  <c r="V285" i="9"/>
  <c r="W285" i="9" s="1"/>
  <c r="P285" i="9"/>
  <c r="V286" i="9"/>
  <c r="W286" i="9" s="1"/>
  <c r="P286" i="9"/>
  <c r="P287" i="9"/>
  <c r="V287" i="9"/>
  <c r="W287" i="9" s="1"/>
  <c r="P288" i="9"/>
  <c r="V288" i="9"/>
  <c r="W288" i="9" s="1"/>
  <c r="P289" i="9"/>
  <c r="V289" i="9"/>
  <c r="W289" i="9" s="1"/>
  <c r="V290" i="9"/>
  <c r="W290" i="9" s="1"/>
  <c r="P290" i="9"/>
  <c r="V291" i="9"/>
  <c r="W291" i="9" s="1"/>
  <c r="P291" i="9"/>
  <c r="P292" i="9"/>
  <c r="V292" i="9"/>
  <c r="W292" i="9" s="1"/>
  <c r="P293" i="9"/>
  <c r="V293" i="9"/>
  <c r="W293" i="9" s="1"/>
  <c r="V294" i="9"/>
  <c r="W294" i="9" s="1"/>
  <c r="P294" i="9"/>
  <c r="V295" i="9"/>
  <c r="W295" i="9" s="1"/>
  <c r="P295" i="9"/>
  <c r="V296" i="9"/>
  <c r="W296" i="9" s="1"/>
  <c r="P296" i="9"/>
  <c r="V297" i="9"/>
  <c r="W297" i="9" s="1"/>
  <c r="P297" i="9"/>
  <c r="P298" i="9"/>
  <c r="V298" i="9"/>
  <c r="W298" i="9" s="1"/>
  <c r="P299" i="9"/>
  <c r="V299" i="9"/>
  <c r="W299" i="9" s="1"/>
  <c r="V300" i="9"/>
  <c r="W300" i="9" s="1"/>
  <c r="P300" i="9"/>
  <c r="V301" i="9"/>
  <c r="W301" i="9" s="1"/>
  <c r="P301" i="9"/>
  <c r="V302" i="9"/>
  <c r="W302" i="9" s="1"/>
  <c r="P302" i="9"/>
  <c r="P303" i="9"/>
  <c r="V303" i="9"/>
  <c r="W303" i="9" s="1"/>
  <c r="V304" i="9"/>
  <c r="W304" i="9" s="1"/>
  <c r="P304" i="9"/>
  <c r="V305" i="9"/>
  <c r="W305" i="9" s="1"/>
  <c r="P305" i="9"/>
  <c r="V306" i="9"/>
  <c r="W306" i="9" s="1"/>
  <c r="P306" i="9"/>
  <c r="V307" i="9"/>
  <c r="W307" i="9" s="1"/>
  <c r="P307" i="9"/>
  <c r="V308" i="9"/>
  <c r="W308" i="9" s="1"/>
  <c r="P308" i="9"/>
  <c r="P309" i="9"/>
  <c r="V309" i="9"/>
  <c r="W309" i="9" s="1"/>
  <c r="V310" i="9"/>
  <c r="W310" i="9" s="1"/>
  <c r="P310" i="9"/>
  <c r="V311" i="9"/>
  <c r="W311" i="9" s="1"/>
  <c r="P311" i="9"/>
  <c r="V312" i="9"/>
  <c r="W312" i="9" s="1"/>
  <c r="P312" i="9"/>
  <c r="V313" i="9"/>
  <c r="W313" i="9" s="1"/>
  <c r="P313" i="9"/>
  <c r="P314" i="9"/>
  <c r="V314" i="9"/>
  <c r="W314" i="9" s="1"/>
  <c r="P315" i="9"/>
  <c r="V315" i="9"/>
  <c r="W315" i="9" s="1"/>
  <c r="V316" i="9"/>
  <c r="W316" i="9" s="1"/>
  <c r="P316" i="9"/>
  <c r="V317" i="9"/>
  <c r="W317" i="9" s="1"/>
  <c r="P317" i="9"/>
  <c r="V318" i="9"/>
  <c r="W318" i="9" s="1"/>
  <c r="P318" i="9"/>
  <c r="P319" i="9"/>
  <c r="V319" i="9"/>
  <c r="W319" i="9" s="1"/>
  <c r="P320" i="9"/>
  <c r="V320" i="9"/>
  <c r="W320" i="9" s="1"/>
  <c r="V321" i="9"/>
  <c r="W321" i="9" s="1"/>
  <c r="P321" i="9"/>
  <c r="V322" i="9"/>
  <c r="W322" i="9" s="1"/>
  <c r="P322" i="9"/>
  <c r="V323" i="9"/>
  <c r="W323" i="9" s="1"/>
  <c r="P323" i="9"/>
  <c r="V324" i="9"/>
  <c r="W324" i="9" s="1"/>
  <c r="P324" i="9"/>
  <c r="V325" i="9"/>
  <c r="W325" i="9" s="1"/>
  <c r="P325" i="9"/>
  <c r="V326" i="9"/>
  <c r="W326" i="9" s="1"/>
  <c r="P326" i="9"/>
  <c r="P327" i="9"/>
  <c r="V327" i="9"/>
  <c r="W327" i="9" s="1"/>
  <c r="P328" i="9"/>
  <c r="V328" i="9"/>
  <c r="W328" i="9" s="1"/>
  <c r="V329" i="9"/>
  <c r="W329" i="9" s="1"/>
  <c r="P329" i="9"/>
  <c r="P330" i="9"/>
  <c r="V330" i="9"/>
  <c r="W330" i="9" s="1"/>
  <c r="V331" i="9"/>
  <c r="W331" i="9" s="1"/>
  <c r="P331" i="9"/>
  <c r="V332" i="9"/>
  <c r="W332" i="9" s="1"/>
  <c r="P332" i="9"/>
  <c r="P333" i="9"/>
  <c r="V333" i="9"/>
  <c r="W333" i="9" s="1"/>
  <c r="V334" i="9"/>
  <c r="W334" i="9" s="1"/>
  <c r="P334" i="9"/>
  <c r="P335" i="9"/>
  <c r="V335" i="9"/>
  <c r="W335" i="9" s="1"/>
  <c r="P336" i="9"/>
  <c r="V336" i="9"/>
  <c r="W336" i="9" s="1"/>
  <c r="V337" i="9"/>
  <c r="W337" i="9" s="1"/>
  <c r="P337" i="9"/>
  <c r="V338" i="9"/>
  <c r="W338" i="9" s="1"/>
  <c r="P338" i="9"/>
  <c r="P339" i="9"/>
  <c r="V339" i="9"/>
  <c r="W339" i="9" s="1"/>
  <c r="P340" i="9"/>
  <c r="V340" i="9"/>
  <c r="W340" i="9" s="1"/>
  <c r="V341" i="9"/>
  <c r="W341" i="9" s="1"/>
  <c r="P341" i="9"/>
  <c r="V342" i="9"/>
  <c r="W342" i="9" s="1"/>
  <c r="P342" i="9"/>
  <c r="P343" i="9"/>
  <c r="V343" i="9"/>
  <c r="W343" i="9" s="1"/>
  <c r="V344" i="9"/>
  <c r="W344" i="9" s="1"/>
  <c r="P344" i="9"/>
  <c r="V345" i="9"/>
  <c r="W345" i="9" s="1"/>
  <c r="P345" i="9"/>
  <c r="P346" i="9"/>
  <c r="V346" i="9"/>
  <c r="W346" i="9" s="1"/>
  <c r="V347" i="9"/>
  <c r="W347" i="9" s="1"/>
  <c r="P347" i="9"/>
  <c r="V348" i="9"/>
  <c r="W348" i="9" s="1"/>
  <c r="P348" i="9"/>
  <c r="P349" i="9"/>
  <c r="V349" i="9"/>
  <c r="W349" i="9" s="1"/>
  <c r="V350" i="9"/>
  <c r="W350" i="9" s="1"/>
  <c r="P350" i="9"/>
  <c r="P351" i="9"/>
  <c r="V351" i="9"/>
  <c r="W351" i="9" s="1"/>
  <c r="P352" i="9"/>
  <c r="V352" i="9"/>
  <c r="W352" i="9" s="1"/>
  <c r="V353" i="9"/>
  <c r="W353" i="9" s="1"/>
  <c r="P353" i="9"/>
  <c r="V354" i="9"/>
  <c r="W354" i="9" s="1"/>
  <c r="P354" i="9"/>
  <c r="P355" i="9"/>
  <c r="V355" i="9"/>
  <c r="W355" i="9" s="1"/>
  <c r="P356" i="9"/>
  <c r="V356" i="9"/>
  <c r="W356" i="9" s="1"/>
  <c r="P357" i="9"/>
  <c r="V357" i="9"/>
  <c r="W357" i="9" s="1"/>
  <c r="V358" i="9"/>
  <c r="W358" i="9" s="1"/>
  <c r="P358" i="9"/>
  <c r="V359" i="9"/>
  <c r="W359" i="9" s="1"/>
  <c r="P359" i="9"/>
  <c r="V360" i="9"/>
  <c r="W360" i="9" s="1"/>
  <c r="P360" i="9"/>
  <c r="V361" i="9"/>
  <c r="W361" i="9" s="1"/>
  <c r="P361" i="9"/>
  <c r="P362" i="9"/>
  <c r="V362" i="9"/>
  <c r="W362" i="9" s="1"/>
  <c r="P363" i="9"/>
  <c r="V363" i="9"/>
  <c r="W363" i="9" s="1"/>
  <c r="P364" i="9"/>
  <c r="V364" i="9"/>
  <c r="W364" i="9" s="1"/>
  <c r="V365" i="9"/>
  <c r="W365" i="9" s="1"/>
  <c r="P365" i="9"/>
  <c r="V366" i="9"/>
  <c r="W366" i="9" s="1"/>
  <c r="P366" i="9"/>
  <c r="P367" i="9"/>
  <c r="V367" i="9"/>
  <c r="W367" i="9" s="1"/>
  <c r="P368" i="9"/>
  <c r="V368" i="9"/>
  <c r="W368" i="9" s="1"/>
  <c r="V369" i="9"/>
  <c r="W369" i="9" s="1"/>
  <c r="P369" i="9"/>
  <c r="V370" i="9"/>
  <c r="W370" i="9" s="1"/>
  <c r="P370" i="9"/>
  <c r="V371" i="9"/>
  <c r="W371" i="9" s="1"/>
  <c r="P371" i="9"/>
  <c r="P372" i="9"/>
  <c r="V372" i="9"/>
  <c r="W372" i="9" s="1"/>
  <c r="P373" i="9"/>
  <c r="V373" i="9"/>
  <c r="W373" i="9" s="1"/>
  <c r="V374" i="9"/>
  <c r="W374" i="9" s="1"/>
  <c r="P374" i="9"/>
  <c r="V375" i="9"/>
  <c r="W375" i="9" s="1"/>
  <c r="P375" i="9"/>
  <c r="V376" i="9"/>
  <c r="W376" i="9" s="1"/>
  <c r="P376" i="9"/>
  <c r="V377" i="9"/>
  <c r="W377" i="9" s="1"/>
  <c r="P377" i="9"/>
  <c r="P378" i="9"/>
  <c r="V378" i="9"/>
  <c r="W378" i="9" s="1"/>
  <c r="P379" i="9"/>
  <c r="V379" i="9"/>
  <c r="W379" i="9" s="1"/>
  <c r="V380" i="9"/>
  <c r="W380" i="9" s="1"/>
  <c r="P380" i="9"/>
  <c r="V381" i="9"/>
  <c r="W381" i="9" s="1"/>
  <c r="P381" i="9"/>
  <c r="V382" i="9"/>
  <c r="W382" i="9" s="1"/>
  <c r="P382" i="9"/>
  <c r="P383" i="9"/>
  <c r="V383" i="9"/>
  <c r="W383" i="9" s="1"/>
  <c r="P384" i="9"/>
  <c r="V384" i="9"/>
  <c r="W384" i="9" s="1"/>
  <c r="V385" i="9"/>
  <c r="W385" i="9" s="1"/>
  <c r="P385" i="9"/>
  <c r="P386" i="9"/>
  <c r="V386" i="9"/>
  <c r="W386" i="9" s="1"/>
  <c r="V387" i="9"/>
  <c r="W387" i="9" s="1"/>
  <c r="P387" i="9"/>
  <c r="P388" i="9"/>
  <c r="V388" i="9"/>
  <c r="W388" i="9" s="1"/>
  <c r="P389" i="9"/>
  <c r="V389" i="9"/>
  <c r="W389" i="9" s="1"/>
  <c r="V390" i="9"/>
  <c r="W390" i="9" s="1"/>
  <c r="P390" i="9"/>
  <c r="V391" i="9"/>
  <c r="W391" i="9" s="1"/>
  <c r="P391" i="9"/>
  <c r="V392" i="9"/>
  <c r="W392" i="9" s="1"/>
  <c r="P392" i="9"/>
  <c r="V393" i="9"/>
  <c r="W393" i="9" s="1"/>
  <c r="P393" i="9"/>
  <c r="P394" i="9"/>
  <c r="V394" i="9"/>
  <c r="W394" i="9" s="1"/>
  <c r="P395" i="9"/>
  <c r="V395" i="9"/>
  <c r="W395" i="9" s="1"/>
  <c r="V396" i="9"/>
  <c r="W396" i="9" s="1"/>
  <c r="P396" i="9"/>
  <c r="V397" i="9"/>
  <c r="W397" i="9" s="1"/>
  <c r="P397" i="9"/>
  <c r="V398" i="9"/>
  <c r="W398" i="9" s="1"/>
  <c r="P398" i="9"/>
  <c r="P399" i="9"/>
  <c r="V399" i="9"/>
  <c r="W399" i="9" s="1"/>
  <c r="P400" i="9"/>
  <c r="V400" i="9"/>
  <c r="W400" i="9" s="1"/>
  <c r="V401" i="9"/>
  <c r="W401" i="9" s="1"/>
  <c r="P401" i="9"/>
  <c r="V402" i="9"/>
  <c r="W402" i="9" s="1"/>
  <c r="P402" i="9"/>
  <c r="V403" i="9"/>
  <c r="W403" i="9" s="1"/>
  <c r="P403" i="9"/>
  <c r="P404" i="9"/>
  <c r="V404" i="9"/>
  <c r="W404" i="9" s="1"/>
  <c r="P405" i="9"/>
  <c r="V405" i="9"/>
  <c r="W405" i="9" s="1"/>
  <c r="V406" i="9"/>
  <c r="W406" i="9" s="1"/>
  <c r="P406" i="9"/>
  <c r="V407" i="9"/>
  <c r="W407" i="9" s="1"/>
  <c r="P407" i="9"/>
  <c r="V408" i="9"/>
  <c r="W408" i="9" s="1"/>
  <c r="P408" i="9"/>
  <c r="V409" i="9"/>
  <c r="W409" i="9" s="1"/>
  <c r="P409" i="9"/>
  <c r="P410" i="9"/>
  <c r="V410" i="9"/>
  <c r="W410" i="9" s="1"/>
  <c r="V411" i="9"/>
  <c r="W411" i="9" s="1"/>
  <c r="P411" i="9"/>
  <c r="V412" i="9"/>
  <c r="W412" i="9" s="1"/>
  <c r="P412" i="9"/>
  <c r="V413" i="9"/>
  <c r="W413" i="9" s="1"/>
  <c r="P413" i="9"/>
  <c r="V414" i="9"/>
  <c r="W414" i="9" s="1"/>
  <c r="P414" i="9"/>
  <c r="P415" i="9"/>
  <c r="V415" i="9"/>
  <c r="W415" i="9" s="1"/>
  <c r="P416" i="9"/>
  <c r="V416" i="9"/>
  <c r="W416" i="9" s="1"/>
  <c r="V417" i="9"/>
  <c r="W417" i="9" s="1"/>
  <c r="P417" i="9"/>
  <c r="V418" i="9"/>
  <c r="W418" i="9" s="1"/>
  <c r="P418" i="9"/>
  <c r="V419" i="9"/>
  <c r="W419" i="9" s="1"/>
  <c r="P419" i="9"/>
  <c r="P420" i="9"/>
  <c r="V420" i="9"/>
  <c r="W420" i="9" s="1"/>
  <c r="P421" i="9"/>
  <c r="V421" i="9"/>
  <c r="W421" i="9" s="1"/>
  <c r="P422" i="9"/>
  <c r="V422" i="9"/>
  <c r="W422" i="9" s="1"/>
  <c r="V423" i="9"/>
  <c r="W423" i="9" s="1"/>
  <c r="P423" i="9"/>
  <c r="V424" i="9"/>
  <c r="W424" i="9" s="1"/>
  <c r="P424" i="9"/>
  <c r="V425" i="9"/>
  <c r="W425" i="9" s="1"/>
  <c r="P425" i="9"/>
  <c r="V426" i="9"/>
  <c r="W426" i="9" s="1"/>
  <c r="P426" i="9"/>
  <c r="P427" i="9"/>
  <c r="V427" i="9"/>
  <c r="W427" i="9" s="1"/>
  <c r="P428" i="9"/>
  <c r="V428" i="9"/>
  <c r="W428" i="9" s="1"/>
  <c r="V429" i="9"/>
  <c r="W429" i="9" s="1"/>
  <c r="P429" i="9"/>
  <c r="V430" i="9"/>
  <c r="W430" i="9" s="1"/>
  <c r="P430" i="9"/>
  <c r="P431" i="9"/>
  <c r="V431" i="9"/>
  <c r="W431" i="9" s="1"/>
  <c r="V432" i="9"/>
  <c r="W432" i="9" s="1"/>
  <c r="P432" i="9"/>
  <c r="V433" i="9"/>
  <c r="W433" i="9" s="1"/>
  <c r="P433" i="9"/>
  <c r="P434" i="9"/>
  <c r="V434" i="9"/>
  <c r="W434" i="9" s="1"/>
  <c r="P435" i="9"/>
  <c r="V435" i="9"/>
  <c r="W435" i="9" s="1"/>
  <c r="V436" i="9"/>
  <c r="W436" i="9" s="1"/>
  <c r="P436" i="9"/>
  <c r="V437" i="9"/>
  <c r="W437" i="9" s="1"/>
  <c r="P437" i="9"/>
  <c r="V438" i="9"/>
  <c r="W438" i="9" s="1"/>
  <c r="P438" i="9"/>
  <c r="V439" i="9"/>
  <c r="W439" i="9" s="1"/>
  <c r="P439" i="9"/>
  <c r="V440" i="9"/>
  <c r="W440" i="9" s="1"/>
  <c r="P440" i="9"/>
  <c r="V441" i="9"/>
  <c r="W441" i="9" s="1"/>
  <c r="P441" i="9"/>
  <c r="V442" i="9"/>
  <c r="W442" i="9" s="1"/>
  <c r="P442" i="9"/>
  <c r="P443" i="9"/>
  <c r="V443" i="9"/>
  <c r="W443" i="9" s="1"/>
  <c r="P444" i="9"/>
  <c r="V444" i="9"/>
  <c r="W444" i="9" s="1"/>
  <c r="P445" i="9"/>
  <c r="V445" i="9"/>
  <c r="W445" i="9" s="1"/>
  <c r="V446" i="9"/>
  <c r="W446" i="9" s="1"/>
  <c r="P446" i="9"/>
  <c r="P447" i="9"/>
  <c r="V447" i="9"/>
  <c r="W447" i="9" s="1"/>
  <c r="V448" i="9"/>
  <c r="W448" i="9" s="1"/>
  <c r="P448" i="9"/>
  <c r="P449" i="9"/>
  <c r="V449" i="9"/>
  <c r="W449" i="9" s="1"/>
  <c r="P450" i="9"/>
  <c r="V450" i="9"/>
  <c r="W450" i="9" s="1"/>
  <c r="V451" i="9"/>
  <c r="W451" i="9" s="1"/>
  <c r="P451" i="9"/>
  <c r="V452" i="9"/>
  <c r="W452" i="9" s="1"/>
  <c r="P452" i="9"/>
  <c r="V453" i="9"/>
  <c r="W453" i="9" s="1"/>
  <c r="P453" i="9"/>
  <c r="P454" i="9"/>
  <c r="V454" i="9"/>
  <c r="W454" i="9" s="1"/>
  <c r="P455" i="9"/>
  <c r="V455" i="9"/>
  <c r="W455" i="9" s="1"/>
  <c r="V456" i="9"/>
  <c r="W456" i="9" s="1"/>
  <c r="P456" i="9"/>
  <c r="V457" i="9"/>
  <c r="W457" i="9" s="1"/>
  <c r="P457" i="9"/>
  <c r="V458" i="9"/>
  <c r="W458" i="9" s="1"/>
  <c r="P458" i="9"/>
  <c r="P459" i="9"/>
  <c r="V459" i="9"/>
  <c r="W459" i="9" s="1"/>
  <c r="P460" i="9"/>
  <c r="V460" i="9"/>
  <c r="W460" i="9" s="1"/>
  <c r="P461" i="9"/>
  <c r="V461" i="9"/>
  <c r="W461" i="9" s="1"/>
  <c r="V462" i="9"/>
  <c r="W462" i="9" s="1"/>
  <c r="P462" i="9"/>
  <c r="V463" i="9"/>
  <c r="W463" i="9" s="1"/>
  <c r="P463" i="9"/>
  <c r="V464" i="9"/>
  <c r="W464" i="9" s="1"/>
  <c r="P464" i="9"/>
  <c r="P465" i="9"/>
  <c r="V465" i="9"/>
  <c r="W465" i="9" s="1"/>
  <c r="P466" i="9"/>
  <c r="V466" i="9"/>
  <c r="W466" i="9" s="1"/>
  <c r="V467" i="9"/>
  <c r="W467" i="9" s="1"/>
  <c r="P467" i="9"/>
  <c r="V468" i="9"/>
  <c r="W468" i="9" s="1"/>
  <c r="P468" i="9"/>
  <c r="V469" i="9"/>
  <c r="W469" i="9" s="1"/>
  <c r="P469" i="9"/>
  <c r="P470" i="9"/>
  <c r="V470" i="9"/>
  <c r="W470" i="9" s="1"/>
  <c r="P471" i="9"/>
  <c r="V471" i="9"/>
  <c r="W471" i="9" s="1"/>
  <c r="V472" i="9"/>
  <c r="W472" i="9" s="1"/>
  <c r="P472" i="9"/>
  <c r="P473" i="9"/>
  <c r="V473" i="9"/>
  <c r="W473" i="9" s="1"/>
  <c r="V474" i="9"/>
  <c r="W474" i="9" s="1"/>
  <c r="P474" i="9"/>
  <c r="P475" i="9"/>
  <c r="V475" i="9"/>
  <c r="W475" i="9" s="1"/>
  <c r="P476" i="9"/>
  <c r="V476" i="9"/>
  <c r="W476" i="9" s="1"/>
  <c r="V477" i="9"/>
  <c r="W477" i="9" s="1"/>
  <c r="P477" i="9"/>
  <c r="V478" i="9"/>
  <c r="W478" i="9" s="1"/>
  <c r="P478" i="9"/>
  <c r="V479" i="9"/>
  <c r="W479" i="9" s="1"/>
  <c r="P479" i="9"/>
  <c r="V480" i="9"/>
  <c r="W480" i="9" s="1"/>
  <c r="P480" i="9"/>
  <c r="P481" i="9"/>
  <c r="V481" i="9"/>
  <c r="W481" i="9" s="1"/>
  <c r="P482" i="9"/>
  <c r="V482" i="9"/>
  <c r="W482" i="9" s="1"/>
  <c r="V483" i="9"/>
  <c r="W483" i="9" s="1"/>
  <c r="P483" i="9"/>
  <c r="V484" i="9"/>
  <c r="W484" i="9" s="1"/>
  <c r="P484" i="9"/>
  <c r="V485" i="9"/>
  <c r="W485" i="9" s="1"/>
  <c r="P485" i="9"/>
  <c r="P486" i="9"/>
  <c r="V486" i="9"/>
  <c r="W486" i="9" s="1"/>
  <c r="P487" i="9"/>
  <c r="V487" i="9"/>
  <c r="W487" i="9" s="1"/>
  <c r="V488" i="9"/>
  <c r="W488" i="9" s="1"/>
  <c r="P488" i="9"/>
  <c r="V489" i="9"/>
  <c r="W489" i="9" s="1"/>
  <c r="P489" i="9"/>
  <c r="V490" i="9"/>
  <c r="W490" i="9" s="1"/>
  <c r="P490" i="9"/>
  <c r="P491" i="9"/>
  <c r="V491" i="9"/>
  <c r="W491" i="9" s="1"/>
  <c r="P492" i="9"/>
  <c r="V492" i="9"/>
  <c r="W492" i="9" s="1"/>
  <c r="V493" i="9"/>
  <c r="W493" i="9" s="1"/>
  <c r="P493" i="9"/>
  <c r="V494" i="9"/>
  <c r="W494" i="9" s="1"/>
  <c r="P494" i="9"/>
  <c r="P495" i="9"/>
  <c r="V495" i="9"/>
  <c r="W495" i="9" s="1"/>
  <c r="V496" i="9"/>
  <c r="W496" i="9" s="1"/>
  <c r="P496" i="9"/>
  <c r="P497" i="9"/>
  <c r="V497" i="9"/>
  <c r="W497" i="9" s="1"/>
  <c r="P498" i="9"/>
  <c r="V498" i="9"/>
  <c r="W498" i="9" s="1"/>
  <c r="V499" i="9"/>
  <c r="W499" i="9" s="1"/>
  <c r="P499" i="9"/>
  <c r="V500" i="9"/>
  <c r="W500" i="9" s="1"/>
  <c r="P500" i="9"/>
  <c r="V501" i="9"/>
  <c r="W501" i="9" s="1"/>
  <c r="P501" i="9"/>
  <c r="P502" i="9"/>
  <c r="V502" i="9"/>
  <c r="W502" i="9" s="1"/>
  <c r="P503" i="9"/>
  <c r="V503" i="9"/>
  <c r="W503" i="9" s="1"/>
  <c r="V504" i="9"/>
  <c r="W504" i="9" s="1"/>
  <c r="P504" i="9"/>
  <c r="V505" i="9"/>
  <c r="W505" i="9" s="1"/>
  <c r="P505" i="9"/>
  <c r="V506" i="9"/>
  <c r="W506" i="9" s="1"/>
  <c r="P506" i="9"/>
  <c r="P507" i="9"/>
  <c r="V507" i="9"/>
  <c r="W507" i="9" s="1"/>
  <c r="P508" i="9"/>
  <c r="V508" i="9"/>
  <c r="W508" i="9" s="1"/>
  <c r="V509" i="9"/>
  <c r="W509" i="9" s="1"/>
  <c r="P509" i="9"/>
  <c r="V510" i="9"/>
  <c r="W510" i="9" s="1"/>
  <c r="P510" i="9"/>
  <c r="S461" i="9" l="1"/>
  <c r="Q461" i="9"/>
  <c r="S445" i="9"/>
  <c r="Q445" i="9"/>
  <c r="S421" i="9"/>
  <c r="Q421" i="9"/>
  <c r="S405" i="9"/>
  <c r="Q405" i="9"/>
  <c r="S389" i="9"/>
  <c r="Q389" i="9"/>
  <c r="S373" i="9"/>
  <c r="Q373" i="9"/>
  <c r="S357" i="9"/>
  <c r="Q357" i="9"/>
  <c r="S349" i="9"/>
  <c r="Q349" i="9"/>
  <c r="S333" i="9"/>
  <c r="Q333" i="9"/>
  <c r="S309" i="9"/>
  <c r="Q309" i="9"/>
  <c r="S293" i="9"/>
  <c r="Q293" i="9"/>
  <c r="S277" i="9"/>
  <c r="Q277" i="9"/>
  <c r="S261" i="9"/>
  <c r="Q261" i="9"/>
  <c r="S245" i="9"/>
  <c r="Q245" i="9"/>
  <c r="S221" i="9"/>
  <c r="Q221" i="9"/>
  <c r="S205" i="9"/>
  <c r="Q205" i="9"/>
  <c r="S189" i="9"/>
  <c r="Q189" i="9"/>
  <c r="S173" i="9"/>
  <c r="Q173" i="9"/>
  <c r="S157" i="9"/>
  <c r="Q157" i="9"/>
  <c r="S141" i="9"/>
  <c r="Q141" i="9"/>
  <c r="S125" i="9"/>
  <c r="Q125" i="9"/>
  <c r="S109" i="9"/>
  <c r="Q109" i="9"/>
  <c r="S101" i="9"/>
  <c r="Q101" i="9"/>
  <c r="S85" i="9"/>
  <c r="Q85" i="9"/>
  <c r="S77" i="9"/>
  <c r="Q77" i="9"/>
  <c r="Q69" i="9"/>
  <c r="S69" i="9"/>
  <c r="S37" i="9"/>
  <c r="Q37" i="9"/>
  <c r="S21" i="9"/>
  <c r="Q21" i="9"/>
  <c r="S5" i="9"/>
  <c r="Q5" i="9"/>
  <c r="S500" i="9"/>
  <c r="Q500" i="9"/>
  <c r="S484" i="9"/>
  <c r="Q484" i="9"/>
  <c r="S468" i="9"/>
  <c r="Q468" i="9"/>
  <c r="S452" i="9"/>
  <c r="Q452" i="9"/>
  <c r="S436" i="9"/>
  <c r="Q436" i="9"/>
  <c r="S412" i="9"/>
  <c r="Q412" i="9"/>
  <c r="S396" i="9"/>
  <c r="Q396" i="9"/>
  <c r="S380" i="9"/>
  <c r="Q380" i="9"/>
  <c r="S348" i="9"/>
  <c r="Q348" i="9"/>
  <c r="Q332" i="9"/>
  <c r="S332" i="9"/>
  <c r="S324" i="9"/>
  <c r="Q324" i="9"/>
  <c r="Q316" i="9"/>
  <c r="S316" i="9"/>
  <c r="S308" i="9"/>
  <c r="Q308" i="9"/>
  <c r="S300" i="9"/>
  <c r="Q300" i="9"/>
  <c r="S268" i="9"/>
  <c r="Q268" i="9"/>
  <c r="S252" i="9"/>
  <c r="Q252" i="9"/>
  <c r="S236" i="9"/>
  <c r="Q236" i="9"/>
  <c r="S220" i="9"/>
  <c r="Q220" i="9"/>
  <c r="S196" i="9"/>
  <c r="Q196" i="9"/>
  <c r="S180" i="9"/>
  <c r="Q180" i="9"/>
  <c r="S164" i="9"/>
  <c r="Q164" i="9"/>
  <c r="S148" i="9"/>
  <c r="Q148" i="9"/>
  <c r="S132" i="9"/>
  <c r="Q132" i="9"/>
  <c r="S116" i="9"/>
  <c r="Q116" i="9"/>
  <c r="S100" i="9"/>
  <c r="Q100" i="9"/>
  <c r="S84" i="9"/>
  <c r="Q84" i="9"/>
  <c r="S76" i="9"/>
  <c r="Q76" i="9"/>
  <c r="S68" i="9"/>
  <c r="Q68" i="9"/>
  <c r="S60" i="9"/>
  <c r="Q60" i="9"/>
  <c r="S52" i="9"/>
  <c r="Q52" i="9"/>
  <c r="S36" i="9"/>
  <c r="Q36" i="9"/>
  <c r="S20" i="9"/>
  <c r="Q20" i="9"/>
  <c r="S12" i="9"/>
  <c r="Q12" i="9"/>
  <c r="W4" i="9"/>
  <c r="S508" i="9"/>
  <c r="Q508" i="9"/>
  <c r="S492" i="9"/>
  <c r="Q492" i="9"/>
  <c r="S476" i="9"/>
  <c r="Q476" i="9"/>
  <c r="S460" i="9"/>
  <c r="Q460" i="9"/>
  <c r="S444" i="9"/>
  <c r="Q444" i="9"/>
  <c r="S428" i="9"/>
  <c r="Q428" i="9"/>
  <c r="S420" i="9"/>
  <c r="Q420" i="9"/>
  <c r="S404" i="9"/>
  <c r="Q404" i="9"/>
  <c r="S388" i="9"/>
  <c r="Q388" i="9"/>
  <c r="S372" i="9"/>
  <c r="Q372" i="9"/>
  <c r="S364" i="9"/>
  <c r="Q364" i="9"/>
  <c r="S356" i="9"/>
  <c r="Q356" i="9"/>
  <c r="S340" i="9"/>
  <c r="Q340" i="9"/>
  <c r="S292" i="9"/>
  <c r="Q292" i="9"/>
  <c r="S284" i="9"/>
  <c r="Q284" i="9"/>
  <c r="S276" i="9"/>
  <c r="Q276" i="9"/>
  <c r="S260" i="9"/>
  <c r="Q260" i="9"/>
  <c r="S244" i="9"/>
  <c r="Q244" i="9"/>
  <c r="S228" i="9"/>
  <c r="Q228" i="9"/>
  <c r="S212" i="9"/>
  <c r="Q212" i="9"/>
  <c r="S204" i="9"/>
  <c r="Q204" i="9"/>
  <c r="S188" i="9"/>
  <c r="Q188" i="9"/>
  <c r="S172" i="9"/>
  <c r="Q172" i="9"/>
  <c r="S156" i="9"/>
  <c r="Q156" i="9"/>
  <c r="S140" i="9"/>
  <c r="Q140" i="9"/>
  <c r="S124" i="9"/>
  <c r="Q124" i="9"/>
  <c r="S108" i="9"/>
  <c r="Q108" i="9"/>
  <c r="S92" i="9"/>
  <c r="Q92" i="9"/>
  <c r="S44" i="9"/>
  <c r="Q44" i="9"/>
  <c r="S28" i="9"/>
  <c r="Q28" i="9"/>
  <c r="S499" i="9"/>
  <c r="Q499" i="9"/>
  <c r="S483" i="9"/>
  <c r="Q483" i="9"/>
  <c r="S467" i="9"/>
  <c r="Q467" i="9"/>
  <c r="Q451" i="9"/>
  <c r="S451" i="9"/>
  <c r="S419" i="9"/>
  <c r="Q419" i="9"/>
  <c r="S411" i="9"/>
  <c r="Q411" i="9"/>
  <c r="S403" i="9"/>
  <c r="Q403" i="9"/>
  <c r="S387" i="9"/>
  <c r="Q387" i="9"/>
  <c r="S371" i="9"/>
  <c r="Q371" i="9"/>
  <c r="S347" i="9"/>
  <c r="Q347" i="9"/>
  <c r="S331" i="9"/>
  <c r="Q331" i="9"/>
  <c r="Q323" i="9"/>
  <c r="S323" i="9"/>
  <c r="S307" i="9"/>
  <c r="Q307" i="9"/>
  <c r="S291" i="9"/>
  <c r="Q291" i="9"/>
  <c r="S275" i="9"/>
  <c r="Q275" i="9"/>
  <c r="S259" i="9"/>
  <c r="Q259" i="9"/>
  <c r="S235" i="9"/>
  <c r="Q235" i="9"/>
  <c r="S219" i="9"/>
  <c r="Q219" i="9"/>
  <c r="S203" i="9"/>
  <c r="Q203" i="9"/>
  <c r="S187" i="9"/>
  <c r="Q187" i="9"/>
  <c r="S171" i="9"/>
  <c r="Q171" i="9"/>
  <c r="S155" i="9"/>
  <c r="Q155" i="9"/>
  <c r="S139" i="9"/>
  <c r="Q139" i="9"/>
  <c r="S115" i="9"/>
  <c r="Q115" i="9"/>
  <c r="S99" i="9"/>
  <c r="Q99" i="9"/>
  <c r="Q91" i="9"/>
  <c r="S91" i="9"/>
  <c r="S83" i="9"/>
  <c r="Q83" i="9"/>
  <c r="S67" i="9"/>
  <c r="Q67" i="9"/>
  <c r="S51" i="9"/>
  <c r="Q51" i="9"/>
  <c r="S35" i="9"/>
  <c r="Q35" i="9"/>
  <c r="S19" i="9"/>
  <c r="Q19" i="9"/>
  <c r="S11" i="9"/>
  <c r="Q11" i="9"/>
  <c r="S507" i="9"/>
  <c r="Q507" i="9"/>
  <c r="S491" i="9"/>
  <c r="Q491" i="9"/>
  <c r="S475" i="9"/>
  <c r="Q475" i="9"/>
  <c r="S459" i="9"/>
  <c r="Q459" i="9"/>
  <c r="S443" i="9"/>
  <c r="Q443" i="9"/>
  <c r="S435" i="9"/>
  <c r="Q435" i="9"/>
  <c r="S427" i="9"/>
  <c r="Q427" i="9"/>
  <c r="S395" i="9"/>
  <c r="Q395" i="9"/>
  <c r="S379" i="9"/>
  <c r="Q379" i="9"/>
  <c r="S363" i="9"/>
  <c r="Q363" i="9"/>
  <c r="S355" i="9"/>
  <c r="Q355" i="9"/>
  <c r="Q339" i="9"/>
  <c r="S339" i="9"/>
  <c r="S315" i="9"/>
  <c r="Q315" i="9"/>
  <c r="S299" i="9"/>
  <c r="Q299" i="9"/>
  <c r="S283" i="9"/>
  <c r="Q283" i="9"/>
  <c r="S267" i="9"/>
  <c r="Q267" i="9"/>
  <c r="S251" i="9"/>
  <c r="Q251" i="9"/>
  <c r="S243" i="9"/>
  <c r="Q243" i="9"/>
  <c r="Q227" i="9"/>
  <c r="S227" i="9"/>
  <c r="Q211" i="9"/>
  <c r="S211" i="9"/>
  <c r="S195" i="9"/>
  <c r="Q195" i="9"/>
  <c r="S179" i="9"/>
  <c r="Q179" i="9"/>
  <c r="S163" i="9"/>
  <c r="Q163" i="9"/>
  <c r="S147" i="9"/>
  <c r="Q147" i="9"/>
  <c r="S131" i="9"/>
  <c r="Q131" i="9"/>
  <c r="S123" i="9"/>
  <c r="Q123" i="9"/>
  <c r="Q107" i="9"/>
  <c r="S107" i="9"/>
  <c r="S75" i="9"/>
  <c r="Q75" i="9"/>
  <c r="S59" i="9"/>
  <c r="Q59" i="9"/>
  <c r="Q43" i="9"/>
  <c r="S43" i="9"/>
  <c r="Q27" i="9"/>
  <c r="S27" i="9"/>
  <c r="W3" i="9"/>
  <c r="Q3" i="9"/>
  <c r="S506" i="9"/>
  <c r="Q506" i="9"/>
  <c r="S490" i="9"/>
  <c r="Q490" i="9"/>
  <c r="S474" i="9"/>
  <c r="Q474" i="9"/>
  <c r="S458" i="9"/>
  <c r="Q458" i="9"/>
  <c r="S442" i="9"/>
  <c r="Q442" i="9"/>
  <c r="Q426" i="9"/>
  <c r="S426" i="9"/>
  <c r="S418" i="9"/>
  <c r="Q418" i="9"/>
  <c r="S402" i="9"/>
  <c r="Q402" i="9"/>
  <c r="S370" i="9"/>
  <c r="Q370" i="9"/>
  <c r="Q354" i="9"/>
  <c r="S354" i="9"/>
  <c r="Q338" i="9"/>
  <c r="S338" i="9"/>
  <c r="Q322" i="9"/>
  <c r="S322" i="9"/>
  <c r="S306" i="9"/>
  <c r="Q306" i="9"/>
  <c r="S290" i="9"/>
  <c r="Q290" i="9"/>
  <c r="S274" i="9"/>
  <c r="Q274" i="9"/>
  <c r="S258" i="9"/>
  <c r="Q258" i="9"/>
  <c r="Q242" i="9"/>
  <c r="S242" i="9"/>
  <c r="Q226" i="9"/>
  <c r="S226" i="9"/>
  <c r="S202" i="9"/>
  <c r="Q202" i="9"/>
  <c r="S186" i="9"/>
  <c r="Q186" i="9"/>
  <c r="S170" i="9"/>
  <c r="Q170" i="9"/>
  <c r="S154" i="9"/>
  <c r="Q154" i="9"/>
  <c r="S138" i="9"/>
  <c r="Q138" i="9"/>
  <c r="Q122" i="9"/>
  <c r="S122" i="9"/>
  <c r="Q106" i="9"/>
  <c r="S106" i="9"/>
  <c r="Q90" i="9"/>
  <c r="S90" i="9"/>
  <c r="S82" i="9"/>
  <c r="Q82" i="9"/>
  <c r="S66" i="9"/>
  <c r="Q66" i="9"/>
  <c r="S50" i="9"/>
  <c r="Q50" i="9"/>
  <c r="S42" i="9"/>
  <c r="Q42" i="9"/>
  <c r="S34" i="9"/>
  <c r="Q34" i="9"/>
  <c r="S26" i="9"/>
  <c r="Q26" i="9"/>
  <c r="S18" i="9"/>
  <c r="Q18" i="9"/>
  <c r="S10" i="9"/>
  <c r="Q10" i="9"/>
  <c r="S498" i="9"/>
  <c r="Q498" i="9"/>
  <c r="S482" i="9"/>
  <c r="Q482" i="9"/>
  <c r="S466" i="9"/>
  <c r="Q466" i="9"/>
  <c r="S450" i="9"/>
  <c r="Q450" i="9"/>
  <c r="Q434" i="9"/>
  <c r="S434" i="9"/>
  <c r="Q410" i="9"/>
  <c r="S410" i="9"/>
  <c r="Q394" i="9"/>
  <c r="S394" i="9"/>
  <c r="S386" i="9"/>
  <c r="Q386" i="9"/>
  <c r="Q378" i="9"/>
  <c r="S378" i="9"/>
  <c r="Q362" i="9"/>
  <c r="S362" i="9"/>
  <c r="Q346" i="9"/>
  <c r="S346" i="9"/>
  <c r="Q330" i="9"/>
  <c r="S330" i="9"/>
  <c r="Q314" i="9"/>
  <c r="S314" i="9"/>
  <c r="Q298" i="9"/>
  <c r="S298" i="9"/>
  <c r="Q282" i="9"/>
  <c r="S282" i="9"/>
  <c r="Q266" i="9"/>
  <c r="S266" i="9"/>
  <c r="Q250" i="9"/>
  <c r="S250" i="9"/>
  <c r="Q234" i="9"/>
  <c r="S234" i="9"/>
  <c r="Q218" i="9"/>
  <c r="S218" i="9"/>
  <c r="Q210" i="9"/>
  <c r="S210" i="9"/>
  <c r="Q194" i="9"/>
  <c r="S194" i="9"/>
  <c r="Q178" i="9"/>
  <c r="S178" i="9"/>
  <c r="Q162" i="9"/>
  <c r="S162" i="9"/>
  <c r="Q146" i="9"/>
  <c r="S146" i="9"/>
  <c r="Q130" i="9"/>
  <c r="S130" i="9"/>
  <c r="Q114" i="9"/>
  <c r="S114" i="9"/>
  <c r="Q98" i="9"/>
  <c r="S98" i="9"/>
  <c r="Q74" i="9"/>
  <c r="S74" i="9"/>
  <c r="S58" i="9"/>
  <c r="Q58" i="9"/>
  <c r="W2" i="9"/>
  <c r="Q2" i="9"/>
  <c r="S505" i="9"/>
  <c r="Q505" i="9"/>
  <c r="S489" i="9"/>
  <c r="Q489" i="9"/>
  <c r="S457" i="9"/>
  <c r="Q457" i="9"/>
  <c r="Q441" i="9"/>
  <c r="S441" i="9"/>
  <c r="S433" i="9"/>
  <c r="Q433" i="9"/>
  <c r="S425" i="9"/>
  <c r="Q425" i="9"/>
  <c r="S417" i="9"/>
  <c r="Q417" i="9"/>
  <c r="S409" i="9"/>
  <c r="Q409" i="9"/>
  <c r="S401" i="9"/>
  <c r="Q401" i="9"/>
  <c r="S393" i="9"/>
  <c r="Q393" i="9"/>
  <c r="S385" i="9"/>
  <c r="Q385" i="9"/>
  <c r="S377" i="9"/>
  <c r="Q377" i="9"/>
  <c r="S369" i="9"/>
  <c r="Q369" i="9"/>
  <c r="S361" i="9"/>
  <c r="Q361" i="9"/>
  <c r="S353" i="9"/>
  <c r="Q353" i="9"/>
  <c r="S345" i="9"/>
  <c r="Q345" i="9"/>
  <c r="S337" i="9"/>
  <c r="Q337" i="9"/>
  <c r="S329" i="9"/>
  <c r="Q329" i="9"/>
  <c r="S321" i="9"/>
  <c r="Q321" i="9"/>
  <c r="S313" i="9"/>
  <c r="Q313" i="9"/>
  <c r="S305" i="9"/>
  <c r="Q305" i="9"/>
  <c r="S297" i="9"/>
  <c r="Q297" i="9"/>
  <c r="S281" i="9"/>
  <c r="Q281" i="9"/>
  <c r="S273" i="9"/>
  <c r="Q273" i="9"/>
  <c r="S265" i="9"/>
  <c r="Q265" i="9"/>
  <c r="S249" i="9"/>
  <c r="Q249" i="9"/>
  <c r="S241" i="9"/>
  <c r="Q241" i="9"/>
  <c r="S233" i="9"/>
  <c r="Q233" i="9"/>
  <c r="S225" i="9"/>
  <c r="Q225" i="9"/>
  <c r="S217" i="9"/>
  <c r="Q217" i="9"/>
  <c r="S209" i="9"/>
  <c r="Q209" i="9"/>
  <c r="S201" i="9"/>
  <c r="Q201" i="9"/>
  <c r="S193" i="9"/>
  <c r="Q193" i="9"/>
  <c r="S185" i="9"/>
  <c r="Q185" i="9"/>
  <c r="S177" i="9"/>
  <c r="Q177" i="9"/>
  <c r="S169" i="9"/>
  <c r="Q169" i="9"/>
  <c r="S161" i="9"/>
  <c r="Q161" i="9"/>
  <c r="S153" i="9"/>
  <c r="Q153" i="9"/>
  <c r="S145" i="9"/>
  <c r="Q145" i="9"/>
  <c r="S137" i="9"/>
  <c r="Q137" i="9"/>
  <c r="S129" i="9"/>
  <c r="Q129" i="9"/>
  <c r="S121" i="9"/>
  <c r="Q121" i="9"/>
  <c r="S113" i="9"/>
  <c r="Q113" i="9"/>
  <c r="S105" i="9"/>
  <c r="Q105" i="9"/>
  <c r="S97" i="9"/>
  <c r="Q97" i="9"/>
  <c r="S89" i="9"/>
  <c r="Q89" i="9"/>
  <c r="S81" i="9"/>
  <c r="Q81" i="9"/>
  <c r="S73" i="9"/>
  <c r="Q73" i="9"/>
  <c r="S65" i="9"/>
  <c r="Q65" i="9"/>
  <c r="S41" i="9"/>
  <c r="Q41" i="9"/>
  <c r="S25" i="9"/>
  <c r="Q25" i="9"/>
  <c r="S9" i="9"/>
  <c r="Q9" i="9"/>
  <c r="Q497" i="9"/>
  <c r="S497" i="9"/>
  <c r="Q481" i="9"/>
  <c r="S481" i="9"/>
  <c r="S473" i="9"/>
  <c r="Q473" i="9"/>
  <c r="Q465" i="9"/>
  <c r="S465" i="9"/>
  <c r="Q449" i="9"/>
  <c r="S449" i="9"/>
  <c r="S289" i="9"/>
  <c r="Q289" i="9"/>
  <c r="S257" i="9"/>
  <c r="Q257" i="9"/>
  <c r="Q57" i="9"/>
  <c r="S57" i="9"/>
  <c r="S49" i="9"/>
  <c r="Q49" i="9"/>
  <c r="S33" i="9"/>
  <c r="Q33" i="9"/>
  <c r="S17" i="9"/>
  <c r="Q17" i="9"/>
  <c r="S504" i="9"/>
  <c r="Q504" i="9"/>
  <c r="S496" i="9"/>
  <c r="Q496" i="9"/>
  <c r="S488" i="9"/>
  <c r="Q488" i="9"/>
  <c r="S480" i="9"/>
  <c r="Q480" i="9"/>
  <c r="S472" i="9"/>
  <c r="Q472" i="9"/>
  <c r="S464" i="9"/>
  <c r="Q464" i="9"/>
  <c r="S456" i="9"/>
  <c r="Q456" i="9"/>
  <c r="S448" i="9"/>
  <c r="Q448" i="9"/>
  <c r="S440" i="9"/>
  <c r="Q440" i="9"/>
  <c r="S432" i="9"/>
  <c r="Q432" i="9"/>
  <c r="S424" i="9"/>
  <c r="Q424" i="9"/>
  <c r="S408" i="9"/>
  <c r="Q408" i="9"/>
  <c r="S392" i="9"/>
  <c r="Q392" i="9"/>
  <c r="S376" i="9"/>
  <c r="Q376" i="9"/>
  <c r="S360" i="9"/>
  <c r="Q360" i="9"/>
  <c r="S344" i="9"/>
  <c r="Q344" i="9"/>
  <c r="S312" i="9"/>
  <c r="Q312" i="9"/>
  <c r="S304" i="9"/>
  <c r="Q304" i="9"/>
  <c r="S296" i="9"/>
  <c r="Q296" i="9"/>
  <c r="S280" i="9"/>
  <c r="Q280" i="9"/>
  <c r="S264" i="9"/>
  <c r="Q264" i="9"/>
  <c r="S256" i="9"/>
  <c r="Q256" i="9"/>
  <c r="S248" i="9"/>
  <c r="Q248" i="9"/>
  <c r="S232" i="9"/>
  <c r="Q232" i="9"/>
  <c r="S216" i="9"/>
  <c r="Q216" i="9"/>
  <c r="S192" i="9"/>
  <c r="Q192" i="9"/>
  <c r="S176" i="9"/>
  <c r="Q176" i="9"/>
  <c r="S160" i="9"/>
  <c r="Q160" i="9"/>
  <c r="S144" i="9"/>
  <c r="Q144" i="9"/>
  <c r="S128" i="9"/>
  <c r="Q128" i="9"/>
  <c r="S112" i="9"/>
  <c r="Q112" i="9"/>
  <c r="S96" i="9"/>
  <c r="Q96" i="9"/>
  <c r="S80" i="9"/>
  <c r="Q80" i="9"/>
  <c r="S72" i="9"/>
  <c r="Q72" i="9"/>
  <c r="S40" i="9"/>
  <c r="Q40" i="9"/>
  <c r="S24" i="9"/>
  <c r="Q24" i="9"/>
  <c r="S8" i="9"/>
  <c r="Q8" i="9"/>
  <c r="S416" i="9"/>
  <c r="Q416" i="9"/>
  <c r="S400" i="9"/>
  <c r="Q400" i="9"/>
  <c r="S384" i="9"/>
  <c r="Q384" i="9"/>
  <c r="S368" i="9"/>
  <c r="Q368" i="9"/>
  <c r="S352" i="9"/>
  <c r="Q352" i="9"/>
  <c r="S336" i="9"/>
  <c r="Q336" i="9"/>
  <c r="S328" i="9"/>
  <c r="Q328" i="9"/>
  <c r="S320" i="9"/>
  <c r="Q320" i="9"/>
  <c r="S288" i="9"/>
  <c r="Q288" i="9"/>
  <c r="S272" i="9"/>
  <c r="Q272" i="9"/>
  <c r="S240" i="9"/>
  <c r="Q240" i="9"/>
  <c r="S224" i="9"/>
  <c r="Q224" i="9"/>
  <c r="S208" i="9"/>
  <c r="Q208" i="9"/>
  <c r="S200" i="9"/>
  <c r="Q200" i="9"/>
  <c r="S184" i="9"/>
  <c r="Q184" i="9"/>
  <c r="S168" i="9"/>
  <c r="Q168" i="9"/>
  <c r="S152" i="9"/>
  <c r="Q152" i="9"/>
  <c r="S136" i="9"/>
  <c r="Q136" i="9"/>
  <c r="S120" i="9"/>
  <c r="Q120" i="9"/>
  <c r="S104" i="9"/>
  <c r="Q104" i="9"/>
  <c r="S88" i="9"/>
  <c r="Q88" i="9"/>
  <c r="S64" i="9"/>
  <c r="Q64" i="9"/>
  <c r="Q56" i="9"/>
  <c r="S56" i="9"/>
  <c r="Q48" i="9"/>
  <c r="S48" i="9"/>
  <c r="Q32" i="9"/>
  <c r="S32" i="9"/>
  <c r="Q16" i="9"/>
  <c r="S16" i="9"/>
  <c r="S512" i="9"/>
  <c r="Q512" i="9"/>
  <c r="S479" i="9"/>
  <c r="Q479" i="9"/>
  <c r="S463" i="9"/>
  <c r="Q463" i="9"/>
  <c r="S439" i="9"/>
  <c r="Q439" i="9"/>
  <c r="S423" i="9"/>
  <c r="Q423" i="9"/>
  <c r="S407" i="9"/>
  <c r="Q407" i="9"/>
  <c r="S391" i="9"/>
  <c r="Q391" i="9"/>
  <c r="S375" i="9"/>
  <c r="Q375" i="9"/>
  <c r="S359" i="9"/>
  <c r="Q359" i="9"/>
  <c r="S311" i="9"/>
  <c r="Q311" i="9"/>
  <c r="S295" i="9"/>
  <c r="Q295" i="9"/>
  <c r="S279" i="9"/>
  <c r="Q279" i="9"/>
  <c r="S263" i="9"/>
  <c r="Q263" i="9"/>
  <c r="S247" i="9"/>
  <c r="Q247" i="9"/>
  <c r="S191" i="9"/>
  <c r="Q191" i="9"/>
  <c r="S175" i="9"/>
  <c r="Q175" i="9"/>
  <c r="S159" i="9"/>
  <c r="Q159" i="9"/>
  <c r="S143" i="9"/>
  <c r="Q143" i="9"/>
  <c r="S127" i="9"/>
  <c r="Q127" i="9"/>
  <c r="S111" i="9"/>
  <c r="Q111" i="9"/>
  <c r="S79" i="9"/>
  <c r="Q79" i="9"/>
  <c r="S71" i="9"/>
  <c r="Q71" i="9"/>
  <c r="S47" i="9"/>
  <c r="Q47" i="9"/>
  <c r="S39" i="9"/>
  <c r="Q39" i="9"/>
  <c r="S31" i="9"/>
  <c r="Q31" i="9"/>
  <c r="S23" i="9"/>
  <c r="Q23" i="9"/>
  <c r="S15" i="9"/>
  <c r="Q15" i="9"/>
  <c r="S7" i="9"/>
  <c r="Q7" i="9"/>
  <c r="S503" i="9"/>
  <c r="Q503" i="9"/>
  <c r="S495" i="9"/>
  <c r="Q495" i="9"/>
  <c r="S487" i="9"/>
  <c r="Q487" i="9"/>
  <c r="S471" i="9"/>
  <c r="Q471" i="9"/>
  <c r="S455" i="9"/>
  <c r="Q455" i="9"/>
  <c r="S447" i="9"/>
  <c r="Q447" i="9"/>
  <c r="S431" i="9"/>
  <c r="Q431" i="9"/>
  <c r="Q415" i="9"/>
  <c r="S415" i="9"/>
  <c r="Q399" i="9"/>
  <c r="S399" i="9"/>
  <c r="Q383" i="9"/>
  <c r="S383" i="9"/>
  <c r="Q367" i="9"/>
  <c r="S367" i="9"/>
  <c r="Q351" i="9"/>
  <c r="S351" i="9"/>
  <c r="S343" i="9"/>
  <c r="Q343" i="9"/>
  <c r="Q335" i="9"/>
  <c r="S335" i="9"/>
  <c r="Q327" i="9"/>
  <c r="S327" i="9"/>
  <c r="Q319" i="9"/>
  <c r="S319" i="9"/>
  <c r="Q303" i="9"/>
  <c r="S303" i="9"/>
  <c r="Q287" i="9"/>
  <c r="S287" i="9"/>
  <c r="Q271" i="9"/>
  <c r="S271" i="9"/>
  <c r="Q255" i="9"/>
  <c r="S255" i="9"/>
  <c r="Q239" i="9"/>
  <c r="S239" i="9"/>
  <c r="S231" i="9"/>
  <c r="Q231" i="9"/>
  <c r="Q223" i="9"/>
  <c r="S223" i="9"/>
  <c r="S215" i="9"/>
  <c r="Q215" i="9"/>
  <c r="Q207" i="9"/>
  <c r="S207" i="9"/>
  <c r="Q199" i="9"/>
  <c r="S199" i="9"/>
  <c r="Q183" i="9"/>
  <c r="S183" i="9"/>
  <c r="Q167" i="9"/>
  <c r="S167" i="9"/>
  <c r="Q151" i="9"/>
  <c r="S151" i="9"/>
  <c r="Q135" i="9"/>
  <c r="S135" i="9"/>
  <c r="Q119" i="9"/>
  <c r="S119" i="9"/>
  <c r="Q103" i="9"/>
  <c r="S103" i="9"/>
  <c r="S95" i="9"/>
  <c r="Q95" i="9"/>
  <c r="Q87" i="9"/>
  <c r="S87" i="9"/>
  <c r="S63" i="9"/>
  <c r="Q63" i="9"/>
  <c r="S55" i="9"/>
  <c r="Q55" i="9"/>
  <c r="N514" i="9"/>
  <c r="M515" i="9"/>
  <c r="S510" i="9"/>
  <c r="Q510" i="9"/>
  <c r="S494" i="9"/>
  <c r="Q494" i="9"/>
  <c r="S478" i="9"/>
  <c r="Q478" i="9"/>
  <c r="S462" i="9"/>
  <c r="Q462" i="9"/>
  <c r="Q446" i="9"/>
  <c r="S446" i="9"/>
  <c r="Q438" i="9"/>
  <c r="S438" i="9"/>
  <c r="Q430" i="9"/>
  <c r="S430" i="9"/>
  <c r="S414" i="9"/>
  <c r="Q414" i="9"/>
  <c r="S406" i="9"/>
  <c r="Q406" i="9"/>
  <c r="S398" i="9"/>
  <c r="Q398" i="9"/>
  <c r="S390" i="9"/>
  <c r="Q390" i="9"/>
  <c r="S382" i="9"/>
  <c r="Q382" i="9"/>
  <c r="S374" i="9"/>
  <c r="Q374" i="9"/>
  <c r="S366" i="9"/>
  <c r="Q366" i="9"/>
  <c r="S358" i="9"/>
  <c r="Q358" i="9"/>
  <c r="S350" i="9"/>
  <c r="Q350" i="9"/>
  <c r="S342" i="9"/>
  <c r="Q342" i="9"/>
  <c r="S334" i="9"/>
  <c r="Q334" i="9"/>
  <c r="S326" i="9"/>
  <c r="Q326" i="9"/>
  <c r="S318" i="9"/>
  <c r="Q318" i="9"/>
  <c r="S310" i="9"/>
  <c r="Q310" i="9"/>
  <c r="S302" i="9"/>
  <c r="Q302" i="9"/>
  <c r="S294" i="9"/>
  <c r="Q294" i="9"/>
  <c r="S286" i="9"/>
  <c r="Q286" i="9"/>
  <c r="S278" i="9"/>
  <c r="Q278" i="9"/>
  <c r="S270" i="9"/>
  <c r="Q270" i="9"/>
  <c r="S262" i="9"/>
  <c r="Q262" i="9"/>
  <c r="S254" i="9"/>
  <c r="Q254" i="9"/>
  <c r="S246" i="9"/>
  <c r="Q246" i="9"/>
  <c r="S238" i="9"/>
  <c r="Q238" i="9"/>
  <c r="S230" i="9"/>
  <c r="Q230" i="9"/>
  <c r="S222" i="9"/>
  <c r="Q222" i="9"/>
  <c r="S214" i="9"/>
  <c r="Q214" i="9"/>
  <c r="S206" i="9"/>
  <c r="Q206" i="9"/>
  <c r="S198" i="9"/>
  <c r="Q198" i="9"/>
  <c r="S190" i="9"/>
  <c r="Q190" i="9"/>
  <c r="S182" i="9"/>
  <c r="Q182" i="9"/>
  <c r="S174" i="9"/>
  <c r="Q174" i="9"/>
  <c r="S166" i="9"/>
  <c r="Q166" i="9"/>
  <c r="S158" i="9"/>
  <c r="Q158" i="9"/>
  <c r="S150" i="9"/>
  <c r="Q150" i="9"/>
  <c r="S142" i="9"/>
  <c r="Q142" i="9"/>
  <c r="S134" i="9"/>
  <c r="Q134" i="9"/>
  <c r="S126" i="9"/>
  <c r="Q126" i="9"/>
  <c r="S118" i="9"/>
  <c r="Q118" i="9"/>
  <c r="S110" i="9"/>
  <c r="Q110" i="9"/>
  <c r="S102" i="9"/>
  <c r="Q102" i="9"/>
  <c r="S94" i="9"/>
  <c r="Q94" i="9"/>
  <c r="S86" i="9"/>
  <c r="Q86" i="9"/>
  <c r="S78" i="9"/>
  <c r="Q78" i="9"/>
  <c r="S62" i="9"/>
  <c r="Q62" i="9"/>
  <c r="S54" i="9"/>
  <c r="Q54" i="9"/>
  <c r="S46" i="9"/>
  <c r="Q46" i="9"/>
  <c r="S30" i="9"/>
  <c r="Q30" i="9"/>
  <c r="S14" i="9"/>
  <c r="Q14" i="9"/>
  <c r="P513" i="9"/>
  <c r="V513" i="9"/>
  <c r="W513" i="9" s="1"/>
  <c r="Q502" i="9"/>
  <c r="S502" i="9"/>
  <c r="Q486" i="9"/>
  <c r="S486" i="9"/>
  <c r="Q470" i="9"/>
  <c r="S470" i="9"/>
  <c r="Q454" i="9"/>
  <c r="S454" i="9"/>
  <c r="S422" i="9"/>
  <c r="Q422" i="9"/>
  <c r="S70" i="9"/>
  <c r="Q70" i="9"/>
  <c r="S38" i="9"/>
  <c r="Q38" i="9"/>
  <c r="S22" i="9"/>
  <c r="Q22" i="9"/>
  <c r="S6" i="9"/>
  <c r="Q6" i="9"/>
  <c r="S509" i="9"/>
  <c r="Q509" i="9"/>
  <c r="S501" i="9"/>
  <c r="Q501" i="9"/>
  <c r="S493" i="9"/>
  <c r="Q493" i="9"/>
  <c r="S485" i="9"/>
  <c r="Q485" i="9"/>
  <c r="S477" i="9"/>
  <c r="Q477" i="9"/>
  <c r="S469" i="9"/>
  <c r="Q469" i="9"/>
  <c r="S453" i="9"/>
  <c r="Q453" i="9"/>
  <c r="S437" i="9"/>
  <c r="Q437" i="9"/>
  <c r="S429" i="9"/>
  <c r="Q429" i="9"/>
  <c r="S413" i="9"/>
  <c r="Q413" i="9"/>
  <c r="S397" i="9"/>
  <c r="Q397" i="9"/>
  <c r="S381" i="9"/>
  <c r="Q381" i="9"/>
  <c r="S365" i="9"/>
  <c r="Q365" i="9"/>
  <c r="S341" i="9"/>
  <c r="Q341" i="9"/>
  <c r="S325" i="9"/>
  <c r="Q325" i="9"/>
  <c r="S317" i="9"/>
  <c r="Q317" i="9"/>
  <c r="S301" i="9"/>
  <c r="Q301" i="9"/>
  <c r="S285" i="9"/>
  <c r="Q285" i="9"/>
  <c r="S269" i="9"/>
  <c r="Q269" i="9"/>
  <c r="S253" i="9"/>
  <c r="Q253" i="9"/>
  <c r="S237" i="9"/>
  <c r="Q237" i="9"/>
  <c r="S229" i="9"/>
  <c r="Q229" i="9"/>
  <c r="S213" i="9"/>
  <c r="Q213" i="9"/>
  <c r="S197" i="9"/>
  <c r="Q197" i="9"/>
  <c r="S181" i="9"/>
  <c r="Q181" i="9"/>
  <c r="S165" i="9"/>
  <c r="Q165" i="9"/>
  <c r="S149" i="9"/>
  <c r="Q149" i="9"/>
  <c r="S133" i="9"/>
  <c r="Q133" i="9"/>
  <c r="S117" i="9"/>
  <c r="Q117" i="9"/>
  <c r="S93" i="9"/>
  <c r="Q93" i="9"/>
  <c r="S61" i="9"/>
  <c r="Q61" i="9"/>
  <c r="S53" i="9"/>
  <c r="Q53" i="9"/>
  <c r="S45" i="9"/>
  <c r="Q45" i="9"/>
  <c r="S29" i="9"/>
  <c r="Q29" i="9"/>
  <c r="S13" i="9"/>
  <c r="Q13" i="9"/>
  <c r="Q513" i="9" l="1"/>
  <c r="S513" i="9"/>
  <c r="N515" i="9"/>
  <c r="M516" i="9"/>
  <c r="P514" i="9"/>
  <c r="V514" i="9"/>
  <c r="W514" i="9" s="1"/>
  <c r="N516" i="9" l="1"/>
  <c r="M517" i="9"/>
  <c r="V515" i="9"/>
  <c r="W515" i="9" s="1"/>
  <c r="P515" i="9"/>
  <c r="S514" i="9"/>
  <c r="Q514" i="9"/>
  <c r="S515" i="9" l="1"/>
  <c r="Q515" i="9"/>
  <c r="N517" i="9"/>
  <c r="M518" i="9"/>
  <c r="V516" i="9"/>
  <c r="W516" i="9" s="1"/>
  <c r="P516" i="9"/>
  <c r="S516" i="9" l="1"/>
  <c r="Q516" i="9"/>
  <c r="N518" i="9"/>
  <c r="M519" i="9"/>
  <c r="V517" i="9"/>
  <c r="W517" i="9" s="1"/>
  <c r="P517" i="9"/>
  <c r="S517" i="9" l="1"/>
  <c r="Q517" i="9"/>
  <c r="N519" i="9"/>
  <c r="M520" i="9"/>
  <c r="P518" i="9"/>
  <c r="V518" i="9"/>
  <c r="W518" i="9" s="1"/>
  <c r="Q518" i="9" l="1"/>
  <c r="S518" i="9"/>
  <c r="N520" i="9"/>
  <c r="M521" i="9"/>
  <c r="P519" i="9"/>
  <c r="V519" i="9"/>
  <c r="W519" i="9" s="1"/>
  <c r="S519" i="9" l="1"/>
  <c r="Q519" i="9"/>
  <c r="N521" i="9"/>
  <c r="M522" i="9"/>
  <c r="V520" i="9"/>
  <c r="W520" i="9" s="1"/>
  <c r="P520" i="9"/>
  <c r="S520" i="9" l="1"/>
  <c r="Q520" i="9"/>
  <c r="M523" i="9"/>
  <c r="N522" i="9"/>
  <c r="V521" i="9"/>
  <c r="W521" i="9" s="1"/>
  <c r="P521" i="9"/>
  <c r="N523" i="9" l="1"/>
  <c r="M524" i="9"/>
  <c r="S521" i="9"/>
  <c r="Q521" i="9"/>
  <c r="V522" i="9"/>
  <c r="W522" i="9" s="1"/>
  <c r="P522" i="9"/>
  <c r="S522" i="9" l="1"/>
  <c r="Q522" i="9"/>
  <c r="N524" i="9"/>
  <c r="M525" i="9"/>
  <c r="P523" i="9"/>
  <c r="V523" i="9"/>
  <c r="W523" i="9" s="1"/>
  <c r="S523" i="9" l="1"/>
  <c r="Q523" i="9"/>
  <c r="P524" i="9"/>
  <c r="V524" i="9"/>
  <c r="W524" i="9" s="1"/>
  <c r="N525" i="9"/>
  <c r="M526" i="9"/>
  <c r="S524" i="9" l="1"/>
  <c r="Q524" i="9"/>
  <c r="N526" i="9"/>
  <c r="M527" i="9"/>
  <c r="V525" i="9"/>
  <c r="W525" i="9" s="1"/>
  <c r="P525" i="9"/>
  <c r="V526" i="9" l="1"/>
  <c r="W526" i="9" s="1"/>
  <c r="P526" i="9"/>
  <c r="N527" i="9"/>
  <c r="M528" i="9"/>
  <c r="S525" i="9"/>
  <c r="Q525" i="9"/>
  <c r="V527" i="9" l="1"/>
  <c r="W527" i="9" s="1"/>
  <c r="P527" i="9"/>
  <c r="S526" i="9"/>
  <c r="Q526" i="9"/>
  <c r="N528" i="9"/>
  <c r="M529" i="9"/>
  <c r="V528" i="9" l="1"/>
  <c r="W528" i="9" s="1"/>
  <c r="P528" i="9"/>
  <c r="S527" i="9"/>
  <c r="Q527" i="9"/>
  <c r="N529" i="9"/>
  <c r="M530" i="9"/>
  <c r="S528" i="9" l="1"/>
  <c r="Q528" i="9"/>
  <c r="N530" i="9"/>
  <c r="M531" i="9"/>
  <c r="P529" i="9"/>
  <c r="V529" i="9"/>
  <c r="W529" i="9" s="1"/>
  <c r="N531" i="9" l="1"/>
  <c r="M532" i="9"/>
  <c r="P530" i="9"/>
  <c r="V530" i="9"/>
  <c r="W530" i="9" s="1"/>
  <c r="Q529" i="9"/>
  <c r="S529" i="9"/>
  <c r="N532" i="9" l="1"/>
  <c r="M533" i="9"/>
  <c r="S530" i="9"/>
  <c r="Q530" i="9"/>
  <c r="V531" i="9"/>
  <c r="W531" i="9" s="1"/>
  <c r="P531" i="9"/>
  <c r="S531" i="9" l="1"/>
  <c r="Q531" i="9"/>
  <c r="N533" i="9"/>
  <c r="M534" i="9"/>
  <c r="V532" i="9"/>
  <c r="W532" i="9" s="1"/>
  <c r="P532" i="9"/>
  <c r="V533" i="9" l="1"/>
  <c r="W533" i="9" s="1"/>
  <c r="P533" i="9"/>
  <c r="S532" i="9"/>
  <c r="Q532" i="9"/>
  <c r="N534" i="9"/>
  <c r="M535" i="9"/>
  <c r="S533" i="9" l="1"/>
  <c r="Q533" i="9"/>
  <c r="N535" i="9"/>
  <c r="M536" i="9"/>
  <c r="P534" i="9"/>
  <c r="V534" i="9"/>
  <c r="W534" i="9" s="1"/>
  <c r="P535" i="9" l="1"/>
  <c r="V535" i="9"/>
  <c r="W535" i="9" s="1"/>
  <c r="Q534" i="9"/>
  <c r="S534" i="9"/>
  <c r="N536" i="9"/>
  <c r="M537" i="9"/>
  <c r="N537" i="9" l="1"/>
  <c r="M538" i="9"/>
  <c r="V536" i="9"/>
  <c r="W536" i="9" s="1"/>
  <c r="P536" i="9"/>
  <c r="S535" i="9"/>
  <c r="Q535" i="9"/>
  <c r="M539" i="9" l="1"/>
  <c r="N538" i="9"/>
  <c r="S536" i="9"/>
  <c r="Q536" i="9"/>
  <c r="V537" i="9"/>
  <c r="W537" i="9" s="1"/>
  <c r="P537" i="9"/>
  <c r="S537" i="9" l="1"/>
  <c r="Q537" i="9"/>
  <c r="V538" i="9"/>
  <c r="W538" i="9" s="1"/>
  <c r="P538" i="9"/>
  <c r="N539" i="9"/>
  <c r="M540" i="9"/>
  <c r="S538" i="9" l="1"/>
  <c r="Q538" i="9"/>
  <c r="N540" i="9"/>
  <c r="M541" i="9"/>
  <c r="P539" i="9"/>
  <c r="V539" i="9"/>
  <c r="W539" i="9" s="1"/>
  <c r="S539" i="9" l="1"/>
  <c r="Q539" i="9"/>
  <c r="P540" i="9"/>
  <c r="V540" i="9"/>
  <c r="W540" i="9" s="1"/>
  <c r="N541" i="9"/>
  <c r="M542" i="9"/>
  <c r="S540" i="9" l="1"/>
  <c r="Q540" i="9"/>
  <c r="N542" i="9"/>
  <c r="M543" i="9"/>
  <c r="V541" i="9"/>
  <c r="W541" i="9" s="1"/>
  <c r="P541" i="9"/>
  <c r="S541" i="9" l="1"/>
  <c r="Q541" i="9"/>
  <c r="V542" i="9"/>
  <c r="W542" i="9" s="1"/>
  <c r="P542" i="9"/>
  <c r="N543" i="9"/>
  <c r="M544" i="9"/>
  <c r="N544" i="9" l="1"/>
  <c r="M545" i="9"/>
  <c r="V543" i="9"/>
  <c r="W543" i="9" s="1"/>
  <c r="P543" i="9"/>
  <c r="S542" i="9"/>
  <c r="Q542" i="9"/>
  <c r="S543" i="9" l="1"/>
  <c r="Q543" i="9"/>
  <c r="N545" i="9"/>
  <c r="M546" i="9"/>
  <c r="V544" i="9"/>
  <c r="W544" i="9" s="1"/>
  <c r="P544" i="9"/>
  <c r="N546" i="9" l="1"/>
  <c r="M547" i="9"/>
  <c r="P545" i="9"/>
  <c r="V545" i="9"/>
  <c r="W545" i="9" s="1"/>
  <c r="S544" i="9"/>
  <c r="Q544" i="9"/>
  <c r="N547" i="9" l="1"/>
  <c r="M548" i="9"/>
  <c r="Q545" i="9"/>
  <c r="S545" i="9"/>
  <c r="P546" i="9"/>
  <c r="V546" i="9"/>
  <c r="W546" i="9" s="1"/>
  <c r="N548" i="9" l="1"/>
  <c r="M549" i="9"/>
  <c r="S546" i="9"/>
  <c r="Q546" i="9"/>
  <c r="V547" i="9"/>
  <c r="W547" i="9" s="1"/>
  <c r="P547" i="9"/>
  <c r="N549" i="9" l="1"/>
  <c r="M550" i="9"/>
  <c r="S547" i="9"/>
  <c r="Q547" i="9"/>
  <c r="V548" i="9"/>
  <c r="W548" i="9" s="1"/>
  <c r="P548" i="9"/>
  <c r="S548" i="9" l="1"/>
  <c r="Q548" i="9"/>
  <c r="N550" i="9"/>
  <c r="M551" i="9"/>
  <c r="V549" i="9"/>
  <c r="W549" i="9" s="1"/>
  <c r="P549" i="9"/>
  <c r="S549" i="9" l="1"/>
  <c r="Q549" i="9"/>
  <c r="P550" i="9"/>
  <c r="V550" i="9"/>
  <c r="W550" i="9" s="1"/>
  <c r="N551" i="9"/>
  <c r="M552" i="9"/>
  <c r="S550" i="9" l="1"/>
  <c r="Q550" i="9"/>
  <c r="M553" i="9"/>
  <c r="N552" i="9"/>
  <c r="V551" i="9"/>
  <c r="W551" i="9" s="1"/>
  <c r="P551" i="9"/>
  <c r="S551" i="9" l="1"/>
  <c r="Q551" i="9"/>
  <c r="N553" i="9"/>
  <c r="M554" i="9"/>
  <c r="V552" i="9"/>
  <c r="W552" i="9" s="1"/>
  <c r="P552" i="9"/>
  <c r="V553" i="9" l="1"/>
  <c r="W553" i="9" s="1"/>
  <c r="P553" i="9"/>
  <c r="Q552" i="9"/>
  <c r="S552" i="9"/>
  <c r="N554" i="9"/>
  <c r="M555" i="9"/>
  <c r="N555" i="9" l="1"/>
  <c r="M556" i="9"/>
  <c r="P554" i="9"/>
  <c r="V554" i="9"/>
  <c r="W554" i="9" s="1"/>
  <c r="S553" i="9"/>
  <c r="Q553" i="9"/>
  <c r="N556" i="9" l="1"/>
  <c r="M557" i="9"/>
  <c r="Q554" i="9"/>
  <c r="S554" i="9"/>
  <c r="V555" i="9"/>
  <c r="W555" i="9" s="1"/>
  <c r="P555" i="9"/>
  <c r="S555" i="9" l="1"/>
  <c r="Q555" i="9"/>
  <c r="N557" i="9"/>
  <c r="M558" i="9"/>
  <c r="V556" i="9"/>
  <c r="W556" i="9" s="1"/>
  <c r="P556" i="9"/>
  <c r="P557" i="9" l="1"/>
  <c r="V557" i="9"/>
  <c r="W557" i="9" s="1"/>
  <c r="S556" i="9"/>
  <c r="Q556" i="9"/>
  <c r="N558" i="9"/>
  <c r="M559" i="9"/>
  <c r="P558" i="9" l="1"/>
  <c r="V558" i="9"/>
  <c r="W558" i="9" s="1"/>
  <c r="N559" i="9"/>
  <c r="M560" i="9"/>
  <c r="S557" i="9"/>
  <c r="Q557" i="9"/>
  <c r="V559" i="9" l="1"/>
  <c r="W559" i="9" s="1"/>
  <c r="P559" i="9"/>
  <c r="M561" i="9"/>
  <c r="N560" i="9"/>
  <c r="S558" i="9"/>
  <c r="Q558" i="9"/>
  <c r="N561" i="9" l="1"/>
  <c r="M562" i="9"/>
  <c r="V560" i="9"/>
  <c r="W560" i="9" s="1"/>
  <c r="P560" i="9"/>
  <c r="S559" i="9"/>
  <c r="Q559" i="9"/>
  <c r="Q560" i="9" l="1"/>
  <c r="S560" i="9"/>
  <c r="N562" i="9"/>
  <c r="M563" i="9"/>
  <c r="P561" i="9"/>
  <c r="V561" i="9"/>
  <c r="W561" i="9" s="1"/>
  <c r="P562" i="9" l="1"/>
  <c r="V562" i="9"/>
  <c r="W562" i="9" s="1"/>
  <c r="S561" i="9"/>
  <c r="Q561" i="9"/>
  <c r="N563" i="9"/>
  <c r="M564" i="9"/>
  <c r="N564" i="9" l="1"/>
  <c r="M565" i="9"/>
  <c r="V563" i="9"/>
  <c r="W563" i="9" s="1"/>
  <c r="S562" i="9"/>
  <c r="Q562" i="9"/>
  <c r="N565" i="9" l="1"/>
  <c r="M566" i="9"/>
  <c r="V564" i="9"/>
  <c r="W564" i="9" s="1"/>
  <c r="N566" i="9" l="1"/>
  <c r="M567" i="9"/>
  <c r="V565" i="9"/>
  <c r="W565" i="9" s="1"/>
  <c r="N567" i="9" l="1"/>
  <c r="M568" i="9"/>
  <c r="V566" i="9"/>
  <c r="W566" i="9" s="1"/>
  <c r="N568" i="9" l="1"/>
  <c r="M569" i="9"/>
  <c r="V567" i="9"/>
  <c r="W567" i="9" s="1"/>
  <c r="M570" i="9" l="1"/>
  <c r="N569" i="9"/>
  <c r="V568" i="9"/>
  <c r="W568" i="9" s="1"/>
  <c r="V569" i="9" l="1"/>
  <c r="W569" i="9" s="1"/>
  <c r="N570" i="9"/>
  <c r="M571" i="9"/>
  <c r="N571" i="9" l="1"/>
  <c r="M572" i="9"/>
  <c r="V570" i="9"/>
  <c r="W570" i="9" s="1"/>
  <c r="N572" i="9" l="1"/>
  <c r="M573" i="9"/>
  <c r="V571" i="9"/>
  <c r="W571" i="9" s="1"/>
  <c r="N573" i="9" l="1"/>
  <c r="M574" i="9"/>
  <c r="V572" i="9"/>
  <c r="W572" i="9" s="1"/>
  <c r="N574" i="9" l="1"/>
  <c r="M575" i="9"/>
  <c r="V573" i="9"/>
  <c r="W573" i="9" s="1"/>
  <c r="N575" i="9" l="1"/>
  <c r="M576" i="9"/>
  <c r="V574" i="9"/>
  <c r="W574" i="9" s="1"/>
  <c r="N576" i="9" l="1"/>
  <c r="M577" i="9"/>
  <c r="V575" i="9"/>
  <c r="W575" i="9" s="1"/>
  <c r="N577" i="9" l="1"/>
  <c r="M578" i="9"/>
  <c r="V576" i="9"/>
  <c r="W576" i="9" s="1"/>
  <c r="N578" i="9" l="1"/>
  <c r="M579" i="9"/>
  <c r="V577" i="9"/>
  <c r="W577" i="9" s="1"/>
  <c r="N579" i="9" l="1"/>
  <c r="M580" i="9"/>
  <c r="V578" i="9"/>
  <c r="W578" i="9" s="1"/>
  <c r="N580" i="9" l="1"/>
  <c r="M581" i="9"/>
  <c r="V579" i="9"/>
  <c r="W579" i="9" s="1"/>
  <c r="N581" i="9" l="1"/>
  <c r="M582" i="9"/>
  <c r="V580" i="9"/>
  <c r="W580" i="9" s="1"/>
  <c r="N582" i="9" l="1"/>
  <c r="M583" i="9"/>
  <c r="V581" i="9"/>
  <c r="W581" i="9" s="1"/>
  <c r="N583" i="9" l="1"/>
  <c r="M584" i="9"/>
  <c r="V582" i="9"/>
  <c r="W582" i="9" s="1"/>
  <c r="N584" i="9" l="1"/>
  <c r="M585" i="9"/>
  <c r="V583" i="9"/>
  <c r="W583" i="9" s="1"/>
  <c r="N585" i="9" l="1"/>
  <c r="M586" i="9"/>
  <c r="V584" i="9"/>
  <c r="W584" i="9" s="1"/>
  <c r="N586" i="9" l="1"/>
  <c r="M587" i="9"/>
  <c r="V585" i="9"/>
  <c r="W585" i="9" s="1"/>
  <c r="N587" i="9" l="1"/>
  <c r="M588" i="9"/>
  <c r="V586" i="9"/>
  <c r="W586" i="9" s="1"/>
  <c r="M589" i="9" l="1"/>
  <c r="N588" i="9"/>
  <c r="V587" i="9"/>
  <c r="W587" i="9" s="1"/>
  <c r="V588" i="9" l="1"/>
  <c r="W588" i="9" s="1"/>
  <c r="N589" i="9"/>
  <c r="M590" i="9"/>
  <c r="V589" i="9" l="1"/>
  <c r="W589" i="9" s="1"/>
  <c r="N590" i="9"/>
  <c r="M591" i="9"/>
  <c r="V590" i="9" l="1"/>
  <c r="W590" i="9" s="1"/>
  <c r="N591" i="9"/>
  <c r="M592" i="9"/>
  <c r="N592" i="9" l="1"/>
  <c r="M593" i="9"/>
  <c r="V591" i="9"/>
  <c r="W591" i="9" s="1"/>
  <c r="N593" i="9" l="1"/>
  <c r="M594" i="9"/>
  <c r="V592" i="9"/>
  <c r="W592" i="9" s="1"/>
  <c r="N594" i="9" l="1"/>
  <c r="M595" i="9"/>
  <c r="V593" i="9"/>
  <c r="W593" i="9" s="1"/>
  <c r="N595" i="9" l="1"/>
  <c r="M596" i="9"/>
  <c r="V594" i="9"/>
  <c r="W594" i="9" s="1"/>
  <c r="N596" i="9" l="1"/>
  <c r="M597" i="9"/>
  <c r="V595" i="9"/>
  <c r="W595" i="9" s="1"/>
  <c r="N597" i="9" l="1"/>
  <c r="M598" i="9"/>
  <c r="V596" i="9"/>
  <c r="W596" i="9" s="1"/>
  <c r="N598" i="9" l="1"/>
  <c r="M599" i="9"/>
  <c r="V597" i="9"/>
  <c r="W597" i="9" s="1"/>
  <c r="N599" i="9" l="1"/>
  <c r="M600" i="9"/>
  <c r="V598" i="9"/>
  <c r="W598" i="9" s="1"/>
  <c r="N600" i="9" l="1"/>
  <c r="M601" i="9"/>
  <c r="V599" i="9"/>
  <c r="W599" i="9" s="1"/>
  <c r="N601" i="9" l="1"/>
  <c r="M602" i="9"/>
  <c r="V600" i="9"/>
  <c r="W600" i="9" s="1"/>
  <c r="N602" i="9" l="1"/>
  <c r="M603" i="9"/>
  <c r="V601" i="9"/>
  <c r="W601" i="9" s="1"/>
  <c r="N603" i="9" l="1"/>
  <c r="M604" i="9"/>
  <c r="V602" i="9"/>
  <c r="W602" i="9" s="1"/>
  <c r="M605" i="9" l="1"/>
  <c r="N604" i="9"/>
  <c r="V603" i="9"/>
  <c r="W603" i="9" s="1"/>
  <c r="V604" i="9" l="1"/>
  <c r="W604" i="9" s="1"/>
  <c r="N605" i="9"/>
  <c r="M606" i="9"/>
  <c r="V605" i="9" l="1"/>
  <c r="W605" i="9" s="1"/>
  <c r="N606" i="9"/>
  <c r="M607" i="9"/>
  <c r="N607" i="9" l="1"/>
  <c r="M608" i="9"/>
  <c r="V606" i="9"/>
  <c r="W606" i="9" s="1"/>
  <c r="N608" i="9" l="1"/>
  <c r="M609" i="9"/>
  <c r="V607" i="9"/>
  <c r="W607" i="9" s="1"/>
  <c r="N609" i="9" l="1"/>
  <c r="M610" i="9"/>
  <c r="V608" i="9"/>
  <c r="W608" i="9" s="1"/>
  <c r="N610" i="9" l="1"/>
  <c r="M611" i="9"/>
  <c r="V609" i="9"/>
  <c r="W609" i="9" s="1"/>
  <c r="N611" i="9" l="1"/>
  <c r="M612" i="9"/>
  <c r="V610" i="9"/>
  <c r="W610" i="9" s="1"/>
  <c r="N612" i="9" l="1"/>
  <c r="M613" i="9"/>
  <c r="V611" i="9"/>
  <c r="W611" i="9" s="1"/>
  <c r="N613" i="9" l="1"/>
  <c r="M614" i="9"/>
  <c r="V612" i="9"/>
  <c r="W612" i="9" s="1"/>
  <c r="N614" i="9" l="1"/>
  <c r="M615" i="9"/>
  <c r="V613" i="9"/>
  <c r="W613" i="9" s="1"/>
  <c r="N615" i="9" l="1"/>
  <c r="M616" i="9"/>
  <c r="N616" i="9" l="1"/>
  <c r="M617" i="9"/>
  <c r="N617" i="9" l="1"/>
  <c r="M618" i="9"/>
  <c r="N618" i="9" l="1"/>
  <c r="M619" i="9"/>
  <c r="N619" i="9" l="1"/>
  <c r="M620" i="9"/>
  <c r="M621" i="9" l="1"/>
  <c r="N620" i="9"/>
  <c r="N621" i="9" l="1"/>
  <c r="M622" i="9"/>
  <c r="N622" i="9" l="1"/>
  <c r="M623" i="9"/>
  <c r="N623" i="9" l="1"/>
  <c r="M624" i="9"/>
  <c r="N624" i="9" l="1"/>
  <c r="M625" i="9"/>
  <c r="N625" i="9" l="1"/>
  <c r="M626" i="9"/>
  <c r="N626" i="9" l="1"/>
  <c r="M627" i="9"/>
  <c r="N627" i="9" l="1"/>
  <c r="M628" i="9"/>
  <c r="N628" i="9" l="1"/>
  <c r="M629" i="9"/>
  <c r="N629" i="9" l="1"/>
  <c r="M630" i="9"/>
  <c r="N630" i="9" l="1"/>
  <c r="M631" i="9"/>
  <c r="N631" i="9" l="1"/>
  <c r="M632" i="9"/>
  <c r="N632" i="9" l="1"/>
  <c r="M633" i="9"/>
  <c r="N633" i="9" l="1"/>
  <c r="M634" i="9"/>
  <c r="N634" i="9" l="1"/>
  <c r="M635" i="9"/>
  <c r="N635" i="9" l="1"/>
  <c r="M636" i="9"/>
  <c r="M637" i="9" l="1"/>
  <c r="N636" i="9"/>
  <c r="N637" i="9" l="1"/>
  <c r="M638" i="9"/>
  <c r="N638" i="9" l="1"/>
  <c r="M639" i="9"/>
  <c r="N639" i="9" l="1"/>
  <c r="M640" i="9"/>
  <c r="N640" i="9" l="1"/>
  <c r="M641" i="9"/>
  <c r="N641" i="9" l="1"/>
  <c r="M642" i="9"/>
  <c r="N642" i="9" l="1"/>
  <c r="M643" i="9"/>
  <c r="N643" i="9" l="1"/>
  <c r="M644" i="9"/>
  <c r="N644" i="9" l="1"/>
  <c r="M645" i="9"/>
  <c r="N645" i="9" l="1"/>
  <c r="M646" i="9"/>
  <c r="N646" i="9" l="1"/>
  <c r="M647" i="9"/>
  <c r="N647" i="9" l="1"/>
  <c r="M648" i="9"/>
  <c r="N648" i="9" l="1"/>
  <c r="M649" i="9"/>
  <c r="N649" i="9" l="1"/>
  <c r="M650" i="9"/>
  <c r="N650" i="9" l="1"/>
  <c r="M651" i="9"/>
  <c r="N651" i="9" l="1"/>
  <c r="M652" i="9"/>
  <c r="M653" i="9" l="1"/>
  <c r="N652" i="9"/>
  <c r="N653" i="9" l="1"/>
  <c r="M654" i="9"/>
  <c r="N654" i="9" l="1"/>
  <c r="M655" i="9"/>
  <c r="N655" i="9" l="1"/>
  <c r="M656" i="9"/>
  <c r="N656" i="9" l="1"/>
  <c r="M657" i="9"/>
  <c r="N657" i="9" l="1"/>
  <c r="M658" i="9"/>
  <c r="N658" i="9" l="1"/>
  <c r="M659" i="9"/>
  <c r="N659" i="9" l="1"/>
  <c r="M660" i="9"/>
  <c r="N660" i="9" l="1"/>
  <c r="M661" i="9"/>
  <c r="N661" i="9" l="1"/>
  <c r="M662" i="9"/>
  <c r="N662" i="9" l="1"/>
  <c r="M663" i="9"/>
  <c r="N663" i="9" l="1"/>
  <c r="M664" i="9"/>
  <c r="N664" i="9" l="1"/>
  <c r="M665" i="9"/>
  <c r="N665" i="9" l="1"/>
  <c r="M666" i="9"/>
  <c r="N666" i="9" l="1"/>
  <c r="M667" i="9"/>
  <c r="N667" i="9" l="1"/>
  <c r="M668" i="9"/>
  <c r="N668" i="9" l="1"/>
  <c r="M669" i="9"/>
  <c r="N669" i="9" l="1"/>
  <c r="M670" i="9"/>
  <c r="N670" i="9" l="1"/>
  <c r="M671" i="9"/>
  <c r="N671" i="9" l="1"/>
  <c r="M672" i="9"/>
  <c r="N672" i="9" l="1"/>
  <c r="M673" i="9"/>
  <c r="N673" i="9" l="1"/>
  <c r="M674" i="9"/>
  <c r="N674" i="9" l="1"/>
  <c r="M675" i="9"/>
  <c r="N675" i="9" l="1"/>
  <c r="M676" i="9"/>
  <c r="N676" i="9" l="1"/>
  <c r="M677" i="9"/>
  <c r="N677" i="9" l="1"/>
  <c r="M678" i="9"/>
  <c r="N678" i="9" l="1"/>
  <c r="M679" i="9"/>
  <c r="N679" i="9" l="1"/>
  <c r="M680" i="9"/>
  <c r="M681" i="9" l="1"/>
  <c r="N680" i="9"/>
  <c r="N681" i="9" l="1"/>
  <c r="M682" i="9"/>
  <c r="N682" i="9" l="1"/>
  <c r="M683" i="9"/>
  <c r="N683" i="9" l="1"/>
  <c r="M684" i="9"/>
  <c r="N684" i="9" l="1"/>
  <c r="M685" i="9"/>
  <c r="N685" i="9" l="1"/>
  <c r="M686" i="9"/>
  <c r="N686" i="9" l="1"/>
  <c r="M687" i="9"/>
  <c r="N687" i="9" l="1"/>
  <c r="M688" i="9"/>
  <c r="M689" i="9" l="1"/>
  <c r="N688" i="9"/>
  <c r="N689" i="9" l="1"/>
  <c r="M690" i="9"/>
  <c r="N690" i="9" l="1"/>
  <c r="M691" i="9"/>
  <c r="N691" i="9" l="1"/>
  <c r="M692" i="9"/>
  <c r="N692" i="9" l="1"/>
  <c r="M693" i="9"/>
  <c r="N693" i="9" l="1"/>
  <c r="M694" i="9"/>
  <c r="N694" i="9" l="1"/>
  <c r="M695" i="9"/>
  <c r="N695" i="9" l="1"/>
  <c r="M696" i="9"/>
  <c r="N696" i="9" l="1"/>
  <c r="M697" i="9"/>
  <c r="N697" i="9" l="1"/>
  <c r="M698" i="9"/>
  <c r="N698" i="9" l="1"/>
  <c r="M699" i="9"/>
  <c r="N699" i="9" l="1"/>
  <c r="M700" i="9"/>
  <c r="M701" i="9" l="1"/>
  <c r="N700" i="9"/>
  <c r="N701" i="9" l="1"/>
  <c r="M702" i="9"/>
  <c r="N702" i="9" l="1"/>
  <c r="M703" i="9"/>
  <c r="N703" i="9" l="1"/>
  <c r="M704" i="9"/>
  <c r="N704" i="9" l="1"/>
  <c r="M705" i="9"/>
  <c r="M706" i="9" l="1"/>
  <c r="N705" i="9"/>
  <c r="N706" i="9" l="1"/>
  <c r="M707" i="9"/>
  <c r="N707" i="9" l="1"/>
  <c r="M708" i="9"/>
  <c r="N708" i="9" l="1"/>
  <c r="M709" i="9"/>
  <c r="N709" i="9" l="1"/>
  <c r="M710" i="9"/>
  <c r="N710" i="9" l="1"/>
  <c r="M711" i="9"/>
  <c r="N711" i="9" l="1"/>
  <c r="M712" i="9"/>
  <c r="N712" i="9" l="1"/>
  <c r="M713" i="9"/>
  <c r="N713" i="9" l="1"/>
  <c r="M714" i="9"/>
  <c r="N714" i="9" l="1"/>
  <c r="M715" i="9"/>
  <c r="N715" i="9" l="1"/>
  <c r="M716" i="9"/>
  <c r="M717" i="9" l="1"/>
  <c r="N716" i="9"/>
  <c r="N717" i="9" l="1"/>
  <c r="M718" i="9"/>
  <c r="N718" i="9" l="1"/>
  <c r="M719" i="9"/>
  <c r="N719" i="9" l="1"/>
  <c r="M720" i="9"/>
  <c r="N720" i="9" l="1"/>
  <c r="M721" i="9"/>
  <c r="M722" i="9" l="1"/>
  <c r="N721" i="9"/>
  <c r="N722" i="9" l="1"/>
  <c r="M723" i="9"/>
  <c r="N723" i="9" l="1"/>
  <c r="M724" i="9"/>
  <c r="N724" i="9" l="1"/>
  <c r="M725" i="9"/>
  <c r="N725" i="9" l="1"/>
  <c r="M726" i="9"/>
  <c r="N726" i="9" l="1"/>
  <c r="M727" i="9"/>
  <c r="N727" i="9" l="1"/>
  <c r="M728" i="9"/>
  <c r="N728" i="9" l="1"/>
  <c r="M729" i="9"/>
  <c r="N729" i="9" l="1"/>
  <c r="M730" i="9"/>
  <c r="N730" i="9" l="1"/>
  <c r="M731" i="9"/>
  <c r="N731" i="9" l="1"/>
  <c r="M732" i="9"/>
  <c r="M733" i="9" l="1"/>
  <c r="N732" i="9"/>
  <c r="N733" i="9" l="1"/>
  <c r="M734" i="9"/>
  <c r="N734" i="9" l="1"/>
  <c r="M735" i="9"/>
  <c r="N735" i="9" l="1"/>
  <c r="M736" i="9"/>
  <c r="N736" i="9" l="1"/>
  <c r="M737" i="9"/>
  <c r="M738" i="9" l="1"/>
  <c r="N737" i="9"/>
  <c r="N738" i="9" l="1"/>
  <c r="M739" i="9"/>
  <c r="N739" i="9" l="1"/>
  <c r="M740" i="9"/>
  <c r="N740" i="9" l="1"/>
  <c r="M741" i="9"/>
  <c r="N741" i="9" l="1"/>
  <c r="M742" i="9"/>
  <c r="N742" i="9" l="1"/>
  <c r="M743" i="9"/>
  <c r="N743" i="9" l="1"/>
  <c r="M744" i="9"/>
  <c r="N744" i="9" l="1"/>
  <c r="M745" i="9"/>
  <c r="N745" i="9" l="1"/>
  <c r="M746" i="9"/>
  <c r="N746" i="9" l="1"/>
  <c r="M747" i="9"/>
  <c r="N747" i="9" l="1"/>
  <c r="M748" i="9"/>
  <c r="M749" i="9" l="1"/>
  <c r="N748" i="9"/>
  <c r="N749" i="9" l="1"/>
  <c r="M750" i="9"/>
  <c r="N750" i="9" l="1"/>
  <c r="M751" i="9"/>
  <c r="N751" i="9" l="1"/>
  <c r="M752" i="9"/>
  <c r="N752" i="9" l="1"/>
  <c r="M753" i="9"/>
  <c r="M754" i="9" l="1"/>
  <c r="N753" i="9"/>
  <c r="N754" i="9" l="1"/>
  <c r="M755" i="9"/>
  <c r="N755" i="9" l="1"/>
  <c r="M756" i="9"/>
  <c r="N756" i="9" l="1"/>
  <c r="M757" i="9"/>
  <c r="N757" i="9" l="1"/>
  <c r="M758" i="9"/>
  <c r="N758" i="9" l="1"/>
  <c r="M759" i="9"/>
  <c r="N759" i="9" l="1"/>
  <c r="M760" i="9"/>
  <c r="N760" i="9" l="1"/>
  <c r="M761" i="9"/>
  <c r="N761" i="9" l="1"/>
  <c r="M762" i="9"/>
  <c r="N762" i="9" l="1"/>
  <c r="M763" i="9"/>
  <c r="N763" i="9" l="1"/>
  <c r="M764" i="9"/>
  <c r="M765" i="9" l="1"/>
  <c r="N764" i="9"/>
  <c r="N765" i="9" l="1"/>
  <c r="M766" i="9"/>
  <c r="N766" i="9" l="1"/>
  <c r="M767" i="9"/>
  <c r="N767" i="9" l="1"/>
  <c r="M768" i="9"/>
  <c r="N768" i="9" l="1"/>
  <c r="M769" i="9"/>
  <c r="V767" i="9"/>
  <c r="W767" i="9" s="1"/>
  <c r="P767" i="9"/>
  <c r="S767" i="9" l="1"/>
  <c r="Q767" i="9"/>
  <c r="M770" i="9"/>
  <c r="N769" i="9"/>
  <c r="V768" i="9"/>
  <c r="W768" i="9" s="1"/>
  <c r="P768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V614" i="9"/>
  <c r="W614" i="9" s="1"/>
  <c r="P614" i="9"/>
  <c r="V615" i="9"/>
  <c r="W615" i="9" s="1"/>
  <c r="P615" i="9"/>
  <c r="P616" i="9"/>
  <c r="V616" i="9"/>
  <c r="W616" i="9" s="1"/>
  <c r="P617" i="9"/>
  <c r="V617" i="9"/>
  <c r="W617" i="9" s="1"/>
  <c r="V618" i="9"/>
  <c r="W618" i="9" s="1"/>
  <c r="P618" i="9"/>
  <c r="V619" i="9"/>
  <c r="W619" i="9" s="1"/>
  <c r="P619" i="9"/>
  <c r="V620" i="9"/>
  <c r="W620" i="9" s="1"/>
  <c r="P620" i="9"/>
  <c r="V621" i="9"/>
  <c r="W621" i="9" s="1"/>
  <c r="P621" i="9"/>
  <c r="P622" i="9"/>
  <c r="V622" i="9"/>
  <c r="W622" i="9" s="1"/>
  <c r="V623" i="9"/>
  <c r="W623" i="9" s="1"/>
  <c r="P623" i="9"/>
  <c r="V624" i="9"/>
  <c r="W624" i="9" s="1"/>
  <c r="P624" i="9"/>
  <c r="V625" i="9"/>
  <c r="W625" i="9" s="1"/>
  <c r="P625" i="9"/>
  <c r="P626" i="9"/>
  <c r="V626" i="9"/>
  <c r="W626" i="9" s="1"/>
  <c r="P627" i="9"/>
  <c r="V627" i="9"/>
  <c r="W627" i="9" s="1"/>
  <c r="P628" i="9"/>
  <c r="V628" i="9"/>
  <c r="W628" i="9" s="1"/>
  <c r="V629" i="9"/>
  <c r="W629" i="9" s="1"/>
  <c r="P629" i="9"/>
  <c r="V630" i="9"/>
  <c r="W630" i="9" s="1"/>
  <c r="P630" i="9"/>
  <c r="V631" i="9"/>
  <c r="W631" i="9" s="1"/>
  <c r="P631" i="9"/>
  <c r="P632" i="9"/>
  <c r="V632" i="9"/>
  <c r="W632" i="9" s="1"/>
  <c r="P633" i="9"/>
  <c r="V633" i="9"/>
  <c r="W633" i="9" s="1"/>
  <c r="P634" i="9"/>
  <c r="V634" i="9"/>
  <c r="W634" i="9" s="1"/>
  <c r="V635" i="9"/>
  <c r="W635" i="9" s="1"/>
  <c r="P635" i="9"/>
  <c r="V636" i="9"/>
  <c r="W636" i="9" s="1"/>
  <c r="P636" i="9"/>
  <c r="P637" i="9"/>
  <c r="V637" i="9"/>
  <c r="W637" i="9" s="1"/>
  <c r="P638" i="9"/>
  <c r="V638" i="9"/>
  <c r="W638" i="9" s="1"/>
  <c r="P639" i="9"/>
  <c r="V639" i="9"/>
  <c r="W639" i="9" s="1"/>
  <c r="V640" i="9"/>
  <c r="W640" i="9" s="1"/>
  <c r="P640" i="9"/>
  <c r="V641" i="9"/>
  <c r="W641" i="9" s="1"/>
  <c r="P641" i="9"/>
  <c r="P642" i="9"/>
  <c r="V642" i="9"/>
  <c r="W642" i="9" s="1"/>
  <c r="P643" i="9"/>
  <c r="V643" i="9"/>
  <c r="W643" i="9" s="1"/>
  <c r="P644" i="9"/>
  <c r="V644" i="9"/>
  <c r="W644" i="9" s="1"/>
  <c r="V645" i="9"/>
  <c r="W645" i="9" s="1"/>
  <c r="P645" i="9"/>
  <c r="V646" i="9"/>
  <c r="W646" i="9" s="1"/>
  <c r="P646" i="9"/>
  <c r="P647" i="9"/>
  <c r="V647" i="9"/>
  <c r="W647" i="9" s="1"/>
  <c r="P648" i="9"/>
  <c r="V648" i="9"/>
  <c r="W648" i="9" s="1"/>
  <c r="P649" i="9"/>
  <c r="V649" i="9"/>
  <c r="W649" i="9" s="1"/>
  <c r="V650" i="9"/>
  <c r="W650" i="9" s="1"/>
  <c r="P650" i="9"/>
  <c r="V651" i="9"/>
  <c r="W651" i="9" s="1"/>
  <c r="P651" i="9"/>
  <c r="V652" i="9"/>
  <c r="W652" i="9" s="1"/>
  <c r="P652" i="9"/>
  <c r="P653" i="9"/>
  <c r="V653" i="9"/>
  <c r="W653" i="9" s="1"/>
  <c r="P654" i="9"/>
  <c r="V654" i="9"/>
  <c r="W654" i="9" s="1"/>
  <c r="P655" i="9"/>
  <c r="V655" i="9"/>
  <c r="W655" i="9" s="1"/>
  <c r="P656" i="9"/>
  <c r="V656" i="9"/>
  <c r="W656" i="9" s="1"/>
  <c r="V657" i="9"/>
  <c r="W657" i="9" s="1"/>
  <c r="P657" i="9"/>
  <c r="P658" i="9"/>
  <c r="V658" i="9"/>
  <c r="W658" i="9" s="1"/>
  <c r="P659" i="9"/>
  <c r="V659" i="9"/>
  <c r="W659" i="9" s="1"/>
  <c r="P660" i="9"/>
  <c r="V660" i="9"/>
  <c r="W660" i="9" s="1"/>
  <c r="V661" i="9"/>
  <c r="W661" i="9" s="1"/>
  <c r="P661" i="9"/>
  <c r="V662" i="9"/>
  <c r="W662" i="9" s="1"/>
  <c r="P662" i="9"/>
  <c r="V663" i="9"/>
  <c r="W663" i="9" s="1"/>
  <c r="P663" i="9"/>
  <c r="P664" i="9"/>
  <c r="V664" i="9"/>
  <c r="W664" i="9" s="1"/>
  <c r="P665" i="9"/>
  <c r="V665" i="9"/>
  <c r="W665" i="9" s="1"/>
  <c r="V666" i="9"/>
  <c r="W666" i="9" s="1"/>
  <c r="P666" i="9"/>
  <c r="V667" i="9"/>
  <c r="W667" i="9" s="1"/>
  <c r="P667" i="9"/>
  <c r="P668" i="9"/>
  <c r="V668" i="9"/>
  <c r="W668" i="9" s="1"/>
  <c r="P669" i="9"/>
  <c r="V669" i="9"/>
  <c r="W669" i="9" s="1"/>
  <c r="P670" i="9"/>
  <c r="V670" i="9"/>
  <c r="W670" i="9" s="1"/>
  <c r="V671" i="9"/>
  <c r="W671" i="9" s="1"/>
  <c r="P671" i="9"/>
  <c r="P672" i="9"/>
  <c r="V672" i="9"/>
  <c r="W672" i="9" s="1"/>
  <c r="P673" i="9"/>
  <c r="V673" i="9"/>
  <c r="W673" i="9" s="1"/>
  <c r="V674" i="9"/>
  <c r="W674" i="9" s="1"/>
  <c r="P674" i="9"/>
  <c r="V675" i="9"/>
  <c r="W675" i="9" s="1"/>
  <c r="P675" i="9"/>
  <c r="V676" i="9"/>
  <c r="W676" i="9" s="1"/>
  <c r="P676" i="9"/>
  <c r="P677" i="9"/>
  <c r="V677" i="9"/>
  <c r="W677" i="9" s="1"/>
  <c r="P678" i="9"/>
  <c r="V678" i="9"/>
  <c r="W678" i="9" s="1"/>
  <c r="V679" i="9"/>
  <c r="W679" i="9" s="1"/>
  <c r="P679" i="9"/>
  <c r="V680" i="9"/>
  <c r="W680" i="9" s="1"/>
  <c r="P680" i="9"/>
  <c r="P681" i="9"/>
  <c r="V681" i="9"/>
  <c r="W681" i="9" s="1"/>
  <c r="V682" i="9"/>
  <c r="W682" i="9" s="1"/>
  <c r="P682" i="9"/>
  <c r="V683" i="9"/>
  <c r="W683" i="9" s="1"/>
  <c r="P683" i="9"/>
  <c r="P684" i="9"/>
  <c r="V684" i="9"/>
  <c r="W684" i="9" s="1"/>
  <c r="P685" i="9"/>
  <c r="V685" i="9"/>
  <c r="W685" i="9" s="1"/>
  <c r="V686" i="9"/>
  <c r="W686" i="9" s="1"/>
  <c r="P686" i="9"/>
  <c r="V687" i="9"/>
  <c r="W687" i="9" s="1"/>
  <c r="P687" i="9"/>
  <c r="V688" i="9"/>
  <c r="W688" i="9" s="1"/>
  <c r="P688" i="9"/>
  <c r="P689" i="9"/>
  <c r="V689" i="9"/>
  <c r="W689" i="9" s="1"/>
  <c r="V690" i="9"/>
  <c r="W690" i="9" s="1"/>
  <c r="P690" i="9"/>
  <c r="P691" i="9"/>
  <c r="V691" i="9"/>
  <c r="W691" i="9" s="1"/>
  <c r="V692" i="9"/>
  <c r="W692" i="9" s="1"/>
  <c r="P692" i="9"/>
  <c r="V693" i="9"/>
  <c r="W693" i="9" s="1"/>
  <c r="P693" i="9"/>
  <c r="P694" i="9"/>
  <c r="V694" i="9"/>
  <c r="W694" i="9" s="1"/>
  <c r="V695" i="9"/>
  <c r="W695" i="9" s="1"/>
  <c r="P695" i="9"/>
  <c r="P696" i="9"/>
  <c r="V696" i="9"/>
  <c r="W696" i="9" s="1"/>
  <c r="P697" i="9"/>
  <c r="V697" i="9"/>
  <c r="W697" i="9" s="1"/>
  <c r="V698" i="9"/>
  <c r="W698" i="9" s="1"/>
  <c r="P698" i="9"/>
  <c r="V699" i="9"/>
  <c r="W699" i="9" s="1"/>
  <c r="P699" i="9"/>
  <c r="V700" i="9"/>
  <c r="W700" i="9" s="1"/>
  <c r="P700" i="9"/>
  <c r="P701" i="9"/>
  <c r="V701" i="9"/>
  <c r="W701" i="9" s="1"/>
  <c r="P702" i="9"/>
  <c r="V702" i="9"/>
  <c r="W702" i="9" s="1"/>
  <c r="P703" i="9"/>
  <c r="V703" i="9"/>
  <c r="W703" i="9" s="1"/>
  <c r="V704" i="9"/>
  <c r="W704" i="9" s="1"/>
  <c r="P704" i="9"/>
  <c r="V705" i="9"/>
  <c r="W705" i="9" s="1"/>
  <c r="P705" i="9"/>
  <c r="V706" i="9"/>
  <c r="W706" i="9" s="1"/>
  <c r="P706" i="9"/>
  <c r="P707" i="9"/>
  <c r="V707" i="9"/>
  <c r="W707" i="9" s="1"/>
  <c r="P708" i="9"/>
  <c r="V708" i="9"/>
  <c r="W708" i="9" s="1"/>
  <c r="P709" i="9"/>
  <c r="V709" i="9"/>
  <c r="W709" i="9" s="1"/>
  <c r="P710" i="9"/>
  <c r="V710" i="9"/>
  <c r="W710" i="9" s="1"/>
  <c r="V711" i="9"/>
  <c r="W711" i="9" s="1"/>
  <c r="P711" i="9"/>
  <c r="P712" i="9"/>
  <c r="V712" i="9"/>
  <c r="W712" i="9" s="1"/>
  <c r="P713" i="9"/>
  <c r="V713" i="9"/>
  <c r="W713" i="9" s="1"/>
  <c r="V714" i="9"/>
  <c r="W714" i="9" s="1"/>
  <c r="P714" i="9"/>
  <c r="V715" i="9"/>
  <c r="W715" i="9" s="1"/>
  <c r="P715" i="9"/>
  <c r="V716" i="9"/>
  <c r="W716" i="9" s="1"/>
  <c r="P716" i="9"/>
  <c r="P717" i="9"/>
  <c r="V717" i="9"/>
  <c r="W717" i="9" s="1"/>
  <c r="V718" i="9"/>
  <c r="W718" i="9" s="1"/>
  <c r="P718" i="9"/>
  <c r="V719" i="9"/>
  <c r="W719" i="9" s="1"/>
  <c r="P719" i="9"/>
  <c r="V720" i="9"/>
  <c r="W720" i="9" s="1"/>
  <c r="P720" i="9"/>
  <c r="V721" i="9"/>
  <c r="W721" i="9" s="1"/>
  <c r="P721" i="9"/>
  <c r="V722" i="9"/>
  <c r="W722" i="9" s="1"/>
  <c r="P722" i="9"/>
  <c r="P723" i="9"/>
  <c r="V723" i="9"/>
  <c r="W723" i="9" s="1"/>
  <c r="P724" i="9"/>
  <c r="V724" i="9"/>
  <c r="W724" i="9" s="1"/>
  <c r="V725" i="9"/>
  <c r="W725" i="9" s="1"/>
  <c r="P725" i="9"/>
  <c r="V726" i="9"/>
  <c r="W726" i="9" s="1"/>
  <c r="P726" i="9"/>
  <c r="V727" i="9"/>
  <c r="W727" i="9" s="1"/>
  <c r="P727" i="9"/>
  <c r="V728" i="9"/>
  <c r="W728" i="9" s="1"/>
  <c r="P728" i="9"/>
  <c r="P729" i="9"/>
  <c r="V729" i="9"/>
  <c r="W729" i="9" s="1"/>
  <c r="V730" i="9"/>
  <c r="W730" i="9" s="1"/>
  <c r="P730" i="9"/>
  <c r="V731" i="9"/>
  <c r="W731" i="9" s="1"/>
  <c r="P731" i="9"/>
  <c r="V732" i="9"/>
  <c r="W732" i="9" s="1"/>
  <c r="P732" i="9"/>
  <c r="P733" i="9"/>
  <c r="V733" i="9"/>
  <c r="W733" i="9" s="1"/>
  <c r="P734" i="9"/>
  <c r="V734" i="9"/>
  <c r="W734" i="9" s="1"/>
  <c r="P735" i="9"/>
  <c r="V735" i="9"/>
  <c r="W735" i="9" s="1"/>
  <c r="V736" i="9"/>
  <c r="W736" i="9" s="1"/>
  <c r="P736" i="9"/>
  <c r="V737" i="9"/>
  <c r="W737" i="9" s="1"/>
  <c r="P737" i="9"/>
  <c r="P738" i="9"/>
  <c r="V738" i="9"/>
  <c r="W738" i="9" s="1"/>
  <c r="P739" i="9"/>
  <c r="V739" i="9"/>
  <c r="W739" i="9" s="1"/>
  <c r="P740" i="9"/>
  <c r="V740" i="9"/>
  <c r="W740" i="9" s="1"/>
  <c r="V741" i="9"/>
  <c r="W741" i="9" s="1"/>
  <c r="P741" i="9"/>
  <c r="V742" i="9"/>
  <c r="W742" i="9" s="1"/>
  <c r="P742" i="9"/>
  <c r="V743" i="9"/>
  <c r="W743" i="9" s="1"/>
  <c r="P743" i="9"/>
  <c r="P744" i="9"/>
  <c r="V744" i="9"/>
  <c r="W744" i="9" s="1"/>
  <c r="P745" i="9"/>
  <c r="V745" i="9"/>
  <c r="W745" i="9" s="1"/>
  <c r="P746" i="9"/>
  <c r="V746" i="9"/>
  <c r="W746" i="9" s="1"/>
  <c r="V747" i="9"/>
  <c r="W747" i="9" s="1"/>
  <c r="P747" i="9"/>
  <c r="V748" i="9"/>
  <c r="W748" i="9" s="1"/>
  <c r="P748" i="9"/>
  <c r="P749" i="9"/>
  <c r="V749" i="9"/>
  <c r="W749" i="9" s="1"/>
  <c r="V750" i="9"/>
  <c r="W750" i="9" s="1"/>
  <c r="P750" i="9"/>
  <c r="V751" i="9"/>
  <c r="W751" i="9" s="1"/>
  <c r="P751" i="9"/>
  <c r="V752" i="9"/>
  <c r="W752" i="9" s="1"/>
  <c r="P752" i="9"/>
  <c r="V753" i="9"/>
  <c r="W753" i="9" s="1"/>
  <c r="P753" i="9"/>
  <c r="V754" i="9"/>
  <c r="W754" i="9" s="1"/>
  <c r="P754" i="9"/>
  <c r="P755" i="9"/>
  <c r="V755" i="9"/>
  <c r="W755" i="9" s="1"/>
  <c r="P756" i="9"/>
  <c r="V756" i="9"/>
  <c r="W756" i="9" s="1"/>
  <c r="V757" i="9"/>
  <c r="W757" i="9" s="1"/>
  <c r="P757" i="9"/>
  <c r="V758" i="9"/>
  <c r="W758" i="9" s="1"/>
  <c r="P758" i="9"/>
  <c r="V759" i="9"/>
  <c r="W759" i="9" s="1"/>
  <c r="P759" i="9"/>
  <c r="P760" i="9"/>
  <c r="V760" i="9"/>
  <c r="W760" i="9" s="1"/>
  <c r="P761" i="9"/>
  <c r="V761" i="9"/>
  <c r="W761" i="9" s="1"/>
  <c r="V762" i="9"/>
  <c r="W762" i="9" s="1"/>
  <c r="P762" i="9"/>
  <c r="V763" i="9"/>
  <c r="W763" i="9" s="1"/>
  <c r="P763" i="9"/>
  <c r="V764" i="9"/>
  <c r="W764" i="9" s="1"/>
  <c r="P764" i="9"/>
  <c r="P765" i="9"/>
  <c r="V765" i="9"/>
  <c r="W765" i="9" s="1"/>
  <c r="P766" i="9"/>
  <c r="V766" i="9"/>
  <c r="W766" i="9" s="1"/>
  <c r="S761" i="9" l="1"/>
  <c r="Q761" i="9"/>
  <c r="S745" i="9"/>
  <c r="Q745" i="9"/>
  <c r="S729" i="9"/>
  <c r="Q729" i="9"/>
  <c r="S713" i="9"/>
  <c r="Q713" i="9"/>
  <c r="S697" i="9"/>
  <c r="Q697" i="9"/>
  <c r="S689" i="9"/>
  <c r="Q689" i="9"/>
  <c r="Q681" i="9"/>
  <c r="S681" i="9"/>
  <c r="S673" i="9"/>
  <c r="Q673" i="9"/>
  <c r="S665" i="9"/>
  <c r="Q665" i="9"/>
  <c r="S649" i="9"/>
  <c r="Q649" i="9"/>
  <c r="S633" i="9"/>
  <c r="Q633" i="9"/>
  <c r="S617" i="9"/>
  <c r="Q617" i="9"/>
  <c r="S604" i="9"/>
  <c r="Q604" i="9"/>
  <c r="S588" i="9"/>
  <c r="Q588" i="9"/>
  <c r="Q572" i="9"/>
  <c r="S572" i="9"/>
  <c r="S752" i="9"/>
  <c r="Q752" i="9"/>
  <c r="S736" i="9"/>
  <c r="Q736" i="9"/>
  <c r="Q728" i="9"/>
  <c r="S728" i="9"/>
  <c r="S720" i="9"/>
  <c r="Q720" i="9"/>
  <c r="S704" i="9"/>
  <c r="Q704" i="9"/>
  <c r="Q688" i="9"/>
  <c r="S688" i="9"/>
  <c r="Q680" i="9"/>
  <c r="S680" i="9"/>
  <c r="S640" i="9"/>
  <c r="Q640" i="9"/>
  <c r="S624" i="9"/>
  <c r="Q624" i="9"/>
  <c r="S603" i="9"/>
  <c r="Q603" i="9"/>
  <c r="S587" i="9"/>
  <c r="Q587" i="9"/>
  <c r="Q571" i="9"/>
  <c r="S571" i="9"/>
  <c r="Q760" i="9"/>
  <c r="S760" i="9"/>
  <c r="Q744" i="9"/>
  <c r="S744" i="9"/>
  <c r="Q712" i="9"/>
  <c r="S712" i="9"/>
  <c r="Q696" i="9"/>
  <c r="S696" i="9"/>
  <c r="Q672" i="9"/>
  <c r="S672" i="9"/>
  <c r="Q664" i="9"/>
  <c r="S664" i="9"/>
  <c r="S656" i="9"/>
  <c r="Q656" i="9"/>
  <c r="Q648" i="9"/>
  <c r="S648" i="9"/>
  <c r="Q632" i="9"/>
  <c r="S632" i="9"/>
  <c r="Q616" i="9"/>
  <c r="S616" i="9"/>
  <c r="S602" i="9"/>
  <c r="Q602" i="9"/>
  <c r="S586" i="9"/>
  <c r="Q586" i="9"/>
  <c r="S570" i="9"/>
  <c r="Q570" i="9"/>
  <c r="S759" i="9"/>
  <c r="Q759" i="9"/>
  <c r="S751" i="9"/>
  <c r="Q751" i="9"/>
  <c r="S743" i="9"/>
  <c r="Q743" i="9"/>
  <c r="S727" i="9"/>
  <c r="Q727" i="9"/>
  <c r="S719" i="9"/>
  <c r="Q719" i="9"/>
  <c r="S711" i="9"/>
  <c r="Q711" i="9"/>
  <c r="S695" i="9"/>
  <c r="Q695" i="9"/>
  <c r="S687" i="9"/>
  <c r="Q687" i="9"/>
  <c r="S679" i="9"/>
  <c r="Q679" i="9"/>
  <c r="S671" i="9"/>
  <c r="Q671" i="9"/>
  <c r="S663" i="9"/>
  <c r="Q663" i="9"/>
  <c r="S631" i="9"/>
  <c r="Q631" i="9"/>
  <c r="S623" i="9"/>
  <c r="Q623" i="9"/>
  <c r="S615" i="9"/>
  <c r="Q615" i="9"/>
  <c r="S601" i="9"/>
  <c r="Q601" i="9"/>
  <c r="S585" i="9"/>
  <c r="Q585" i="9"/>
  <c r="S569" i="9"/>
  <c r="Q569" i="9"/>
  <c r="S735" i="9"/>
  <c r="Q735" i="9"/>
  <c r="S703" i="9"/>
  <c r="Q703" i="9"/>
  <c r="S655" i="9"/>
  <c r="Q655" i="9"/>
  <c r="S647" i="9"/>
  <c r="Q647" i="9"/>
  <c r="S639" i="9"/>
  <c r="Q639" i="9"/>
  <c r="Q600" i="9"/>
  <c r="S600" i="9"/>
  <c r="Q584" i="9"/>
  <c r="S584" i="9"/>
  <c r="Q568" i="9"/>
  <c r="S568" i="9"/>
  <c r="S758" i="9"/>
  <c r="Q758" i="9"/>
  <c r="S750" i="9"/>
  <c r="Q750" i="9"/>
  <c r="S742" i="9"/>
  <c r="Q742" i="9"/>
  <c r="S726" i="9"/>
  <c r="Q726" i="9"/>
  <c r="S718" i="9"/>
  <c r="Q718" i="9"/>
  <c r="S686" i="9"/>
  <c r="Q686" i="9"/>
  <c r="S662" i="9"/>
  <c r="Q662" i="9"/>
  <c r="S646" i="9"/>
  <c r="Q646" i="9"/>
  <c r="S630" i="9"/>
  <c r="Q630" i="9"/>
  <c r="S614" i="9"/>
  <c r="Q614" i="9"/>
  <c r="S599" i="9"/>
  <c r="Q599" i="9"/>
  <c r="S583" i="9"/>
  <c r="Q583" i="9"/>
  <c r="S567" i="9"/>
  <c r="Q567" i="9"/>
  <c r="S766" i="9"/>
  <c r="Q766" i="9"/>
  <c r="S734" i="9"/>
  <c r="Q734" i="9"/>
  <c r="S710" i="9"/>
  <c r="Q710" i="9"/>
  <c r="S702" i="9"/>
  <c r="Q702" i="9"/>
  <c r="S694" i="9"/>
  <c r="Q694" i="9"/>
  <c r="S678" i="9"/>
  <c r="Q678" i="9"/>
  <c r="S670" i="9"/>
  <c r="Q670" i="9"/>
  <c r="S654" i="9"/>
  <c r="Q654" i="9"/>
  <c r="S638" i="9"/>
  <c r="Q638" i="9"/>
  <c r="S622" i="9"/>
  <c r="Q622" i="9"/>
  <c r="S598" i="9"/>
  <c r="Q598" i="9"/>
  <c r="S582" i="9"/>
  <c r="Q582" i="9"/>
  <c r="S566" i="9"/>
  <c r="Q566" i="9"/>
  <c r="S757" i="9"/>
  <c r="Q757" i="9"/>
  <c r="S741" i="9"/>
  <c r="Q741" i="9"/>
  <c r="S725" i="9"/>
  <c r="Q725" i="9"/>
  <c r="Q693" i="9"/>
  <c r="S693" i="9"/>
  <c r="S661" i="9"/>
  <c r="Q661" i="9"/>
  <c r="S645" i="9"/>
  <c r="Q645" i="9"/>
  <c r="S629" i="9"/>
  <c r="Q629" i="9"/>
  <c r="S621" i="9"/>
  <c r="Q621" i="9"/>
  <c r="S613" i="9"/>
  <c r="Q613" i="9"/>
  <c r="S597" i="9"/>
  <c r="Q597" i="9"/>
  <c r="Q581" i="9"/>
  <c r="S581" i="9"/>
  <c r="S565" i="9"/>
  <c r="Q565" i="9"/>
  <c r="S765" i="9"/>
  <c r="Q765" i="9"/>
  <c r="S749" i="9"/>
  <c r="Q749" i="9"/>
  <c r="S733" i="9"/>
  <c r="Q733" i="9"/>
  <c r="S717" i="9"/>
  <c r="Q717" i="9"/>
  <c r="S709" i="9"/>
  <c r="Q709" i="9"/>
  <c r="Q701" i="9"/>
  <c r="S701" i="9"/>
  <c r="S685" i="9"/>
  <c r="Q685" i="9"/>
  <c r="S677" i="9"/>
  <c r="Q677" i="9"/>
  <c r="Q669" i="9"/>
  <c r="S669" i="9"/>
  <c r="S653" i="9"/>
  <c r="Q653" i="9"/>
  <c r="S637" i="9"/>
  <c r="Q637" i="9"/>
  <c r="S612" i="9"/>
  <c r="Q612" i="9"/>
  <c r="S596" i="9"/>
  <c r="Q596" i="9"/>
  <c r="S580" i="9"/>
  <c r="Q580" i="9"/>
  <c r="Q564" i="9"/>
  <c r="S564" i="9"/>
  <c r="S764" i="9"/>
  <c r="Q764" i="9"/>
  <c r="S748" i="9"/>
  <c r="Q748" i="9"/>
  <c r="S732" i="9"/>
  <c r="Q732" i="9"/>
  <c r="S716" i="9"/>
  <c r="Q716" i="9"/>
  <c r="S700" i="9"/>
  <c r="Q700" i="9"/>
  <c r="S692" i="9"/>
  <c r="Q692" i="9"/>
  <c r="Q676" i="9"/>
  <c r="S676" i="9"/>
  <c r="S652" i="9"/>
  <c r="Q652" i="9"/>
  <c r="S636" i="9"/>
  <c r="Q636" i="9"/>
  <c r="S620" i="9"/>
  <c r="Q620" i="9"/>
  <c r="Q611" i="9"/>
  <c r="S611" i="9"/>
  <c r="Q595" i="9"/>
  <c r="S595" i="9"/>
  <c r="Q579" i="9"/>
  <c r="S579" i="9"/>
  <c r="S563" i="9"/>
  <c r="Q563" i="9"/>
  <c r="S756" i="9"/>
  <c r="Q756" i="9"/>
  <c r="S740" i="9"/>
  <c r="Q740" i="9"/>
  <c r="S724" i="9"/>
  <c r="Q724" i="9"/>
  <c r="S708" i="9"/>
  <c r="Q708" i="9"/>
  <c r="Q684" i="9"/>
  <c r="S684" i="9"/>
  <c r="S668" i="9"/>
  <c r="Q668" i="9"/>
  <c r="S660" i="9"/>
  <c r="Q660" i="9"/>
  <c r="S644" i="9"/>
  <c r="Q644" i="9"/>
  <c r="S628" i="9"/>
  <c r="Q628" i="9"/>
  <c r="S610" i="9"/>
  <c r="Q610" i="9"/>
  <c r="S594" i="9"/>
  <c r="Q594" i="9"/>
  <c r="S578" i="9"/>
  <c r="Q578" i="9"/>
  <c r="S768" i="9"/>
  <c r="Q768" i="9"/>
  <c r="S763" i="9"/>
  <c r="Q763" i="9"/>
  <c r="S747" i="9"/>
  <c r="Q747" i="9"/>
  <c r="S731" i="9"/>
  <c r="Q731" i="9"/>
  <c r="S715" i="9"/>
  <c r="Q715" i="9"/>
  <c r="S699" i="9"/>
  <c r="Q699" i="9"/>
  <c r="S683" i="9"/>
  <c r="Q683" i="9"/>
  <c r="S675" i="9"/>
  <c r="Q675" i="9"/>
  <c r="S667" i="9"/>
  <c r="Q667" i="9"/>
  <c r="S651" i="9"/>
  <c r="Q651" i="9"/>
  <c r="S635" i="9"/>
  <c r="Q635" i="9"/>
  <c r="S619" i="9"/>
  <c r="Q619" i="9"/>
  <c r="S609" i="9"/>
  <c r="Q609" i="9"/>
  <c r="S593" i="9"/>
  <c r="Q593" i="9"/>
  <c r="S577" i="9"/>
  <c r="Q577" i="9"/>
  <c r="Q755" i="9"/>
  <c r="S755" i="9"/>
  <c r="Q739" i="9"/>
  <c r="S739" i="9"/>
  <c r="Q723" i="9"/>
  <c r="S723" i="9"/>
  <c r="Q707" i="9"/>
  <c r="S707" i="9"/>
  <c r="Q691" i="9"/>
  <c r="S691" i="9"/>
  <c r="Q659" i="9"/>
  <c r="S659" i="9"/>
  <c r="Q643" i="9"/>
  <c r="S643" i="9"/>
  <c r="Q627" i="9"/>
  <c r="S627" i="9"/>
  <c r="S608" i="9"/>
  <c r="Q608" i="9"/>
  <c r="S592" i="9"/>
  <c r="Q592" i="9"/>
  <c r="Q576" i="9"/>
  <c r="S576" i="9"/>
  <c r="V769" i="9"/>
  <c r="W769" i="9" s="1"/>
  <c r="P769" i="9"/>
  <c r="S762" i="9"/>
  <c r="Q762" i="9"/>
  <c r="S754" i="9"/>
  <c r="Q754" i="9"/>
  <c r="S730" i="9"/>
  <c r="Q730" i="9"/>
  <c r="S722" i="9"/>
  <c r="Q722" i="9"/>
  <c r="S714" i="9"/>
  <c r="Q714" i="9"/>
  <c r="S706" i="9"/>
  <c r="Q706" i="9"/>
  <c r="S698" i="9"/>
  <c r="Q698" i="9"/>
  <c r="S690" i="9"/>
  <c r="Q690" i="9"/>
  <c r="S682" i="9"/>
  <c r="Q682" i="9"/>
  <c r="S674" i="9"/>
  <c r="Q674" i="9"/>
  <c r="S666" i="9"/>
  <c r="Q666" i="9"/>
  <c r="S650" i="9"/>
  <c r="Q650" i="9"/>
  <c r="S618" i="9"/>
  <c r="Q618" i="9"/>
  <c r="S607" i="9"/>
  <c r="Q607" i="9"/>
  <c r="S591" i="9"/>
  <c r="Q591" i="9"/>
  <c r="S575" i="9"/>
  <c r="Q575" i="9"/>
  <c r="N770" i="9"/>
  <c r="M771" i="9"/>
  <c r="S746" i="9"/>
  <c r="Q746" i="9"/>
  <c r="S738" i="9"/>
  <c r="Q738" i="9"/>
  <c r="S658" i="9"/>
  <c r="Q658" i="9"/>
  <c r="S642" i="9"/>
  <c r="Q642" i="9"/>
  <c r="S634" i="9"/>
  <c r="Q634" i="9"/>
  <c r="S626" i="9"/>
  <c r="Q626" i="9"/>
  <c r="S606" i="9"/>
  <c r="Q606" i="9"/>
  <c r="S590" i="9"/>
  <c r="Q590" i="9"/>
  <c r="S574" i="9"/>
  <c r="Q574" i="9"/>
  <c r="S753" i="9"/>
  <c r="Q753" i="9"/>
  <c r="S737" i="9"/>
  <c r="Q737" i="9"/>
  <c r="S721" i="9"/>
  <c r="Q721" i="9"/>
  <c r="S705" i="9"/>
  <c r="Q705" i="9"/>
  <c r="S657" i="9"/>
  <c r="Q657" i="9"/>
  <c r="S641" i="9"/>
  <c r="Q641" i="9"/>
  <c r="S625" i="9"/>
  <c r="Q625" i="9"/>
  <c r="S605" i="9"/>
  <c r="Q605" i="9"/>
  <c r="Q589" i="9"/>
  <c r="S589" i="9"/>
  <c r="S573" i="9"/>
  <c r="Q573" i="9"/>
  <c r="N771" i="9" l="1"/>
  <c r="M772" i="9"/>
  <c r="V770" i="9"/>
  <c r="W770" i="9" s="1"/>
  <c r="P770" i="9"/>
  <c r="S769" i="9"/>
  <c r="Q769" i="9"/>
  <c r="S770" i="9" l="1"/>
  <c r="Q770" i="9"/>
  <c r="N772" i="9"/>
  <c r="M773" i="9"/>
  <c r="P771" i="9"/>
  <c r="V771" i="9"/>
  <c r="W771" i="9" s="1"/>
  <c r="N773" i="9" l="1"/>
  <c r="M774" i="9"/>
  <c r="Q771" i="9"/>
  <c r="S771" i="9"/>
  <c r="P772" i="9"/>
  <c r="V772" i="9"/>
  <c r="W772" i="9" s="1"/>
  <c r="S772" i="9" l="1"/>
  <c r="Q772" i="9"/>
  <c r="M775" i="9"/>
  <c r="N774" i="9"/>
  <c r="V773" i="9"/>
  <c r="W773" i="9" s="1"/>
  <c r="P773" i="9"/>
  <c r="N775" i="9" l="1"/>
  <c r="M776" i="9"/>
  <c r="S773" i="9"/>
  <c r="Q773" i="9"/>
  <c r="V774" i="9"/>
  <c r="W774" i="9" s="1"/>
  <c r="P774" i="9"/>
  <c r="S774" i="9" l="1"/>
  <c r="Q774" i="9"/>
  <c r="N776" i="9"/>
  <c r="M777" i="9"/>
  <c r="V775" i="9"/>
  <c r="W775" i="9" s="1"/>
  <c r="P775" i="9"/>
  <c r="V776" i="9" l="1"/>
  <c r="W776" i="9" s="1"/>
  <c r="P776" i="9"/>
  <c r="S775" i="9"/>
  <c r="Q775" i="9"/>
  <c r="M778" i="9"/>
  <c r="N777" i="9"/>
  <c r="N778" i="9" l="1"/>
  <c r="M779" i="9"/>
  <c r="S776" i="9"/>
  <c r="Q776" i="9"/>
  <c r="V777" i="9"/>
  <c r="W777" i="9" s="1"/>
  <c r="P777" i="9"/>
  <c r="N779" i="9" l="1"/>
  <c r="M780" i="9"/>
  <c r="S777" i="9"/>
  <c r="Q777" i="9"/>
  <c r="P778" i="9"/>
  <c r="V778" i="9"/>
  <c r="W778" i="9" s="1"/>
  <c r="S778" i="9" l="1"/>
  <c r="Q778" i="9"/>
  <c r="N780" i="9"/>
  <c r="M781" i="9"/>
  <c r="V779" i="9"/>
  <c r="W779" i="9" s="1"/>
  <c r="P779" i="9"/>
  <c r="S779" i="9" l="1"/>
  <c r="Q779" i="9"/>
  <c r="V780" i="9"/>
  <c r="W780" i="9" s="1"/>
  <c r="P780" i="9"/>
  <c r="N781" i="9"/>
  <c r="M782" i="9"/>
  <c r="S780" i="9" l="1"/>
  <c r="Q780" i="9"/>
  <c r="N782" i="9"/>
  <c r="M783" i="9"/>
  <c r="P781" i="9"/>
  <c r="V781" i="9"/>
  <c r="W781" i="9" s="1"/>
  <c r="Q781" i="9" l="1"/>
  <c r="S781" i="9"/>
  <c r="V782" i="9"/>
  <c r="W782" i="9" s="1"/>
  <c r="P782" i="9"/>
  <c r="N783" i="9"/>
  <c r="M784" i="9"/>
  <c r="N784" i="9" l="1"/>
  <c r="M785" i="9"/>
  <c r="V783" i="9"/>
  <c r="W783" i="9" s="1"/>
  <c r="P783" i="9"/>
  <c r="S782" i="9"/>
  <c r="Q782" i="9"/>
  <c r="S783" i="9" l="1"/>
  <c r="Q783" i="9"/>
  <c r="M786" i="9"/>
  <c r="N785" i="9"/>
  <c r="P784" i="9"/>
  <c r="V784" i="9"/>
  <c r="W784" i="9" s="1"/>
  <c r="N786" i="9" l="1"/>
  <c r="M787" i="9"/>
  <c r="Q784" i="9"/>
  <c r="S784" i="9"/>
  <c r="V785" i="9"/>
  <c r="W785" i="9" s="1"/>
  <c r="P785" i="9"/>
  <c r="S785" i="9" l="1"/>
  <c r="Q785" i="9"/>
  <c r="N787" i="9"/>
  <c r="M788" i="9"/>
  <c r="V786" i="9"/>
  <c r="W786" i="9" s="1"/>
  <c r="P786" i="9"/>
  <c r="V787" i="9" l="1"/>
  <c r="W787" i="9" s="1"/>
  <c r="P787" i="9"/>
  <c r="Q786" i="9"/>
  <c r="S786" i="9"/>
  <c r="N788" i="9"/>
  <c r="M789" i="9"/>
  <c r="S787" i="9" l="1"/>
  <c r="Q787" i="9"/>
  <c r="N789" i="9"/>
  <c r="M790" i="9"/>
  <c r="V788" i="9"/>
  <c r="W788" i="9" s="1"/>
  <c r="P788" i="9"/>
  <c r="P789" i="9" l="1"/>
  <c r="V789" i="9"/>
  <c r="W789" i="9" s="1"/>
  <c r="S788" i="9"/>
  <c r="Q788" i="9"/>
  <c r="N790" i="9"/>
  <c r="M791" i="9"/>
  <c r="P790" i="9" l="1"/>
  <c r="V790" i="9"/>
  <c r="W790" i="9" s="1"/>
  <c r="N791" i="9"/>
  <c r="M792" i="9"/>
  <c r="Q789" i="9"/>
  <c r="S789" i="9"/>
  <c r="V791" i="9" l="1"/>
  <c r="W791" i="9" s="1"/>
  <c r="P791" i="9"/>
  <c r="AC13" i="9"/>
  <c r="M793" i="9"/>
  <c r="N792" i="9"/>
  <c r="S790" i="9"/>
  <c r="Q790" i="9"/>
  <c r="M794" i="9" l="1"/>
  <c r="N793" i="9"/>
  <c r="S791" i="9"/>
  <c r="Q791" i="9"/>
  <c r="V792" i="9"/>
  <c r="W792" i="9" s="1"/>
  <c r="P792" i="9"/>
  <c r="P793" i="9" l="1"/>
  <c r="V793" i="9"/>
  <c r="W793" i="9" s="1"/>
  <c r="Q792" i="9"/>
  <c r="S792" i="9"/>
  <c r="N794" i="9"/>
  <c r="M795" i="9"/>
  <c r="N795" i="9" l="1"/>
  <c r="M796" i="9"/>
  <c r="P794" i="9"/>
  <c r="V794" i="9"/>
  <c r="W794" i="9" s="1"/>
  <c r="Q793" i="9"/>
  <c r="S793" i="9"/>
  <c r="N796" i="9" l="1"/>
  <c r="M797" i="9"/>
  <c r="S794" i="9"/>
  <c r="Q794" i="9"/>
  <c r="P795" i="9"/>
  <c r="V795" i="9"/>
  <c r="W795" i="9" s="1"/>
  <c r="N797" i="9" l="1"/>
  <c r="M798" i="9"/>
  <c r="S795" i="9"/>
  <c r="Q795" i="9"/>
  <c r="V796" i="9"/>
  <c r="W796" i="9" s="1"/>
  <c r="P796" i="9"/>
  <c r="N798" i="9" l="1"/>
  <c r="M799" i="9"/>
  <c r="S796" i="9"/>
  <c r="Q796" i="9"/>
  <c r="V797" i="9"/>
  <c r="W797" i="9" s="1"/>
  <c r="P797" i="9"/>
  <c r="Q797" i="9" l="1"/>
  <c r="S797" i="9"/>
  <c r="N799" i="9"/>
  <c r="M800" i="9"/>
  <c r="V798" i="9"/>
  <c r="W798" i="9" s="1"/>
  <c r="P798" i="9"/>
  <c r="S798" i="9" l="1"/>
  <c r="Q798" i="9"/>
  <c r="V799" i="9"/>
  <c r="W799" i="9" s="1"/>
  <c r="P799" i="9"/>
  <c r="N800" i="9"/>
  <c r="M801" i="9"/>
  <c r="N801" i="9" l="1"/>
  <c r="M802" i="9"/>
  <c r="P800" i="9"/>
  <c r="V800" i="9"/>
  <c r="W800" i="9" s="1"/>
  <c r="S799" i="9"/>
  <c r="Q799" i="9"/>
  <c r="N802" i="9" l="1"/>
  <c r="M803" i="9"/>
  <c r="Q800" i="9"/>
  <c r="S800" i="9"/>
  <c r="P801" i="9"/>
  <c r="V801" i="9"/>
  <c r="W801" i="9" s="1"/>
  <c r="N803" i="9" l="1"/>
  <c r="M804" i="9"/>
  <c r="S801" i="9"/>
  <c r="Q801" i="9"/>
  <c r="V802" i="9"/>
  <c r="W802" i="9" s="1"/>
  <c r="P802" i="9"/>
  <c r="S802" i="9" l="1"/>
  <c r="Q802" i="9"/>
  <c r="N804" i="9"/>
  <c r="M805" i="9"/>
  <c r="V803" i="9"/>
  <c r="W803" i="9" s="1"/>
  <c r="P803" i="9"/>
  <c r="S803" i="9" l="1"/>
  <c r="Q803" i="9"/>
  <c r="V804" i="9"/>
  <c r="W804" i="9" s="1"/>
  <c r="P804" i="9"/>
  <c r="N805" i="9"/>
  <c r="M806" i="9"/>
  <c r="S804" i="9" l="1"/>
  <c r="Q804" i="9"/>
  <c r="N806" i="9"/>
  <c r="M807" i="9"/>
  <c r="P805" i="9"/>
  <c r="V805" i="9"/>
  <c r="W805" i="9" s="1"/>
  <c r="P806" i="9" l="1"/>
  <c r="V806" i="9"/>
  <c r="W806" i="9" s="1"/>
  <c r="Q805" i="9"/>
  <c r="S805" i="9"/>
  <c r="N807" i="9"/>
  <c r="M808" i="9"/>
  <c r="M809" i="9" l="1"/>
  <c r="N808" i="9"/>
  <c r="V807" i="9"/>
  <c r="W807" i="9" s="1"/>
  <c r="P807" i="9"/>
  <c r="S806" i="9"/>
  <c r="Q806" i="9"/>
  <c r="S807" i="9" l="1"/>
  <c r="Q807" i="9"/>
  <c r="V808" i="9"/>
  <c r="W808" i="9" s="1"/>
  <c r="P808" i="9"/>
  <c r="M810" i="9"/>
  <c r="N809" i="9"/>
  <c r="V809" i="9" l="1"/>
  <c r="W809" i="9" s="1"/>
  <c r="P809" i="9"/>
  <c r="N810" i="9"/>
  <c r="M811" i="9"/>
  <c r="Q808" i="9"/>
  <c r="S808" i="9"/>
  <c r="P810" i="9" l="1"/>
  <c r="V810" i="9"/>
  <c r="W810" i="9" s="1"/>
  <c r="N811" i="9"/>
  <c r="M812" i="9"/>
  <c r="S809" i="9"/>
  <c r="Q809" i="9"/>
  <c r="N812" i="9" l="1"/>
  <c r="M813" i="9"/>
  <c r="P811" i="9"/>
  <c r="V811" i="9"/>
  <c r="W811" i="9" s="1"/>
  <c r="S810" i="9"/>
  <c r="Q810" i="9"/>
  <c r="S811" i="9" l="1"/>
  <c r="Q811" i="9"/>
  <c r="N813" i="9"/>
  <c r="M814" i="9"/>
  <c r="V812" i="9"/>
  <c r="W812" i="9" s="1"/>
  <c r="P812" i="9"/>
  <c r="S812" i="9" l="1"/>
  <c r="Q812" i="9"/>
  <c r="V813" i="9"/>
  <c r="W813" i="9" s="1"/>
  <c r="P813" i="9"/>
  <c r="N814" i="9"/>
  <c r="M815" i="9"/>
  <c r="S813" i="9" l="1"/>
  <c r="Q813" i="9"/>
  <c r="N815" i="9"/>
  <c r="M816" i="9"/>
  <c r="V814" i="9"/>
  <c r="W814" i="9" s="1"/>
  <c r="P814" i="9"/>
  <c r="S814" i="9" l="1"/>
  <c r="Q814" i="9"/>
  <c r="V815" i="9"/>
  <c r="W815" i="9" s="1"/>
  <c r="P815" i="9"/>
  <c r="N816" i="9"/>
  <c r="M817" i="9"/>
  <c r="S815" i="9" l="1"/>
  <c r="Q815" i="9"/>
  <c r="M818" i="9"/>
  <c r="N817" i="9"/>
  <c r="P816" i="9"/>
  <c r="V816" i="9"/>
  <c r="W816" i="9" s="1"/>
  <c r="N818" i="9" l="1"/>
  <c r="M819" i="9"/>
  <c r="Q816" i="9"/>
  <c r="S816" i="9"/>
  <c r="P817" i="9"/>
  <c r="V817" i="9"/>
  <c r="W817" i="9" s="1"/>
  <c r="S817" i="9" l="1"/>
  <c r="Q817" i="9"/>
  <c r="N819" i="9"/>
  <c r="M820" i="9"/>
  <c r="V818" i="9"/>
  <c r="W818" i="9" s="1"/>
  <c r="P818" i="9"/>
  <c r="S818" i="9" l="1"/>
  <c r="Q818" i="9"/>
  <c r="V819" i="9"/>
  <c r="W819" i="9" s="1"/>
  <c r="P819" i="9"/>
  <c r="N820" i="9"/>
  <c r="M821" i="9"/>
  <c r="N821" i="9" l="1"/>
  <c r="M822" i="9"/>
  <c r="V820" i="9"/>
  <c r="W820" i="9" s="1"/>
  <c r="S819" i="9"/>
  <c r="Q819" i="9"/>
  <c r="N822" i="9" l="1"/>
  <c r="M823" i="9"/>
  <c r="V821" i="9"/>
  <c r="W821" i="9" s="1"/>
  <c r="N823" i="9" l="1"/>
  <c r="M824" i="9"/>
  <c r="V822" i="9"/>
  <c r="W822" i="9" s="1"/>
  <c r="N824" i="9" l="1"/>
  <c r="M825" i="9"/>
  <c r="V823" i="9"/>
  <c r="W823" i="9" s="1"/>
  <c r="M826" i="9" l="1"/>
  <c r="N825" i="9"/>
  <c r="V824" i="9"/>
  <c r="W824" i="9" s="1"/>
  <c r="V825" i="9" l="1"/>
  <c r="W825" i="9" s="1"/>
  <c r="N826" i="9"/>
  <c r="M827" i="9"/>
  <c r="V826" i="9" l="1"/>
  <c r="W826" i="9" s="1"/>
  <c r="N827" i="9"/>
  <c r="M828" i="9"/>
  <c r="N828" i="9" l="1"/>
  <c r="M829" i="9"/>
  <c r="V827" i="9"/>
  <c r="W827" i="9" s="1"/>
  <c r="N829" i="9" l="1"/>
  <c r="M830" i="9"/>
  <c r="V828" i="9"/>
  <c r="W828" i="9" s="1"/>
  <c r="N830" i="9" l="1"/>
  <c r="M831" i="9"/>
  <c r="V829" i="9"/>
  <c r="W829" i="9" s="1"/>
  <c r="N831" i="9" l="1"/>
  <c r="M832" i="9"/>
  <c r="V830" i="9"/>
  <c r="W830" i="9" s="1"/>
  <c r="N832" i="9" l="1"/>
  <c r="M833" i="9"/>
  <c r="V831" i="9"/>
  <c r="W831" i="9" s="1"/>
  <c r="N833" i="9" l="1"/>
  <c r="M834" i="9"/>
  <c r="V832" i="9"/>
  <c r="W832" i="9" s="1"/>
  <c r="N834" i="9" l="1"/>
  <c r="M835" i="9"/>
  <c r="V833" i="9"/>
  <c r="W833" i="9" s="1"/>
  <c r="N835" i="9" l="1"/>
  <c r="M836" i="9"/>
  <c r="V834" i="9"/>
  <c r="W834" i="9" s="1"/>
  <c r="N836" i="9" l="1"/>
  <c r="M837" i="9"/>
  <c r="V835" i="9"/>
  <c r="W835" i="9" s="1"/>
  <c r="N837" i="9" l="1"/>
  <c r="M838" i="9"/>
  <c r="V836" i="9"/>
  <c r="W836" i="9" s="1"/>
  <c r="N838" i="9" l="1"/>
  <c r="M839" i="9"/>
  <c r="V837" i="9"/>
  <c r="W837" i="9" s="1"/>
  <c r="N839" i="9" l="1"/>
  <c r="M840" i="9"/>
  <c r="V838" i="9"/>
  <c r="W838" i="9" s="1"/>
  <c r="N840" i="9" l="1"/>
  <c r="M841" i="9"/>
  <c r="V839" i="9"/>
  <c r="W839" i="9" s="1"/>
  <c r="M842" i="9" l="1"/>
  <c r="N841" i="9"/>
  <c r="V840" i="9"/>
  <c r="W840" i="9" s="1"/>
  <c r="V841" i="9" l="1"/>
  <c r="W841" i="9" s="1"/>
  <c r="N842" i="9"/>
  <c r="M843" i="9"/>
  <c r="N843" i="9" l="1"/>
  <c r="M844" i="9"/>
  <c r="V842" i="9"/>
  <c r="W842" i="9" s="1"/>
  <c r="N844" i="9" l="1"/>
  <c r="M845" i="9"/>
  <c r="V843" i="9"/>
  <c r="W843" i="9" s="1"/>
  <c r="N845" i="9" l="1"/>
  <c r="M846" i="9"/>
  <c r="V844" i="9"/>
  <c r="W844" i="9" s="1"/>
  <c r="N846" i="9" l="1"/>
  <c r="M847" i="9"/>
  <c r="V845" i="9"/>
  <c r="W845" i="9" s="1"/>
  <c r="N847" i="9" l="1"/>
  <c r="M848" i="9"/>
  <c r="V846" i="9"/>
  <c r="W846" i="9" s="1"/>
  <c r="N848" i="9" l="1"/>
  <c r="M849" i="9"/>
  <c r="V847" i="9"/>
  <c r="W847" i="9" s="1"/>
  <c r="N849" i="9" l="1"/>
  <c r="M850" i="9"/>
  <c r="V848" i="9"/>
  <c r="W848" i="9" s="1"/>
  <c r="N850" i="9" l="1"/>
  <c r="M851" i="9"/>
  <c r="V849" i="9"/>
  <c r="W849" i="9" s="1"/>
  <c r="N851" i="9" l="1"/>
  <c r="M852" i="9"/>
  <c r="V850" i="9"/>
  <c r="W850" i="9" s="1"/>
  <c r="N852" i="9" l="1"/>
  <c r="M853" i="9"/>
  <c r="V851" i="9"/>
  <c r="W851" i="9" s="1"/>
  <c r="N853" i="9" l="1"/>
  <c r="M854" i="9"/>
  <c r="V852" i="9"/>
  <c r="W852" i="9" s="1"/>
  <c r="N854" i="9" l="1"/>
  <c r="M855" i="9"/>
  <c r="V853" i="9"/>
  <c r="W853" i="9" s="1"/>
  <c r="N855" i="9" l="1"/>
  <c r="M856" i="9"/>
  <c r="V854" i="9"/>
  <c r="W854" i="9" s="1"/>
  <c r="N856" i="9" l="1"/>
  <c r="M857" i="9"/>
  <c r="V855" i="9"/>
  <c r="W855" i="9" s="1"/>
  <c r="M858" i="9" l="1"/>
  <c r="N857" i="9"/>
  <c r="V856" i="9"/>
  <c r="W856" i="9" s="1"/>
  <c r="V857" i="9" l="1"/>
  <c r="W857" i="9" s="1"/>
  <c r="N858" i="9"/>
  <c r="M859" i="9"/>
  <c r="V858" i="9" l="1"/>
  <c r="W858" i="9" s="1"/>
  <c r="N859" i="9"/>
  <c r="M860" i="9"/>
  <c r="N860" i="9" l="1"/>
  <c r="M861" i="9"/>
  <c r="V859" i="9"/>
  <c r="W859" i="9" s="1"/>
  <c r="N861" i="9" l="1"/>
  <c r="M862" i="9"/>
  <c r="V860" i="9"/>
  <c r="W860" i="9" s="1"/>
  <c r="N862" i="9" l="1"/>
  <c r="M863" i="9"/>
  <c r="V861" i="9"/>
  <c r="W861" i="9" s="1"/>
  <c r="N863" i="9" l="1"/>
  <c r="M864" i="9"/>
  <c r="V862" i="9"/>
  <c r="W862" i="9" s="1"/>
  <c r="N864" i="9" l="1"/>
  <c r="M865" i="9"/>
  <c r="V863" i="9"/>
  <c r="W863" i="9" s="1"/>
  <c r="N865" i="9" l="1"/>
  <c r="M866" i="9"/>
  <c r="V864" i="9"/>
  <c r="W864" i="9" s="1"/>
  <c r="N866" i="9" l="1"/>
  <c r="M867" i="9"/>
  <c r="V865" i="9"/>
  <c r="W865" i="9" s="1"/>
  <c r="N867" i="9" l="1"/>
  <c r="M868" i="9"/>
  <c r="V866" i="9"/>
  <c r="W866" i="9" s="1"/>
  <c r="N868" i="9" l="1"/>
  <c r="M869" i="9"/>
  <c r="V867" i="9"/>
  <c r="W867" i="9" s="1"/>
  <c r="N869" i="9" l="1"/>
  <c r="M870" i="9"/>
  <c r="V868" i="9"/>
  <c r="W868" i="9" s="1"/>
  <c r="N870" i="9" l="1"/>
  <c r="M871" i="9"/>
  <c r="V869" i="9"/>
  <c r="W869" i="9" s="1"/>
  <c r="N871" i="9" l="1"/>
  <c r="M872" i="9"/>
  <c r="N872" i="9" l="1"/>
  <c r="M873" i="9"/>
  <c r="N873" i="9" l="1"/>
  <c r="M874" i="9"/>
  <c r="N874" i="9" l="1"/>
  <c r="M875" i="9"/>
  <c r="N875" i="9" l="1"/>
  <c r="M876" i="9"/>
  <c r="N876" i="9" l="1"/>
  <c r="M877" i="9"/>
  <c r="N877" i="9" l="1"/>
  <c r="M878" i="9"/>
  <c r="N878" i="9" l="1"/>
  <c r="M879" i="9"/>
  <c r="N879" i="9" l="1"/>
  <c r="M880" i="9"/>
  <c r="N880" i="9" l="1"/>
  <c r="M881" i="9"/>
  <c r="N881" i="9" l="1"/>
  <c r="M882" i="9"/>
  <c r="N882" i="9" l="1"/>
  <c r="M883" i="9"/>
  <c r="N883" i="9" l="1"/>
  <c r="M884" i="9"/>
  <c r="M885" i="9" l="1"/>
  <c r="N884" i="9"/>
  <c r="N885" i="9" l="1"/>
  <c r="M886" i="9"/>
  <c r="N886" i="9" l="1"/>
  <c r="M887" i="9"/>
  <c r="N887" i="9" l="1"/>
  <c r="M888" i="9"/>
  <c r="N888" i="9" l="1"/>
  <c r="M889" i="9"/>
  <c r="M890" i="9" l="1"/>
  <c r="N889" i="9"/>
  <c r="N890" i="9" l="1"/>
  <c r="M891" i="9"/>
  <c r="N891" i="9" l="1"/>
  <c r="M892" i="9"/>
  <c r="N892" i="9" l="1"/>
  <c r="M893" i="9"/>
  <c r="N893" i="9" l="1"/>
  <c r="M894" i="9"/>
  <c r="N894" i="9" l="1"/>
  <c r="M895" i="9"/>
  <c r="N895" i="9" l="1"/>
  <c r="M896" i="9"/>
  <c r="N896" i="9" l="1"/>
  <c r="M897" i="9"/>
  <c r="V895" i="9"/>
  <c r="W895" i="9" s="1"/>
  <c r="P895" i="9"/>
  <c r="S895" i="9" l="1"/>
  <c r="Q895" i="9"/>
  <c r="N897" i="9"/>
  <c r="M898" i="9"/>
  <c r="V896" i="9"/>
  <c r="W896" i="9" s="1"/>
  <c r="P896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V870" i="9"/>
  <c r="W870" i="9" s="1"/>
  <c r="P870" i="9"/>
  <c r="P871" i="9"/>
  <c r="V871" i="9"/>
  <c r="W871" i="9" s="1"/>
  <c r="V872" i="9"/>
  <c r="W872" i="9" s="1"/>
  <c r="P872" i="9"/>
  <c r="V873" i="9"/>
  <c r="W873" i="9" s="1"/>
  <c r="P873" i="9"/>
  <c r="V874" i="9"/>
  <c r="W874" i="9" s="1"/>
  <c r="P874" i="9"/>
  <c r="V875" i="9"/>
  <c r="W875" i="9" s="1"/>
  <c r="P875" i="9"/>
  <c r="P876" i="9"/>
  <c r="V876" i="9"/>
  <c r="W876" i="9" s="1"/>
  <c r="P877" i="9"/>
  <c r="V877" i="9"/>
  <c r="W877" i="9" s="1"/>
  <c r="V878" i="9"/>
  <c r="W878" i="9" s="1"/>
  <c r="P878" i="9"/>
  <c r="V879" i="9"/>
  <c r="W879" i="9" s="1"/>
  <c r="P879" i="9"/>
  <c r="V880" i="9"/>
  <c r="W880" i="9" s="1"/>
  <c r="P880" i="9"/>
  <c r="P881" i="9"/>
  <c r="V881" i="9"/>
  <c r="W881" i="9" s="1"/>
  <c r="P882" i="9"/>
  <c r="V882" i="9"/>
  <c r="W882" i="9" s="1"/>
  <c r="V883" i="9"/>
  <c r="W883" i="9" s="1"/>
  <c r="P883" i="9"/>
  <c r="V884" i="9"/>
  <c r="W884" i="9" s="1"/>
  <c r="P884" i="9"/>
  <c r="V885" i="9"/>
  <c r="W885" i="9" s="1"/>
  <c r="P885" i="9"/>
  <c r="V886" i="9"/>
  <c r="W886" i="9" s="1"/>
  <c r="P886" i="9"/>
  <c r="P887" i="9"/>
  <c r="V887" i="9"/>
  <c r="W887" i="9" s="1"/>
  <c r="P888" i="9"/>
  <c r="V888" i="9"/>
  <c r="W888" i="9" s="1"/>
  <c r="V889" i="9"/>
  <c r="W889" i="9" s="1"/>
  <c r="P889" i="9"/>
  <c r="P890" i="9"/>
  <c r="V890" i="9"/>
  <c r="W890" i="9" s="1"/>
  <c r="V891" i="9"/>
  <c r="W891" i="9" s="1"/>
  <c r="P891" i="9"/>
  <c r="P892" i="9"/>
  <c r="V892" i="9"/>
  <c r="W892" i="9" s="1"/>
  <c r="P893" i="9"/>
  <c r="V893" i="9"/>
  <c r="W893" i="9" s="1"/>
  <c r="V894" i="9"/>
  <c r="W894" i="9" s="1"/>
  <c r="P894" i="9"/>
  <c r="S845" i="9" l="1"/>
  <c r="Q845" i="9"/>
  <c r="S829" i="9"/>
  <c r="Q829" i="9"/>
  <c r="S844" i="9"/>
  <c r="Q844" i="9"/>
  <c r="S828" i="9"/>
  <c r="Q828" i="9"/>
  <c r="S889" i="9"/>
  <c r="Q889" i="9"/>
  <c r="S843" i="9"/>
  <c r="Q843" i="9"/>
  <c r="S827" i="9"/>
  <c r="Q827" i="9"/>
  <c r="S881" i="9"/>
  <c r="Q881" i="9"/>
  <c r="S858" i="9"/>
  <c r="Q858" i="9"/>
  <c r="S842" i="9"/>
  <c r="Q842" i="9"/>
  <c r="S826" i="9"/>
  <c r="Q826" i="9"/>
  <c r="S873" i="9"/>
  <c r="Q873" i="9"/>
  <c r="S841" i="9"/>
  <c r="Q841" i="9"/>
  <c r="S825" i="9"/>
  <c r="Q825" i="9"/>
  <c r="Q871" i="9"/>
  <c r="S871" i="9"/>
  <c r="S856" i="9"/>
  <c r="Q856" i="9"/>
  <c r="S840" i="9"/>
  <c r="Q840" i="9"/>
  <c r="S824" i="9"/>
  <c r="Q824" i="9"/>
  <c r="S861" i="9"/>
  <c r="Q861" i="9"/>
  <c r="S878" i="9"/>
  <c r="Q878" i="9"/>
  <c r="S870" i="9"/>
  <c r="Q870" i="9"/>
  <c r="S855" i="9"/>
  <c r="Q855" i="9"/>
  <c r="S839" i="9"/>
  <c r="Q839" i="9"/>
  <c r="S823" i="9"/>
  <c r="Q823" i="9"/>
  <c r="S872" i="9"/>
  <c r="Q872" i="9"/>
  <c r="S854" i="9"/>
  <c r="Q854" i="9"/>
  <c r="S838" i="9"/>
  <c r="Q838" i="9"/>
  <c r="S822" i="9"/>
  <c r="Q822" i="9"/>
  <c r="S885" i="9"/>
  <c r="Q885" i="9"/>
  <c r="S869" i="9"/>
  <c r="Q869" i="9"/>
  <c r="Q853" i="9"/>
  <c r="S853" i="9"/>
  <c r="Q837" i="9"/>
  <c r="S837" i="9"/>
  <c r="Q821" i="9"/>
  <c r="S821" i="9"/>
  <c r="S879" i="9"/>
  <c r="Q879" i="9"/>
  <c r="S894" i="9"/>
  <c r="Q894" i="9"/>
  <c r="S893" i="9"/>
  <c r="Q893" i="9"/>
  <c r="S877" i="9"/>
  <c r="Q877" i="9"/>
  <c r="Q868" i="9"/>
  <c r="S868" i="9"/>
  <c r="S852" i="9"/>
  <c r="Q852" i="9"/>
  <c r="S836" i="9"/>
  <c r="Q836" i="9"/>
  <c r="S820" i="9"/>
  <c r="Q820" i="9"/>
  <c r="S888" i="9"/>
  <c r="Q888" i="9"/>
  <c r="Q887" i="9"/>
  <c r="S887" i="9"/>
  <c r="S884" i="9"/>
  <c r="Q884" i="9"/>
  <c r="S867" i="9"/>
  <c r="Q867" i="9"/>
  <c r="S851" i="9"/>
  <c r="Q851" i="9"/>
  <c r="S835" i="9"/>
  <c r="Q835" i="9"/>
  <c r="S896" i="9"/>
  <c r="Q896" i="9"/>
  <c r="Q892" i="9"/>
  <c r="S892" i="9"/>
  <c r="Q876" i="9"/>
  <c r="S876" i="9"/>
  <c r="S866" i="9"/>
  <c r="Q866" i="9"/>
  <c r="S850" i="9"/>
  <c r="Q850" i="9"/>
  <c r="S834" i="9"/>
  <c r="Q834" i="9"/>
  <c r="S886" i="9"/>
  <c r="Q886" i="9"/>
  <c r="Q891" i="9"/>
  <c r="S891" i="9"/>
  <c r="S883" i="9"/>
  <c r="Q883" i="9"/>
  <c r="S875" i="9"/>
  <c r="Q875" i="9"/>
  <c r="S865" i="9"/>
  <c r="Q865" i="9"/>
  <c r="S849" i="9"/>
  <c r="Q849" i="9"/>
  <c r="S833" i="9"/>
  <c r="Q833" i="9"/>
  <c r="N898" i="9"/>
  <c r="M899" i="9"/>
  <c r="S859" i="9"/>
  <c r="Q859" i="9"/>
  <c r="Q864" i="9"/>
  <c r="S864" i="9"/>
  <c r="Q848" i="9"/>
  <c r="S848" i="9"/>
  <c r="Q832" i="9"/>
  <c r="S832" i="9"/>
  <c r="P897" i="9"/>
  <c r="V897" i="9"/>
  <c r="W897" i="9" s="1"/>
  <c r="S860" i="9"/>
  <c r="Q860" i="9"/>
  <c r="S874" i="9"/>
  <c r="Q874" i="9"/>
  <c r="S863" i="9"/>
  <c r="Q863" i="9"/>
  <c r="S847" i="9"/>
  <c r="Q847" i="9"/>
  <c r="S831" i="9"/>
  <c r="Q831" i="9"/>
  <c r="S880" i="9"/>
  <c r="Q880" i="9"/>
  <c r="S857" i="9"/>
  <c r="Q857" i="9"/>
  <c r="S890" i="9"/>
  <c r="Q890" i="9"/>
  <c r="S882" i="9"/>
  <c r="Q882" i="9"/>
  <c r="S862" i="9"/>
  <c r="Q862" i="9"/>
  <c r="S846" i="9"/>
  <c r="Q846" i="9"/>
  <c r="S830" i="9"/>
  <c r="Q830" i="9"/>
  <c r="N899" i="9" l="1"/>
  <c r="M900" i="9"/>
  <c r="P898" i="9"/>
  <c r="V898" i="9"/>
  <c r="W898" i="9" s="1"/>
  <c r="S897" i="9"/>
  <c r="Q897" i="9"/>
  <c r="S898" i="9" l="1"/>
  <c r="Q898" i="9"/>
  <c r="N900" i="9"/>
  <c r="M901" i="9"/>
  <c r="V899" i="9"/>
  <c r="W899" i="9" s="1"/>
  <c r="P899" i="9"/>
  <c r="V900" i="9" l="1"/>
  <c r="W900" i="9" s="1"/>
  <c r="P900" i="9"/>
  <c r="N901" i="9"/>
  <c r="M902" i="9"/>
  <c r="S899" i="9"/>
  <c r="Q899" i="9"/>
  <c r="V901" i="9" l="1"/>
  <c r="W901" i="9" s="1"/>
  <c r="P901" i="9"/>
  <c r="S900" i="9"/>
  <c r="Q900" i="9"/>
  <c r="N902" i="9"/>
  <c r="M903" i="9"/>
  <c r="S901" i="9" l="1"/>
  <c r="Q901" i="9"/>
  <c r="N903" i="9"/>
  <c r="M904" i="9"/>
  <c r="V902" i="9"/>
  <c r="W902" i="9" s="1"/>
  <c r="P902" i="9"/>
  <c r="P903" i="9" l="1"/>
  <c r="V903" i="9"/>
  <c r="W903" i="9" s="1"/>
  <c r="S902" i="9"/>
  <c r="Q902" i="9"/>
  <c r="N904" i="9"/>
  <c r="M905" i="9"/>
  <c r="N905" i="9" l="1"/>
  <c r="M906" i="9"/>
  <c r="P904" i="9"/>
  <c r="V904" i="9"/>
  <c r="W904" i="9" s="1"/>
  <c r="Q903" i="9"/>
  <c r="S903" i="9"/>
  <c r="N906" i="9" l="1"/>
  <c r="M907" i="9"/>
  <c r="S904" i="9"/>
  <c r="Q904" i="9"/>
  <c r="V905" i="9"/>
  <c r="W905" i="9" s="1"/>
  <c r="P905" i="9"/>
  <c r="S905" i="9" l="1"/>
  <c r="Q905" i="9"/>
  <c r="N907" i="9"/>
  <c r="M908" i="9"/>
  <c r="V906" i="9"/>
  <c r="W906" i="9" s="1"/>
  <c r="P906" i="9"/>
  <c r="S906" i="9" l="1"/>
  <c r="Q906" i="9"/>
  <c r="V907" i="9"/>
  <c r="W907" i="9" s="1"/>
  <c r="P907" i="9"/>
  <c r="N908" i="9"/>
  <c r="M909" i="9"/>
  <c r="N909" i="9" l="1"/>
  <c r="M910" i="9"/>
  <c r="P908" i="9"/>
  <c r="V908" i="9"/>
  <c r="W908" i="9" s="1"/>
  <c r="S907" i="9"/>
  <c r="Q907" i="9"/>
  <c r="N910" i="9" l="1"/>
  <c r="M911" i="9"/>
  <c r="Q908" i="9"/>
  <c r="S908" i="9"/>
  <c r="P909" i="9"/>
  <c r="V909" i="9"/>
  <c r="W909" i="9" s="1"/>
  <c r="S909" i="9" l="1"/>
  <c r="Q909" i="9"/>
  <c r="N911" i="9"/>
  <c r="M912" i="9"/>
  <c r="V910" i="9"/>
  <c r="W910" i="9" s="1"/>
  <c r="P910" i="9"/>
  <c r="S910" i="9" l="1"/>
  <c r="Q910" i="9"/>
  <c r="V911" i="9"/>
  <c r="W911" i="9" s="1"/>
  <c r="P911" i="9"/>
  <c r="N912" i="9"/>
  <c r="M913" i="9"/>
  <c r="N913" i="9" l="1"/>
  <c r="M914" i="9"/>
  <c r="V912" i="9"/>
  <c r="W912" i="9" s="1"/>
  <c r="P912" i="9"/>
  <c r="S911" i="9"/>
  <c r="Q911" i="9"/>
  <c r="S912" i="9" l="1"/>
  <c r="Q912" i="9"/>
  <c r="N914" i="9"/>
  <c r="M915" i="9"/>
  <c r="P913" i="9"/>
  <c r="V913" i="9"/>
  <c r="W913" i="9" s="1"/>
  <c r="P914" i="9" l="1"/>
  <c r="V914" i="9"/>
  <c r="W914" i="9" s="1"/>
  <c r="N915" i="9"/>
  <c r="M916" i="9"/>
  <c r="Q913" i="9"/>
  <c r="S913" i="9"/>
  <c r="V915" i="9" l="1"/>
  <c r="W915" i="9" s="1"/>
  <c r="P915" i="9"/>
  <c r="M917" i="9"/>
  <c r="N916" i="9"/>
  <c r="S914" i="9"/>
  <c r="Q914" i="9"/>
  <c r="N917" i="9" l="1"/>
  <c r="M918" i="9"/>
  <c r="S915" i="9"/>
  <c r="Q915" i="9"/>
  <c r="V916" i="9"/>
  <c r="W916" i="9" s="1"/>
  <c r="P916" i="9"/>
  <c r="S916" i="9" l="1"/>
  <c r="Q916" i="9"/>
  <c r="N918" i="9"/>
  <c r="M919" i="9"/>
  <c r="V917" i="9"/>
  <c r="W917" i="9" s="1"/>
  <c r="P917" i="9"/>
  <c r="N919" i="9" l="1"/>
  <c r="M920" i="9"/>
  <c r="V918" i="9"/>
  <c r="W918" i="9" s="1"/>
  <c r="P918" i="9"/>
  <c r="S917" i="9"/>
  <c r="Q917" i="9"/>
  <c r="Q918" i="9" l="1"/>
  <c r="S918" i="9"/>
  <c r="N920" i="9"/>
  <c r="M921" i="9"/>
  <c r="P919" i="9"/>
  <c r="V919" i="9"/>
  <c r="W919" i="9" s="1"/>
  <c r="Q919" i="9" l="1"/>
  <c r="S919" i="9"/>
  <c r="P920" i="9"/>
  <c r="V920" i="9"/>
  <c r="W920" i="9" s="1"/>
  <c r="N921" i="9"/>
  <c r="M922" i="9"/>
  <c r="N922" i="9" l="1"/>
  <c r="M923" i="9"/>
  <c r="S920" i="9"/>
  <c r="Q920" i="9"/>
  <c r="V921" i="9"/>
  <c r="W921" i="9" s="1"/>
  <c r="P921" i="9"/>
  <c r="S921" i="9" l="1"/>
  <c r="Q921" i="9"/>
  <c r="N923" i="9"/>
  <c r="M924" i="9"/>
  <c r="V922" i="9"/>
  <c r="W922" i="9" s="1"/>
  <c r="P922" i="9"/>
  <c r="S922" i="9" l="1"/>
  <c r="Q922" i="9"/>
  <c r="V923" i="9"/>
  <c r="W923" i="9" s="1"/>
  <c r="P923" i="9"/>
  <c r="N924" i="9"/>
  <c r="M925" i="9"/>
  <c r="N925" i="9" l="1"/>
  <c r="M926" i="9"/>
  <c r="P924" i="9"/>
  <c r="V924" i="9"/>
  <c r="W924" i="9" s="1"/>
  <c r="S923" i="9"/>
  <c r="Q923" i="9"/>
  <c r="N926" i="9" l="1"/>
  <c r="M927" i="9"/>
  <c r="Q924" i="9"/>
  <c r="S924" i="9"/>
  <c r="P925" i="9"/>
  <c r="V925" i="9"/>
  <c r="W925" i="9" s="1"/>
  <c r="N927" i="9" l="1"/>
  <c r="M928" i="9"/>
  <c r="S925" i="9"/>
  <c r="Q925" i="9"/>
  <c r="V926" i="9"/>
  <c r="W926" i="9" s="1"/>
  <c r="P926" i="9"/>
  <c r="S926" i="9" l="1"/>
  <c r="Q926" i="9"/>
  <c r="N928" i="9"/>
  <c r="M929" i="9"/>
  <c r="V927" i="9"/>
  <c r="W927" i="9" s="1"/>
  <c r="P927" i="9"/>
  <c r="S927" i="9" l="1"/>
  <c r="Q927" i="9"/>
  <c r="N929" i="9"/>
  <c r="M930" i="9"/>
  <c r="V928" i="9"/>
  <c r="W928" i="9" s="1"/>
  <c r="P928" i="9"/>
  <c r="S928" i="9" l="1"/>
  <c r="Q928" i="9"/>
  <c r="P929" i="9"/>
  <c r="V929" i="9"/>
  <c r="W929" i="9" s="1"/>
  <c r="N930" i="9"/>
  <c r="M931" i="9"/>
  <c r="S929" i="9" l="1"/>
  <c r="Q929" i="9"/>
  <c r="N931" i="9"/>
  <c r="M932" i="9"/>
  <c r="P930" i="9"/>
  <c r="V930" i="9"/>
  <c r="W930" i="9" s="1"/>
  <c r="S930" i="9" l="1"/>
  <c r="Q930" i="9"/>
  <c r="V931" i="9"/>
  <c r="W931" i="9" s="1"/>
  <c r="P931" i="9"/>
  <c r="N932" i="9"/>
  <c r="M933" i="9"/>
  <c r="N933" i="9" l="1"/>
  <c r="M934" i="9"/>
  <c r="V932" i="9"/>
  <c r="W932" i="9" s="1"/>
  <c r="P932" i="9"/>
  <c r="S931" i="9"/>
  <c r="Q931" i="9"/>
  <c r="S932" i="9" l="1"/>
  <c r="Q932" i="9"/>
  <c r="N934" i="9"/>
  <c r="M935" i="9"/>
  <c r="V933" i="9"/>
  <c r="W933" i="9" s="1"/>
  <c r="P933" i="9"/>
  <c r="S933" i="9" l="1"/>
  <c r="Q933" i="9"/>
  <c r="V934" i="9"/>
  <c r="W934" i="9" s="1"/>
  <c r="P934" i="9"/>
  <c r="N935" i="9"/>
  <c r="M936" i="9"/>
  <c r="S934" i="9" l="1"/>
  <c r="Q934" i="9"/>
  <c r="N936" i="9"/>
  <c r="M937" i="9"/>
  <c r="P935" i="9"/>
  <c r="V935" i="9"/>
  <c r="W935" i="9" s="1"/>
  <c r="P936" i="9" l="1"/>
  <c r="V936" i="9"/>
  <c r="W936" i="9" s="1"/>
  <c r="Q935" i="9"/>
  <c r="S935" i="9"/>
  <c r="N937" i="9"/>
  <c r="M938" i="9"/>
  <c r="V937" i="9" l="1"/>
  <c r="W937" i="9" s="1"/>
  <c r="P937" i="9"/>
  <c r="N938" i="9"/>
  <c r="M939" i="9"/>
  <c r="S936" i="9"/>
  <c r="Q936" i="9"/>
  <c r="V938" i="9" l="1"/>
  <c r="W938" i="9" s="1"/>
  <c r="N939" i="9"/>
  <c r="M940" i="9"/>
  <c r="S937" i="9"/>
  <c r="Q937" i="9"/>
  <c r="V939" i="9" l="1"/>
  <c r="W939" i="9" s="1"/>
  <c r="N940" i="9"/>
  <c r="M941" i="9"/>
  <c r="V940" i="9" l="1"/>
  <c r="W940" i="9" s="1"/>
  <c r="N941" i="9"/>
  <c r="M942" i="9"/>
  <c r="N942" i="9" l="1"/>
  <c r="M943" i="9"/>
  <c r="V941" i="9"/>
  <c r="W941" i="9" s="1"/>
  <c r="N943" i="9" l="1"/>
  <c r="M944" i="9"/>
  <c r="V942" i="9"/>
  <c r="W942" i="9" s="1"/>
  <c r="N944" i="9" l="1"/>
  <c r="M945" i="9"/>
  <c r="V943" i="9"/>
  <c r="W943" i="9" s="1"/>
  <c r="N945" i="9" l="1"/>
  <c r="M946" i="9"/>
  <c r="V944" i="9"/>
  <c r="W944" i="9" s="1"/>
  <c r="N946" i="9" l="1"/>
  <c r="M947" i="9"/>
  <c r="V945" i="9"/>
  <c r="W945" i="9" s="1"/>
  <c r="N947" i="9" l="1"/>
  <c r="M948" i="9"/>
  <c r="V946" i="9"/>
  <c r="W946" i="9" s="1"/>
  <c r="N948" i="9" l="1"/>
  <c r="M949" i="9"/>
  <c r="V947" i="9"/>
  <c r="W947" i="9" s="1"/>
  <c r="N949" i="9" l="1"/>
  <c r="M950" i="9"/>
  <c r="V948" i="9"/>
  <c r="W948" i="9" s="1"/>
  <c r="N950" i="9" l="1"/>
  <c r="M951" i="9"/>
  <c r="V949" i="9"/>
  <c r="W949" i="9" s="1"/>
  <c r="N951" i="9" l="1"/>
  <c r="M952" i="9"/>
  <c r="V950" i="9"/>
  <c r="W950" i="9" s="1"/>
  <c r="N952" i="9" l="1"/>
  <c r="M953" i="9"/>
  <c r="V951" i="9"/>
  <c r="W951" i="9" s="1"/>
  <c r="N953" i="9" l="1"/>
  <c r="M954" i="9"/>
  <c r="V952" i="9"/>
  <c r="W952" i="9" s="1"/>
  <c r="N954" i="9" l="1"/>
  <c r="M955" i="9"/>
  <c r="V953" i="9"/>
  <c r="W953" i="9" s="1"/>
  <c r="N955" i="9" l="1"/>
  <c r="M956" i="9"/>
  <c r="V954" i="9"/>
  <c r="W954" i="9" s="1"/>
  <c r="N956" i="9" l="1"/>
  <c r="M957" i="9"/>
  <c r="V955" i="9"/>
  <c r="W955" i="9" s="1"/>
  <c r="N957" i="9" l="1"/>
  <c r="M958" i="9"/>
  <c r="V956" i="9"/>
  <c r="W956" i="9" s="1"/>
  <c r="N958" i="9" l="1"/>
  <c r="M959" i="9"/>
  <c r="V957" i="9"/>
  <c r="W957" i="9" s="1"/>
  <c r="N959" i="9" l="1"/>
  <c r="M960" i="9"/>
  <c r="V958" i="9"/>
  <c r="W958" i="9" s="1"/>
  <c r="N960" i="9" l="1"/>
  <c r="M961" i="9"/>
  <c r="V959" i="9"/>
  <c r="W959" i="9" s="1"/>
  <c r="P959" i="9"/>
  <c r="S959" i="9" l="1"/>
  <c r="Q959" i="9"/>
  <c r="N961" i="9"/>
  <c r="M962" i="9"/>
  <c r="V960" i="9"/>
  <c r="W960" i="9" s="1"/>
  <c r="P960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S944" i="9" l="1"/>
  <c r="Q944" i="9"/>
  <c r="Q940" i="9"/>
  <c r="S940" i="9"/>
  <c r="S945" i="9"/>
  <c r="Q945" i="9"/>
  <c r="S954" i="9"/>
  <c r="Q954" i="9"/>
  <c r="N962" i="9"/>
  <c r="M963" i="9"/>
  <c r="S946" i="9"/>
  <c r="Q946" i="9"/>
  <c r="S958" i="9"/>
  <c r="Q958" i="9"/>
  <c r="S957" i="9"/>
  <c r="Q957" i="9"/>
  <c r="S939" i="9"/>
  <c r="Q939" i="9"/>
  <c r="S960" i="9"/>
  <c r="Q960" i="9"/>
  <c r="S950" i="9"/>
  <c r="Q950" i="9"/>
  <c r="P961" i="9"/>
  <c r="V961" i="9"/>
  <c r="W961" i="9" s="1"/>
  <c r="S943" i="9"/>
  <c r="Q943" i="9"/>
  <c r="S941" i="9"/>
  <c r="Q941" i="9"/>
  <c r="S955" i="9"/>
  <c r="Q955" i="9"/>
  <c r="S953" i="9"/>
  <c r="Q953" i="9"/>
  <c r="Q951" i="9"/>
  <c r="S951" i="9"/>
  <c r="S949" i="9"/>
  <c r="Q949" i="9"/>
  <c r="S947" i="9"/>
  <c r="Q947" i="9"/>
  <c r="S942" i="9"/>
  <c r="Q942" i="9"/>
  <c r="Q956" i="9"/>
  <c r="S956" i="9"/>
  <c r="S938" i="9"/>
  <c r="Q938" i="9"/>
  <c r="S952" i="9"/>
  <c r="Q952" i="9"/>
  <c r="S948" i="9"/>
  <c r="Q948" i="9"/>
  <c r="P962" i="9" l="1"/>
  <c r="V962" i="9"/>
  <c r="W962" i="9" s="1"/>
  <c r="S961" i="9"/>
  <c r="Q961" i="9"/>
  <c r="N963" i="9"/>
  <c r="M964" i="9"/>
  <c r="V963" i="9" l="1"/>
  <c r="W963" i="9" s="1"/>
  <c r="P963" i="9"/>
  <c r="N964" i="9"/>
  <c r="M965" i="9"/>
  <c r="S962" i="9"/>
  <c r="Q962" i="9"/>
  <c r="N965" i="9" l="1"/>
  <c r="M966" i="9"/>
  <c r="V964" i="9"/>
  <c r="W964" i="9" s="1"/>
  <c r="P964" i="9"/>
  <c r="S963" i="9"/>
  <c r="Q963" i="9"/>
  <c r="S964" i="9" l="1"/>
  <c r="Q964" i="9"/>
  <c r="N966" i="9"/>
  <c r="M967" i="9"/>
  <c r="V965" i="9"/>
  <c r="W965" i="9" s="1"/>
  <c r="P965" i="9"/>
  <c r="S965" i="9" l="1"/>
  <c r="Q965" i="9"/>
  <c r="V966" i="9"/>
  <c r="W966" i="9" s="1"/>
  <c r="P966" i="9"/>
  <c r="N967" i="9"/>
  <c r="M968" i="9"/>
  <c r="N968" i="9" l="1"/>
  <c r="M969" i="9"/>
  <c r="P967" i="9"/>
  <c r="V967" i="9"/>
  <c r="W967" i="9" s="1"/>
  <c r="AC14" i="9"/>
  <c r="S966" i="9"/>
  <c r="Q966" i="9"/>
  <c r="N969" i="9" l="1"/>
  <c r="M970" i="9"/>
  <c r="Q967" i="9"/>
  <c r="S967" i="9"/>
  <c r="P968" i="9"/>
  <c r="V968" i="9"/>
  <c r="W968" i="9" s="1"/>
  <c r="N970" i="9" l="1"/>
  <c r="M971" i="9"/>
  <c r="S968" i="9"/>
  <c r="Q968" i="9"/>
  <c r="V969" i="9"/>
  <c r="W969" i="9" s="1"/>
  <c r="P969" i="9"/>
  <c r="S969" i="9" l="1"/>
  <c r="Q969" i="9"/>
  <c r="N971" i="9"/>
  <c r="M972" i="9"/>
  <c r="V970" i="9"/>
  <c r="W970" i="9" s="1"/>
  <c r="P970" i="9"/>
  <c r="S970" i="9" l="1"/>
  <c r="Q970" i="9"/>
  <c r="V971" i="9"/>
  <c r="W971" i="9" s="1"/>
  <c r="P971" i="9"/>
  <c r="N972" i="9"/>
  <c r="M973" i="9"/>
  <c r="N973" i="9" l="1"/>
  <c r="M974" i="9"/>
  <c r="P972" i="9"/>
  <c r="V972" i="9"/>
  <c r="W972" i="9" s="1"/>
  <c r="S971" i="9"/>
  <c r="Q971" i="9"/>
  <c r="Q972" i="9" l="1"/>
  <c r="S972" i="9"/>
  <c r="N974" i="9"/>
  <c r="M975" i="9"/>
  <c r="P973" i="9"/>
  <c r="V973" i="9"/>
  <c r="W973" i="9" s="1"/>
  <c r="S973" i="9" l="1"/>
  <c r="Q973" i="9"/>
  <c r="N975" i="9"/>
  <c r="M976" i="9"/>
  <c r="V974" i="9"/>
  <c r="W974" i="9" s="1"/>
  <c r="P974" i="9"/>
  <c r="S974" i="9" l="1"/>
  <c r="Q974" i="9"/>
  <c r="N976" i="9"/>
  <c r="M977" i="9"/>
  <c r="V975" i="9"/>
  <c r="W975" i="9" s="1"/>
  <c r="P975" i="9"/>
  <c r="S975" i="9" l="1"/>
  <c r="Q975" i="9"/>
  <c r="N977" i="9"/>
  <c r="M978" i="9"/>
  <c r="V976" i="9"/>
  <c r="W976" i="9" s="1"/>
  <c r="P976" i="9"/>
  <c r="S976" i="9" l="1"/>
  <c r="Q976" i="9"/>
  <c r="P977" i="9"/>
  <c r="V977" i="9"/>
  <c r="W977" i="9" s="1"/>
  <c r="N978" i="9"/>
  <c r="M979" i="9"/>
  <c r="S977" i="9" l="1"/>
  <c r="Q977" i="9"/>
  <c r="N979" i="9"/>
  <c r="M980" i="9"/>
  <c r="P978" i="9"/>
  <c r="V978" i="9"/>
  <c r="W978" i="9" s="1"/>
  <c r="V979" i="9" l="1"/>
  <c r="W979" i="9" s="1"/>
  <c r="P979" i="9"/>
  <c r="S978" i="9"/>
  <c r="Q978" i="9"/>
  <c r="N980" i="9"/>
  <c r="M981" i="9"/>
  <c r="N981" i="9" l="1"/>
  <c r="M982" i="9"/>
  <c r="V980" i="9"/>
  <c r="W980" i="9" s="1"/>
  <c r="P980" i="9"/>
  <c r="S979" i="9"/>
  <c r="Q979" i="9"/>
  <c r="S980" i="9" l="1"/>
  <c r="Q980" i="9"/>
  <c r="N982" i="9"/>
  <c r="M983" i="9"/>
  <c r="V981" i="9"/>
  <c r="W981" i="9" s="1"/>
  <c r="P981" i="9"/>
  <c r="S981" i="9" l="1"/>
  <c r="Q981" i="9"/>
  <c r="V982" i="9"/>
  <c r="W982" i="9" s="1"/>
  <c r="P982" i="9"/>
  <c r="N983" i="9"/>
  <c r="M984" i="9"/>
  <c r="N984" i="9" l="1"/>
  <c r="M985" i="9"/>
  <c r="P983" i="9"/>
  <c r="V983" i="9"/>
  <c r="W983" i="9" s="1"/>
  <c r="S982" i="9"/>
  <c r="Q982" i="9"/>
  <c r="N985" i="9" l="1"/>
  <c r="M986" i="9"/>
  <c r="Q983" i="9"/>
  <c r="S983" i="9"/>
  <c r="P984" i="9"/>
  <c r="V984" i="9"/>
  <c r="W984" i="9" s="1"/>
  <c r="N986" i="9" l="1"/>
  <c r="M987" i="9"/>
  <c r="S984" i="9"/>
  <c r="Q984" i="9"/>
  <c r="V985" i="9"/>
  <c r="W985" i="9" s="1"/>
  <c r="P985" i="9"/>
  <c r="S985" i="9" l="1"/>
  <c r="Q985" i="9"/>
  <c r="N987" i="9"/>
  <c r="M988" i="9"/>
  <c r="V986" i="9"/>
  <c r="W986" i="9" s="1"/>
  <c r="P986" i="9"/>
  <c r="S986" i="9" l="1"/>
  <c r="Q986" i="9"/>
  <c r="V987" i="9"/>
  <c r="W987" i="9" s="1"/>
  <c r="P987" i="9"/>
  <c r="N988" i="9"/>
  <c r="M989" i="9"/>
  <c r="N989" i="9" l="1"/>
  <c r="M990" i="9"/>
  <c r="P988" i="9"/>
  <c r="V988" i="9"/>
  <c r="W988" i="9" s="1"/>
  <c r="S987" i="9"/>
  <c r="Q987" i="9"/>
  <c r="N990" i="9" l="1"/>
  <c r="M991" i="9"/>
  <c r="Q988" i="9"/>
  <c r="S988" i="9"/>
  <c r="P989" i="9"/>
  <c r="V989" i="9"/>
  <c r="W989" i="9" s="1"/>
  <c r="S989" i="9" l="1"/>
  <c r="Q989" i="9"/>
  <c r="N991" i="9"/>
  <c r="M992" i="9"/>
  <c r="V990" i="9"/>
  <c r="W990" i="9" s="1"/>
  <c r="P990" i="9"/>
  <c r="V991" i="9" l="1"/>
  <c r="W991" i="9" s="1"/>
  <c r="P991" i="9"/>
  <c r="S990" i="9"/>
  <c r="Q990" i="9"/>
  <c r="N992" i="9"/>
  <c r="M993" i="9"/>
  <c r="V992" i="9" l="1"/>
  <c r="W992" i="9" s="1"/>
  <c r="P992" i="9"/>
  <c r="S991" i="9"/>
  <c r="Q991" i="9"/>
  <c r="N993" i="9"/>
  <c r="M994" i="9"/>
  <c r="P993" i="9" l="1"/>
  <c r="V993" i="9"/>
  <c r="W993" i="9" s="1"/>
  <c r="S992" i="9"/>
  <c r="Q992" i="9"/>
  <c r="N994" i="9"/>
  <c r="M995" i="9"/>
  <c r="N995" i="9" l="1"/>
  <c r="M996" i="9"/>
  <c r="P994" i="9"/>
  <c r="V994" i="9"/>
  <c r="W994" i="9" s="1"/>
  <c r="S993" i="9"/>
  <c r="Q993" i="9"/>
  <c r="N996" i="9" l="1"/>
  <c r="M997" i="9"/>
  <c r="S994" i="9"/>
  <c r="Q994" i="9"/>
  <c r="V995" i="9"/>
  <c r="W995" i="9" s="1"/>
  <c r="P995" i="9"/>
  <c r="S995" i="9" l="1"/>
  <c r="Q995" i="9"/>
  <c r="N997" i="9"/>
  <c r="M998" i="9"/>
  <c r="V996" i="9"/>
  <c r="W996" i="9" s="1"/>
  <c r="P996" i="9"/>
  <c r="S996" i="9" l="1"/>
  <c r="Q996" i="9"/>
  <c r="V997" i="9"/>
  <c r="W997" i="9" s="1"/>
  <c r="P997" i="9"/>
  <c r="N998" i="9"/>
  <c r="M999" i="9"/>
  <c r="N999" i="9" l="1"/>
  <c r="M1000" i="9"/>
  <c r="V998" i="9"/>
  <c r="W998" i="9" s="1"/>
  <c r="P998" i="9"/>
  <c r="S997" i="9"/>
  <c r="Q997" i="9"/>
  <c r="S998" i="9" l="1"/>
  <c r="Q998" i="9"/>
  <c r="N1000" i="9"/>
  <c r="M1001" i="9"/>
  <c r="N1001" i="9" s="1"/>
  <c r="P999" i="9"/>
  <c r="V999" i="9"/>
  <c r="W999" i="9" s="1"/>
  <c r="AB53" i="9" l="1"/>
  <c r="AB54" i="9" s="1"/>
  <c r="AB52" i="9"/>
  <c r="AB51" i="9"/>
  <c r="P1000" i="9"/>
  <c r="V1000" i="9"/>
  <c r="W1000" i="9" s="1"/>
  <c r="V1001" i="9"/>
  <c r="W1001" i="9" s="1"/>
  <c r="P1001" i="9"/>
  <c r="AC5" i="9"/>
  <c r="AC55" i="9" s="1"/>
  <c r="Q999" i="9"/>
  <c r="S999" i="9"/>
  <c r="X1000" i="9" l="1"/>
  <c r="X993" i="9"/>
  <c r="X996" i="9"/>
  <c r="X994" i="9"/>
  <c r="X997" i="9"/>
  <c r="X998" i="9"/>
  <c r="X995" i="9"/>
  <c r="X992" i="9"/>
  <c r="X511" i="9"/>
  <c r="X160" i="9"/>
  <c r="X366" i="9"/>
  <c r="X393" i="9"/>
  <c r="X399" i="9"/>
  <c r="X412" i="9"/>
  <c r="X182" i="9"/>
  <c r="X287" i="9"/>
  <c r="X360" i="9"/>
  <c r="X147" i="9"/>
  <c r="X492" i="9"/>
  <c r="X441" i="9"/>
  <c r="X234" i="9"/>
  <c r="X272" i="9"/>
  <c r="X173" i="9"/>
  <c r="X309" i="9"/>
  <c r="X176" i="9"/>
  <c r="X498" i="9"/>
  <c r="X380" i="9"/>
  <c r="X403" i="9"/>
  <c r="X255" i="9"/>
  <c r="X175" i="9"/>
  <c r="X331" i="9"/>
  <c r="X123" i="9"/>
  <c r="X326" i="9"/>
  <c r="X505" i="9"/>
  <c r="X111" i="9"/>
  <c r="X398" i="9"/>
  <c r="X432" i="9"/>
  <c r="X250" i="9"/>
  <c r="X429" i="9"/>
  <c r="X483" i="9"/>
  <c r="X198" i="9"/>
  <c r="X113" i="9"/>
  <c r="X275" i="9"/>
  <c r="X391" i="9"/>
  <c r="X239" i="9"/>
  <c r="X202" i="9"/>
  <c r="X97" i="9"/>
  <c r="X103" i="9"/>
  <c r="X310" i="9"/>
  <c r="X470" i="9"/>
  <c r="X376" i="9"/>
  <c r="X121" i="9"/>
  <c r="X340" i="9"/>
  <c r="X296" i="9"/>
  <c r="X449" i="9"/>
  <c r="X477" i="9"/>
  <c r="X482" i="9"/>
  <c r="X158" i="9"/>
  <c r="X223" i="9"/>
  <c r="X383" i="9"/>
  <c r="X201" i="9"/>
  <c r="X317" i="9"/>
  <c r="X151" i="9"/>
  <c r="X122" i="9"/>
  <c r="X191" i="9"/>
  <c r="X279" i="9"/>
  <c r="X356" i="9"/>
  <c r="X269" i="9"/>
  <c r="X435" i="9"/>
  <c r="X270" i="9"/>
  <c r="X475" i="9"/>
  <c r="X192" i="9"/>
  <c r="X381" i="9"/>
  <c r="X172" i="9"/>
  <c r="X454" i="9"/>
  <c r="X119" i="9"/>
  <c r="X481" i="9"/>
  <c r="X226" i="9"/>
  <c r="X473" i="9"/>
  <c r="X306" i="9"/>
  <c r="X124" i="9"/>
  <c r="X156" i="9"/>
  <c r="X104" i="9"/>
  <c r="X440" i="9"/>
  <c r="X304" i="9"/>
  <c r="X268" i="9"/>
  <c r="X343" i="9"/>
  <c r="X495" i="9"/>
  <c r="X374" i="9"/>
  <c r="X500" i="9"/>
  <c r="X345" i="9"/>
  <c r="X372" i="9"/>
  <c r="X325" i="9"/>
  <c r="X336" i="9"/>
  <c r="X396" i="9"/>
  <c r="X390" i="9"/>
  <c r="X350" i="9"/>
  <c r="X251" i="9"/>
  <c r="X229" i="9"/>
  <c r="X245" i="9"/>
  <c r="X456" i="9"/>
  <c r="X431" i="9"/>
  <c r="X125" i="9"/>
  <c r="X134" i="9"/>
  <c r="X196" i="9"/>
  <c r="X305" i="9"/>
  <c r="X205" i="9"/>
  <c r="X206" i="9"/>
  <c r="X469" i="9"/>
  <c r="X447" i="9"/>
  <c r="X307" i="9"/>
  <c r="X228" i="9"/>
  <c r="X149" i="9"/>
  <c r="X411" i="9"/>
  <c r="X120" i="9"/>
  <c r="X300" i="9"/>
  <c r="X130" i="9"/>
  <c r="X315" i="9"/>
  <c r="X467" i="9"/>
  <c r="X253" i="9"/>
  <c r="X341" i="9"/>
  <c r="X385" i="9"/>
  <c r="X337" i="9"/>
  <c r="X395" i="9"/>
  <c r="X105" i="9"/>
  <c r="X388" i="9"/>
  <c r="X221" i="9"/>
  <c r="X422" i="9"/>
  <c r="X348" i="9"/>
  <c r="X405" i="9"/>
  <c r="X319" i="9"/>
  <c r="X233" i="9"/>
  <c r="X357" i="9"/>
  <c r="X334" i="9"/>
  <c r="X177" i="9"/>
  <c r="X351" i="9"/>
  <c r="X451" i="9"/>
  <c r="X397" i="9"/>
  <c r="X494" i="9"/>
  <c r="X297" i="9"/>
  <c r="X327" i="9"/>
  <c r="X141" i="9"/>
  <c r="X364" i="9"/>
  <c r="X369" i="9"/>
  <c r="X283" i="9"/>
  <c r="X424" i="9"/>
  <c r="X439" i="9"/>
  <c r="X107" i="9"/>
  <c r="X243" i="9"/>
  <c r="X178" i="9"/>
  <c r="X489" i="9"/>
  <c r="X208" i="9"/>
  <c r="X402" i="9"/>
  <c r="X490" i="9"/>
  <c r="X184" i="9"/>
  <c r="X318" i="9"/>
  <c r="X186" i="9"/>
  <c r="X222" i="9"/>
  <c r="X446" i="9"/>
  <c r="X282" i="9"/>
  <c r="X471" i="9"/>
  <c r="X150" i="9"/>
  <c r="X204" i="9"/>
  <c r="X488" i="9"/>
  <c r="X174" i="9"/>
  <c r="X438" i="9"/>
  <c r="X284" i="9"/>
  <c r="X167" i="9"/>
  <c r="X264" i="9"/>
  <c r="X277" i="9"/>
  <c r="X163" i="9"/>
  <c r="X132" i="9"/>
  <c r="X112" i="9"/>
  <c r="X465" i="9"/>
  <c r="X320" i="9"/>
  <c r="X165" i="9"/>
  <c r="X139" i="9"/>
  <c r="X126" i="9"/>
  <c r="X179" i="9"/>
  <c r="X401" i="9"/>
  <c r="X257" i="9"/>
  <c r="X386" i="9"/>
  <c r="X286" i="9"/>
  <c r="X408" i="9"/>
  <c r="X415" i="9"/>
  <c r="X128" i="9"/>
  <c r="X418" i="9"/>
  <c r="X183" i="9"/>
  <c r="X254" i="9"/>
  <c r="X400" i="9"/>
  <c r="X329" i="9"/>
  <c r="X466" i="9"/>
  <c r="X290" i="9"/>
  <c r="X344" i="9"/>
  <c r="X136" i="9"/>
  <c r="X420" i="9"/>
  <c r="X426" i="9"/>
  <c r="X181" i="9"/>
  <c r="X210" i="9"/>
  <c r="X472" i="9"/>
  <c r="X321" i="9"/>
  <c r="X382" i="9"/>
  <c r="X127" i="9"/>
  <c r="X332" i="9"/>
  <c r="X146" i="9"/>
  <c r="X140" i="9"/>
  <c r="X373" i="9"/>
  <c r="X133" i="9"/>
  <c r="X474" i="9"/>
  <c r="X367" i="9"/>
  <c r="X365" i="9"/>
  <c r="X200" i="9"/>
  <c r="X169" i="9"/>
  <c r="X259" i="9"/>
  <c r="X389" i="9"/>
  <c r="X362" i="9"/>
  <c r="X95" i="9"/>
  <c r="X480" i="9"/>
  <c r="X313" i="9"/>
  <c r="X311" i="9"/>
  <c r="X274" i="9"/>
  <c r="X504" i="9"/>
  <c r="X394" i="9"/>
  <c r="X159" i="9"/>
  <c r="X479" i="9"/>
  <c r="X455" i="9"/>
  <c r="X392" i="9"/>
  <c r="X118" i="9"/>
  <c r="X352" i="9"/>
  <c r="X237" i="9"/>
  <c r="X211" i="9"/>
  <c r="X487" i="9"/>
  <c r="X421" i="9"/>
  <c r="X109" i="9"/>
  <c r="X288" i="9"/>
  <c r="X194" i="9"/>
  <c r="X199" i="9"/>
  <c r="X437" i="9"/>
  <c r="X271" i="9"/>
  <c r="X314" i="9"/>
  <c r="X377" i="9"/>
  <c r="X419" i="9"/>
  <c r="X256" i="9"/>
  <c r="X145" i="9"/>
  <c r="X353" i="9"/>
  <c r="X294" i="9"/>
  <c r="X164" i="9"/>
  <c r="X230" i="9"/>
  <c r="X135" i="9"/>
  <c r="X162" i="9"/>
  <c r="X358" i="9"/>
  <c r="X117" i="9"/>
  <c r="X216" i="9"/>
  <c r="X106" i="9"/>
  <c r="X502" i="9"/>
  <c r="X339" i="9"/>
  <c r="X187" i="9"/>
  <c r="X170" i="9"/>
  <c r="X281" i="9"/>
  <c r="X428" i="9"/>
  <c r="X457" i="9"/>
  <c r="X301" i="9"/>
  <c r="X168" i="9"/>
  <c r="X217" i="9"/>
  <c r="X266" i="9"/>
  <c r="X137" i="9"/>
  <c r="X442" i="9"/>
  <c r="X96" i="9"/>
  <c r="X464" i="9"/>
  <c r="X278" i="9"/>
  <c r="X368" i="9"/>
  <c r="X503" i="9"/>
  <c r="X263" i="9"/>
  <c r="X280" i="9"/>
  <c r="X114" i="9"/>
  <c r="X485" i="9"/>
  <c r="X460" i="9"/>
  <c r="X410" i="9"/>
  <c r="X252" i="9"/>
  <c r="X361" i="9"/>
  <c r="X458" i="9"/>
  <c r="X143" i="9"/>
  <c r="X333" i="9"/>
  <c r="X236" i="9"/>
  <c r="X276" i="9"/>
  <c r="X370" i="9"/>
  <c r="X161" i="9"/>
  <c r="X240" i="9"/>
  <c r="X235" i="9"/>
  <c r="X433" i="9"/>
  <c r="X445" i="9"/>
  <c r="X144" i="9"/>
  <c r="X154" i="9"/>
  <c r="X155" i="9"/>
  <c r="X407" i="9"/>
  <c r="X115" i="9"/>
  <c r="X242" i="9"/>
  <c r="X219" i="9"/>
  <c r="X197" i="9"/>
  <c r="X328" i="9"/>
  <c r="X323" i="9"/>
  <c r="X450" i="9"/>
  <c r="X406" i="9"/>
  <c r="X166" i="9"/>
  <c r="X193" i="9"/>
  <c r="X231" i="9"/>
  <c r="X248" i="9"/>
  <c r="X417" i="9"/>
  <c r="X138" i="9"/>
  <c r="X507" i="9"/>
  <c r="X430" i="9"/>
  <c r="X346" i="9"/>
  <c r="X436" i="9"/>
  <c r="X423" i="9"/>
  <c r="X452" i="9"/>
  <c r="X384" i="9"/>
  <c r="X324" i="9"/>
  <c r="X129" i="9"/>
  <c r="X152" i="9"/>
  <c r="X463" i="9"/>
  <c r="X322" i="9"/>
  <c r="X379" i="9"/>
  <c r="X285" i="9"/>
  <c r="X512" i="9"/>
  <c r="X209" i="9"/>
  <c r="X180" i="9"/>
  <c r="X493" i="9"/>
  <c r="X414" i="9"/>
  <c r="X98" i="9"/>
  <c r="X453" i="9"/>
  <c r="X116" i="9"/>
  <c r="X501" i="9"/>
  <c r="X478" i="9"/>
  <c r="X387" i="9"/>
  <c r="X427" i="9"/>
  <c r="X153" i="9"/>
  <c r="X244" i="9"/>
  <c r="X99" i="9"/>
  <c r="X241" i="9"/>
  <c r="X496" i="9"/>
  <c r="X299" i="9"/>
  <c r="X185" i="9"/>
  <c r="X190" i="9"/>
  <c r="X258" i="9"/>
  <c r="X330" i="9"/>
  <c r="X293" i="9"/>
  <c r="X355" i="9"/>
  <c r="X262" i="9"/>
  <c r="X302" i="9"/>
  <c r="X491" i="9"/>
  <c r="X371" i="9"/>
  <c r="X308" i="9"/>
  <c r="X462" i="9"/>
  <c r="X94" i="9"/>
  <c r="X316" i="9"/>
  <c r="X347" i="9"/>
  <c r="X349" i="9"/>
  <c r="X375" i="9"/>
  <c r="X443" i="9"/>
  <c r="X203" i="9"/>
  <c r="X273" i="9"/>
  <c r="X509" i="9"/>
  <c r="X404" i="9"/>
  <c r="X338" i="9"/>
  <c r="X157" i="9"/>
  <c r="X267" i="9"/>
  <c r="X425" i="9"/>
  <c r="X265" i="9"/>
  <c r="X213" i="9"/>
  <c r="X295" i="9"/>
  <c r="X110" i="9"/>
  <c r="X188" i="9"/>
  <c r="X207" i="9"/>
  <c r="X101" i="9"/>
  <c r="X102" i="9"/>
  <c r="X444" i="9"/>
  <c r="X261" i="9"/>
  <c r="X100" i="9"/>
  <c r="X506" i="9"/>
  <c r="X148" i="9"/>
  <c r="X298" i="9"/>
  <c r="X409" i="9"/>
  <c r="X142" i="9"/>
  <c r="X171" i="9"/>
  <c r="X416" i="9"/>
  <c r="X378" i="9"/>
  <c r="X227" i="9"/>
  <c r="X246" i="9"/>
  <c r="X508" i="9"/>
  <c r="X499" i="9"/>
  <c r="X459" i="9"/>
  <c r="X303" i="9"/>
  <c r="X195" i="9"/>
  <c r="X476" i="9"/>
  <c r="X212" i="9"/>
  <c r="X289" i="9"/>
  <c r="X225" i="9"/>
  <c r="X238" i="9"/>
  <c r="X312" i="9"/>
  <c r="X335" i="9"/>
  <c r="X247" i="9"/>
  <c r="X108" i="9"/>
  <c r="X218" i="9"/>
  <c r="X359" i="9"/>
  <c r="X260" i="9"/>
  <c r="X461" i="9"/>
  <c r="X220" i="9"/>
  <c r="X510" i="9"/>
  <c r="X215" i="9"/>
  <c r="X434" i="9"/>
  <c r="X342" i="9"/>
  <c r="X484" i="9"/>
  <c r="X448" i="9"/>
  <c r="X214" i="9"/>
  <c r="X249" i="9"/>
  <c r="X291" i="9"/>
  <c r="X292" i="9"/>
  <c r="X363" i="9"/>
  <c r="X232" i="9"/>
  <c r="X131" i="9"/>
  <c r="X224" i="9"/>
  <c r="X413" i="9"/>
  <c r="X468" i="9"/>
  <c r="X486" i="9"/>
  <c r="X513" i="9"/>
  <c r="X189" i="9"/>
  <c r="X354" i="9"/>
  <c r="X514" i="9"/>
  <c r="X497" i="9"/>
  <c r="X515" i="9"/>
  <c r="X516" i="9"/>
  <c r="X517" i="9"/>
  <c r="X520" i="9"/>
  <c r="X518" i="9"/>
  <c r="X522" i="9"/>
  <c r="X519" i="9"/>
  <c r="X521" i="9"/>
  <c r="X524" i="9"/>
  <c r="X523" i="9"/>
  <c r="X529" i="9"/>
  <c r="X527" i="9"/>
  <c r="X525" i="9"/>
  <c r="X528" i="9"/>
  <c r="X526" i="9"/>
  <c r="X530" i="9"/>
  <c r="X533" i="9"/>
  <c r="X532" i="9"/>
  <c r="X531" i="9"/>
  <c r="X538" i="9"/>
  <c r="X534" i="9"/>
  <c r="X535" i="9"/>
  <c r="X537" i="9"/>
  <c r="X536" i="9"/>
  <c r="X540" i="9"/>
  <c r="X539" i="9"/>
  <c r="X542" i="9"/>
  <c r="X541" i="9"/>
  <c r="X543" i="9"/>
  <c r="X546" i="9"/>
  <c r="X544" i="9"/>
  <c r="X545" i="9"/>
  <c r="X548" i="9"/>
  <c r="X547" i="9"/>
  <c r="X551" i="9"/>
  <c r="X549" i="9"/>
  <c r="X550" i="9"/>
  <c r="X554" i="9"/>
  <c r="X552" i="9"/>
  <c r="X553" i="9"/>
  <c r="X555" i="9"/>
  <c r="X556" i="9"/>
  <c r="X561" i="9"/>
  <c r="X557" i="9"/>
  <c r="X558" i="9"/>
  <c r="X559" i="9"/>
  <c r="X563" i="9"/>
  <c r="X560" i="9"/>
  <c r="X562" i="9"/>
  <c r="X566" i="9"/>
  <c r="X564" i="9"/>
  <c r="X565" i="9"/>
  <c r="X567" i="9"/>
  <c r="X568" i="9"/>
  <c r="X569" i="9"/>
  <c r="X570" i="9"/>
  <c r="X572" i="9"/>
  <c r="X571" i="9"/>
  <c r="X573" i="9"/>
  <c r="X574" i="9"/>
  <c r="X576" i="9"/>
  <c r="X577" i="9"/>
  <c r="X575" i="9"/>
  <c r="X578" i="9"/>
  <c r="X580" i="9"/>
  <c r="X581" i="9"/>
  <c r="X579" i="9"/>
  <c r="X584" i="9"/>
  <c r="X583" i="9"/>
  <c r="X582" i="9"/>
  <c r="X585" i="9"/>
  <c r="X586" i="9"/>
  <c r="X587" i="9"/>
  <c r="X589" i="9"/>
  <c r="X588" i="9"/>
  <c r="X590" i="9"/>
  <c r="X591" i="9"/>
  <c r="X593" i="9"/>
  <c r="X592" i="9"/>
  <c r="X595" i="9"/>
  <c r="X596" i="9"/>
  <c r="X597" i="9"/>
  <c r="X594" i="9"/>
  <c r="X599" i="9"/>
  <c r="X600" i="9"/>
  <c r="X598" i="9"/>
  <c r="X602" i="9"/>
  <c r="X601" i="9"/>
  <c r="X605" i="9"/>
  <c r="X603" i="9"/>
  <c r="X604" i="9"/>
  <c r="X606" i="9"/>
  <c r="X607" i="9"/>
  <c r="X608" i="9"/>
  <c r="X727" i="9"/>
  <c r="X610" i="9"/>
  <c r="X631" i="9"/>
  <c r="X612" i="9"/>
  <c r="X609" i="9"/>
  <c r="X767" i="9"/>
  <c r="X659" i="9"/>
  <c r="X679" i="9"/>
  <c r="X647" i="9"/>
  <c r="X764" i="9"/>
  <c r="X653" i="9"/>
  <c r="X626" i="9"/>
  <c r="X694" i="9"/>
  <c r="X657" i="9"/>
  <c r="X749" i="9"/>
  <c r="X690" i="9"/>
  <c r="X685" i="9"/>
  <c r="X645" i="9"/>
  <c r="X720" i="9"/>
  <c r="X731" i="9"/>
  <c r="X754" i="9"/>
  <c r="X712" i="9"/>
  <c r="X700" i="9"/>
  <c r="X649" i="9"/>
  <c r="X630" i="9"/>
  <c r="X625" i="9"/>
  <c r="X665" i="9"/>
  <c r="X676" i="9"/>
  <c r="X741" i="9"/>
  <c r="X750" i="9"/>
  <c r="X621" i="9"/>
  <c r="X640" i="9"/>
  <c r="X723" i="9"/>
  <c r="X710" i="9"/>
  <c r="X702" i="9"/>
  <c r="X766" i="9"/>
  <c r="X755" i="9"/>
  <c r="X746" i="9"/>
  <c r="X669" i="9"/>
  <c r="X663" i="9"/>
  <c r="X633" i="9"/>
  <c r="X634" i="9"/>
  <c r="X730" i="9"/>
  <c r="X697" i="9"/>
  <c r="X641" i="9"/>
  <c r="X689" i="9"/>
  <c r="X642" i="9"/>
  <c r="X668" i="9"/>
  <c r="X739" i="9"/>
  <c r="X768" i="9"/>
  <c r="X732" i="9"/>
  <c r="X715" i="9"/>
  <c r="X691" i="9"/>
  <c r="X716" i="9"/>
  <c r="X658" i="9"/>
  <c r="X756" i="9"/>
  <c r="X624" i="9"/>
  <c r="X675" i="9"/>
  <c r="X664" i="9"/>
  <c r="X622" i="9"/>
  <c r="X683" i="9"/>
  <c r="X765" i="9"/>
  <c r="X688" i="9"/>
  <c r="X762" i="9"/>
  <c r="X717" i="9"/>
  <c r="X651" i="9"/>
  <c r="X643" i="9"/>
  <c r="X724" i="9"/>
  <c r="X692" i="9"/>
  <c r="X721" i="9"/>
  <c r="X740" i="9"/>
  <c r="X620" i="9"/>
  <c r="X674" i="9"/>
  <c r="X744" i="9"/>
  <c r="X743" i="9"/>
  <c r="X701" i="9"/>
  <c r="X644" i="9"/>
  <c r="X654" i="9"/>
  <c r="X760" i="9"/>
  <c r="X738" i="9"/>
  <c r="X661" i="9"/>
  <c r="X704" i="9"/>
  <c r="X635" i="9"/>
  <c r="X623" i="9"/>
  <c r="X684" i="9"/>
  <c r="X627" i="9"/>
  <c r="X733" i="9"/>
  <c r="X761" i="9"/>
  <c r="X705" i="9"/>
  <c r="X752" i="9"/>
  <c r="X662" i="9"/>
  <c r="X735" i="9"/>
  <c r="X681" i="9"/>
  <c r="X682" i="9"/>
  <c r="X699" i="9"/>
  <c r="X673" i="9"/>
  <c r="X707" i="9"/>
  <c r="X736" i="9"/>
  <c r="X747" i="9"/>
  <c r="X672" i="9"/>
  <c r="X696" i="9"/>
  <c r="X680" i="9"/>
  <c r="X709" i="9"/>
  <c r="X693" i="9"/>
  <c r="X745" i="9"/>
  <c r="X718" i="9"/>
  <c r="X646" i="9"/>
  <c r="X629" i="9"/>
  <c r="X714" i="9"/>
  <c r="X734" i="9"/>
  <c r="X748" i="9"/>
  <c r="X686" i="9"/>
  <c r="X751" i="9"/>
  <c r="X667" i="9"/>
  <c r="X698" i="9"/>
  <c r="X615" i="9"/>
  <c r="X728" i="9"/>
  <c r="X677" i="9"/>
  <c r="X713" i="9"/>
  <c r="X708" i="9"/>
  <c r="X726" i="9"/>
  <c r="X636" i="9"/>
  <c r="X758" i="9"/>
  <c r="X632" i="9"/>
  <c r="X759" i="9"/>
  <c r="X678" i="9"/>
  <c r="X753" i="9"/>
  <c r="X656" i="9"/>
  <c r="X648" i="9"/>
  <c r="X611" i="9"/>
  <c r="X655" i="9"/>
  <c r="X639" i="9"/>
  <c r="X763" i="9"/>
  <c r="X670" i="9"/>
  <c r="X711" i="9"/>
  <c r="X637" i="9"/>
  <c r="X722" i="9"/>
  <c r="X618" i="9"/>
  <c r="X614" i="9"/>
  <c r="X742" i="9"/>
  <c r="X613" i="9"/>
  <c r="X719" i="9"/>
  <c r="X652" i="9"/>
  <c r="X737" i="9"/>
  <c r="X616" i="9"/>
  <c r="X671" i="9"/>
  <c r="X769" i="9"/>
  <c r="X666" i="9"/>
  <c r="X660" i="9"/>
  <c r="X725" i="9"/>
  <c r="X619" i="9"/>
  <c r="X638" i="9"/>
  <c r="X706" i="9"/>
  <c r="X617" i="9"/>
  <c r="X628" i="9"/>
  <c r="X770" i="9"/>
  <c r="X650" i="9"/>
  <c r="X703" i="9"/>
  <c r="X729" i="9"/>
  <c r="X687" i="9"/>
  <c r="X757" i="9"/>
  <c r="X695" i="9"/>
  <c r="X774" i="9"/>
  <c r="X771" i="9"/>
  <c r="X772" i="9"/>
  <c r="X773" i="9"/>
  <c r="X775" i="9"/>
  <c r="X776" i="9"/>
  <c r="X779" i="9"/>
  <c r="X777" i="9"/>
  <c r="X778" i="9"/>
  <c r="X780" i="9"/>
  <c r="X784" i="9"/>
  <c r="X781" i="9"/>
  <c r="X782" i="9"/>
  <c r="X785" i="9"/>
  <c r="X783" i="9"/>
  <c r="X786" i="9"/>
  <c r="X788" i="9"/>
  <c r="X787" i="9"/>
  <c r="X789" i="9"/>
  <c r="X791" i="9"/>
  <c r="X790" i="9"/>
  <c r="X793" i="9"/>
  <c r="X792" i="9"/>
  <c r="X794" i="9"/>
  <c r="X795" i="9"/>
  <c r="X798" i="9"/>
  <c r="X796" i="9"/>
  <c r="X797" i="9"/>
  <c r="X799" i="9"/>
  <c r="X802" i="9"/>
  <c r="X801" i="9"/>
  <c r="X803" i="9"/>
  <c r="X800" i="9"/>
  <c r="X810" i="9"/>
  <c r="X805" i="9"/>
  <c r="X804" i="9"/>
  <c r="X806" i="9"/>
  <c r="X809" i="9"/>
  <c r="X808" i="9"/>
  <c r="X807" i="9"/>
  <c r="X812" i="9"/>
  <c r="X811" i="9"/>
  <c r="X813" i="9"/>
  <c r="X815" i="9"/>
  <c r="X814" i="9"/>
  <c r="X816" i="9"/>
  <c r="X817" i="9"/>
  <c r="X818" i="9"/>
  <c r="X822" i="9"/>
  <c r="X819" i="9"/>
  <c r="X820" i="9"/>
  <c r="X821" i="9"/>
  <c r="X823" i="9"/>
  <c r="X824" i="9"/>
  <c r="X825" i="9"/>
  <c r="X826" i="9"/>
  <c r="X827" i="9"/>
  <c r="X829" i="9"/>
  <c r="X828" i="9"/>
  <c r="X830" i="9"/>
  <c r="X831" i="9"/>
  <c r="X832" i="9"/>
  <c r="X833" i="9"/>
  <c r="X834" i="9"/>
  <c r="X837" i="9"/>
  <c r="X835" i="9"/>
  <c r="X838" i="9"/>
  <c r="X836" i="9"/>
  <c r="X841" i="9"/>
  <c r="X839" i="9"/>
  <c r="X842" i="9"/>
  <c r="X840" i="9"/>
  <c r="X843" i="9"/>
  <c r="X844" i="9"/>
  <c r="X845" i="9"/>
  <c r="X846" i="9"/>
  <c r="X847" i="9"/>
  <c r="X848" i="9"/>
  <c r="X849" i="9"/>
  <c r="X850" i="9"/>
  <c r="X851" i="9"/>
  <c r="X852" i="9"/>
  <c r="X853" i="9"/>
  <c r="X856" i="9"/>
  <c r="X857" i="9"/>
  <c r="X854" i="9"/>
  <c r="X855" i="9"/>
  <c r="X859" i="9"/>
  <c r="X860" i="9"/>
  <c r="X858" i="9"/>
  <c r="X862" i="9"/>
  <c r="X863" i="9"/>
  <c r="X861" i="9"/>
  <c r="X864" i="9"/>
  <c r="X865" i="9"/>
  <c r="X866" i="9"/>
  <c r="X878" i="9"/>
  <c r="X867" i="9"/>
  <c r="X895" i="9"/>
  <c r="X874" i="9"/>
  <c r="X869" i="9"/>
  <c r="X894" i="9"/>
  <c r="X873" i="9"/>
  <c r="X881" i="9"/>
  <c r="X871" i="9"/>
  <c r="X893" i="9"/>
  <c r="X890" i="9"/>
  <c r="X886" i="9"/>
  <c r="X876" i="9"/>
  <c r="X883" i="9"/>
  <c r="X891" i="9"/>
  <c r="X885" i="9"/>
  <c r="X872" i="9"/>
  <c r="X889" i="9"/>
  <c r="X875" i="9"/>
  <c r="X877" i="9"/>
  <c r="X868" i="9"/>
  <c r="X882" i="9"/>
  <c r="X879" i="9"/>
  <c r="X870" i="9"/>
  <c r="X897" i="9"/>
  <c r="X887" i="9"/>
  <c r="X884" i="9"/>
  <c r="X896" i="9"/>
  <c r="X888" i="9"/>
  <c r="X880" i="9"/>
  <c r="X892" i="9"/>
  <c r="X898" i="9"/>
  <c r="X900" i="9"/>
  <c r="X902" i="9"/>
  <c r="X899" i="9"/>
  <c r="X901" i="9"/>
  <c r="X903" i="9"/>
  <c r="X906" i="9"/>
  <c r="X904" i="9"/>
  <c r="X905" i="9"/>
  <c r="X907" i="9"/>
  <c r="X909" i="9"/>
  <c r="X911" i="9"/>
  <c r="X908" i="9"/>
  <c r="X910" i="9"/>
  <c r="X916" i="9"/>
  <c r="X912" i="9"/>
  <c r="X914" i="9"/>
  <c r="X913" i="9"/>
  <c r="X915" i="9"/>
  <c r="X923" i="9"/>
  <c r="X918" i="9"/>
  <c r="X917" i="9"/>
  <c r="X919" i="9"/>
  <c r="X920" i="9"/>
  <c r="X921" i="9"/>
  <c r="X924" i="9"/>
  <c r="X922" i="9"/>
  <c r="X925" i="9"/>
  <c r="X926" i="9"/>
  <c r="X928" i="9"/>
  <c r="X927" i="9"/>
  <c r="X932" i="9"/>
  <c r="X929" i="9"/>
  <c r="X930" i="9"/>
  <c r="X931" i="9"/>
  <c r="X935" i="9"/>
  <c r="X933" i="9"/>
  <c r="X934" i="9"/>
  <c r="X937" i="9"/>
  <c r="X936" i="9"/>
  <c r="X939" i="9"/>
  <c r="X938" i="9"/>
  <c r="X940" i="9"/>
  <c r="X941" i="9"/>
  <c r="X942" i="9"/>
  <c r="X943" i="9"/>
  <c r="X944" i="9"/>
  <c r="X945" i="9"/>
  <c r="X946" i="9"/>
  <c r="X947" i="9"/>
  <c r="X949" i="9"/>
  <c r="X948" i="9"/>
  <c r="X950" i="9"/>
  <c r="X951" i="9"/>
  <c r="X952" i="9"/>
  <c r="X953" i="9"/>
  <c r="X956" i="9"/>
  <c r="X955" i="9"/>
  <c r="X957" i="9"/>
  <c r="X954" i="9"/>
  <c r="X959" i="9"/>
  <c r="X958" i="9"/>
  <c r="X960" i="9"/>
  <c r="X961" i="9"/>
  <c r="X964" i="9"/>
  <c r="X962" i="9"/>
  <c r="X963" i="9"/>
  <c r="X965" i="9"/>
  <c r="X966" i="9"/>
  <c r="X967" i="9"/>
  <c r="X968" i="9"/>
  <c r="X971" i="9"/>
  <c r="X969" i="9"/>
  <c r="X970" i="9"/>
  <c r="X972" i="9"/>
  <c r="X973" i="9"/>
  <c r="X974" i="9"/>
  <c r="X978" i="9"/>
  <c r="X975" i="9"/>
  <c r="X976" i="9"/>
  <c r="X977" i="9"/>
  <c r="X980" i="9"/>
  <c r="X982" i="9"/>
  <c r="X979" i="9"/>
  <c r="X984" i="9"/>
  <c r="X986" i="9"/>
  <c r="X981" i="9"/>
  <c r="X983" i="9"/>
  <c r="X987" i="9"/>
  <c r="X985" i="9"/>
  <c r="X988" i="9"/>
  <c r="X990" i="9"/>
  <c r="X989" i="9"/>
  <c r="X991" i="9"/>
  <c r="X999" i="9"/>
  <c r="X1001" i="9"/>
  <c r="X72" i="9"/>
  <c r="X19" i="9"/>
  <c r="X25" i="9"/>
  <c r="X71" i="9"/>
  <c r="X82" i="9"/>
  <c r="X20" i="9"/>
  <c r="X84" i="9"/>
  <c r="X9" i="9"/>
  <c r="X64" i="9"/>
  <c r="X60" i="9"/>
  <c r="X90" i="9"/>
  <c r="X27" i="9"/>
  <c r="X15" i="9"/>
  <c r="X73" i="9"/>
  <c r="X51" i="9"/>
  <c r="X11" i="9"/>
  <c r="X81" i="9"/>
  <c r="X56" i="9"/>
  <c r="X49" i="9"/>
  <c r="X33" i="9"/>
  <c r="X67" i="9"/>
  <c r="X41" i="9"/>
  <c r="X61" i="9"/>
  <c r="X50" i="9"/>
  <c r="X68" i="9"/>
  <c r="X58" i="9"/>
  <c r="X53" i="9"/>
  <c r="X63" i="9"/>
  <c r="X17" i="9"/>
  <c r="X10" i="9"/>
  <c r="X59" i="9"/>
  <c r="X34" i="9"/>
  <c r="X36" i="9"/>
  <c r="X28" i="9"/>
  <c r="X55" i="9"/>
  <c r="X74" i="9"/>
  <c r="X13" i="9"/>
  <c r="X65" i="9"/>
  <c r="X8" i="9"/>
  <c r="X44" i="9"/>
  <c r="X29" i="9"/>
  <c r="X45" i="9"/>
  <c r="X18" i="9"/>
  <c r="X12" i="9"/>
  <c r="X48" i="9"/>
  <c r="X57" i="9"/>
  <c r="X40" i="9"/>
  <c r="X89" i="9"/>
  <c r="X23" i="9"/>
  <c r="X92" i="9"/>
  <c r="X42" i="9"/>
  <c r="X26" i="9"/>
  <c r="X7" i="9"/>
  <c r="X88" i="9"/>
  <c r="X43" i="9"/>
  <c r="X75" i="9"/>
  <c r="X24" i="9"/>
  <c r="X32" i="9"/>
  <c r="X87" i="9"/>
  <c r="X66" i="9"/>
  <c r="X16" i="9"/>
  <c r="X76" i="9"/>
  <c r="X83" i="9"/>
  <c r="X93" i="9"/>
  <c r="X80" i="9"/>
  <c r="X52" i="9"/>
  <c r="X91" i="9"/>
  <c r="X35" i="9"/>
  <c r="X31" i="9"/>
  <c r="X30" i="9"/>
  <c r="X70" i="9"/>
  <c r="X22" i="9"/>
  <c r="X6" i="9"/>
  <c r="X21" i="9"/>
  <c r="X62" i="9"/>
  <c r="X3" i="9"/>
  <c r="X77" i="9"/>
  <c r="X85" i="9"/>
  <c r="X39" i="9"/>
  <c r="X69" i="9"/>
  <c r="X79" i="9"/>
  <c r="X5" i="9"/>
  <c r="X78" i="9"/>
  <c r="X54" i="9"/>
  <c r="X38" i="9"/>
  <c r="X47" i="9"/>
  <c r="X46" i="9"/>
  <c r="X14" i="9"/>
  <c r="X37" i="9"/>
  <c r="X86" i="9"/>
  <c r="X4" i="9"/>
  <c r="X2" i="9"/>
  <c r="AB7" i="9"/>
  <c r="AC7" i="9" s="1"/>
  <c r="AC56" i="9"/>
  <c r="AB56" i="9" s="1"/>
  <c r="AC57" i="9"/>
  <c r="AB57" i="9" s="1"/>
  <c r="AC58" i="9"/>
  <c r="AB58" i="9" s="1"/>
  <c r="AC6" i="9"/>
  <c r="AB6" i="9" s="1"/>
  <c r="S1001" i="9"/>
  <c r="Q1001" i="9"/>
  <c r="S1000" i="9"/>
  <c r="Q1000" i="9"/>
  <c r="R1000" i="9" l="1"/>
  <c r="R997" i="9"/>
  <c r="R994" i="9"/>
  <c r="R992" i="9"/>
  <c r="R995" i="9"/>
  <c r="T1000" i="9"/>
  <c r="T996" i="9"/>
  <c r="T992" i="9"/>
  <c r="T998" i="9"/>
  <c r="T994" i="9"/>
  <c r="R203" i="9"/>
  <c r="R511" i="9"/>
  <c r="R417" i="9"/>
  <c r="R342" i="9"/>
  <c r="R228" i="9"/>
  <c r="R476" i="9"/>
  <c r="R252" i="9"/>
  <c r="R148" i="9"/>
  <c r="R326" i="9"/>
  <c r="R201" i="9"/>
  <c r="R394" i="9"/>
  <c r="R237" i="9"/>
  <c r="R198" i="9"/>
  <c r="R115" i="9"/>
  <c r="R49" i="9"/>
  <c r="R174" i="9"/>
  <c r="R372" i="9"/>
  <c r="R483" i="9"/>
  <c r="R77" i="9"/>
  <c r="R78" i="9"/>
  <c r="R493" i="9"/>
  <c r="R377" i="9"/>
  <c r="R259" i="9"/>
  <c r="R384" i="9"/>
  <c r="R162" i="9"/>
  <c r="R391" i="9"/>
  <c r="R362" i="9"/>
  <c r="R361" i="9"/>
  <c r="R208" i="9"/>
  <c r="R346" i="9"/>
  <c r="R287" i="9"/>
  <c r="R480" i="9"/>
  <c r="R140" i="9"/>
  <c r="R500" i="9"/>
  <c r="R442" i="9"/>
  <c r="R64" i="9"/>
  <c r="R227" i="9"/>
  <c r="R351" i="9"/>
  <c r="R289" i="9"/>
  <c r="R296" i="9"/>
  <c r="R420" i="9"/>
  <c r="R468" i="9"/>
  <c r="R424" i="9"/>
  <c r="R438" i="9"/>
  <c r="R158" i="9"/>
  <c r="R359" i="9"/>
  <c r="R452" i="9"/>
  <c r="R502" i="9"/>
  <c r="R120" i="9"/>
  <c r="R337" i="9"/>
  <c r="R184" i="9"/>
  <c r="R281" i="9"/>
  <c r="R204" i="9"/>
  <c r="R479" i="9"/>
  <c r="R366" i="9"/>
  <c r="R306" i="9"/>
  <c r="R474" i="9"/>
  <c r="R214" i="9"/>
  <c r="R445" i="9"/>
  <c r="R378" i="9"/>
  <c r="R188" i="9"/>
  <c r="R450" i="9"/>
  <c r="R55" i="9"/>
  <c r="R430" i="9"/>
  <c r="R451" i="9"/>
  <c r="R217" i="9"/>
  <c r="R153" i="9"/>
  <c r="R97" i="9"/>
  <c r="R62" i="9"/>
  <c r="R178" i="9"/>
  <c r="R288" i="9"/>
  <c r="R264" i="9"/>
  <c r="R260" i="9"/>
  <c r="R229" i="9"/>
  <c r="R512" i="9"/>
  <c r="R60" i="9"/>
  <c r="R409" i="9"/>
  <c r="R433" i="9"/>
  <c r="R88" i="9"/>
  <c r="R225" i="9"/>
  <c r="R262" i="9"/>
  <c r="R169" i="9"/>
  <c r="R206" i="9"/>
  <c r="R98" i="9"/>
  <c r="R444" i="9"/>
  <c r="R340" i="9"/>
  <c r="R496" i="9"/>
  <c r="R492" i="9"/>
  <c r="R486" i="9"/>
  <c r="R280" i="9"/>
  <c r="R82" i="9"/>
  <c r="R353" i="9"/>
  <c r="R277" i="9"/>
  <c r="R126" i="9"/>
  <c r="R367" i="9"/>
  <c r="R505" i="9"/>
  <c r="R233" i="9"/>
  <c r="R310" i="9"/>
  <c r="R104" i="9"/>
  <c r="R322" i="9"/>
  <c r="R328" i="9"/>
  <c r="R318" i="9"/>
  <c r="R455" i="9"/>
  <c r="R275" i="9"/>
  <c r="R61" i="9"/>
  <c r="R315" i="9"/>
  <c r="R413" i="9"/>
  <c r="R123" i="9"/>
  <c r="R469" i="9"/>
  <c r="R319" i="9"/>
  <c r="R257" i="9"/>
  <c r="R467" i="9"/>
  <c r="R330" i="9"/>
  <c r="R269" i="9"/>
  <c r="R408" i="9"/>
  <c r="R135" i="9"/>
  <c r="R155" i="9"/>
  <c r="R348" i="9"/>
  <c r="R506" i="9"/>
  <c r="R447" i="9"/>
  <c r="R312" i="9"/>
  <c r="R307" i="9"/>
  <c r="R192" i="9"/>
  <c r="R125" i="9"/>
  <c r="R139" i="9"/>
  <c r="R263" i="9"/>
  <c r="R151" i="9"/>
  <c r="R68" i="9"/>
  <c r="R355" i="9"/>
  <c r="R323" i="9"/>
  <c r="R172" i="9"/>
  <c r="R114" i="9"/>
  <c r="R371" i="9"/>
  <c r="R160" i="9"/>
  <c r="R335" i="9"/>
  <c r="R448" i="9"/>
  <c r="R414" i="9"/>
  <c r="R426" i="9"/>
  <c r="R488" i="9"/>
  <c r="R489" i="9"/>
  <c r="R331" i="9"/>
  <c r="R292" i="9"/>
  <c r="R161" i="9"/>
  <c r="R283" i="9"/>
  <c r="R311" i="9"/>
  <c r="R234" i="9"/>
  <c r="R360" i="9"/>
  <c r="R383" i="9"/>
  <c r="R84" i="9"/>
  <c r="R102" i="9"/>
  <c r="R313" i="9"/>
  <c r="R50" i="9"/>
  <c r="R251" i="9"/>
  <c r="R101" i="9"/>
  <c r="R144" i="9"/>
  <c r="R93" i="9"/>
  <c r="R422" i="9"/>
  <c r="R423" i="9"/>
  <c r="R298" i="9"/>
  <c r="R154" i="9"/>
  <c r="R86" i="9"/>
  <c r="R70" i="9"/>
  <c r="R464" i="9"/>
  <c r="R415" i="9"/>
  <c r="R381" i="9"/>
  <c r="R152" i="9"/>
  <c r="R79" i="9"/>
  <c r="R171" i="9"/>
  <c r="R481" i="9"/>
  <c r="R398" i="9"/>
  <c r="R370" i="9"/>
  <c r="R199" i="9"/>
  <c r="R223" i="9"/>
  <c r="R507" i="9"/>
  <c r="R124" i="9"/>
  <c r="R449" i="9"/>
  <c r="R495" i="9"/>
  <c r="R221" i="9"/>
  <c r="R418" i="9"/>
  <c r="R122" i="9"/>
  <c r="R132" i="9"/>
  <c r="R309" i="9"/>
  <c r="R128" i="9"/>
  <c r="R243" i="9"/>
  <c r="R240" i="9"/>
  <c r="R59" i="9"/>
  <c r="R156" i="9"/>
  <c r="R491" i="9"/>
  <c r="R103" i="9"/>
  <c r="R376" i="9"/>
  <c r="R314" i="9"/>
  <c r="R211" i="9"/>
  <c r="R282" i="9"/>
  <c r="R220" i="9"/>
  <c r="R290" i="9"/>
  <c r="R249" i="9"/>
  <c r="R303" i="9"/>
  <c r="R478" i="9"/>
  <c r="R501" i="9"/>
  <c r="R321" i="9"/>
  <c r="R58" i="9"/>
  <c r="R56" i="9"/>
  <c r="R258" i="9"/>
  <c r="R129" i="9"/>
  <c r="R333" i="9"/>
  <c r="R136" i="9"/>
  <c r="R343" i="9"/>
  <c r="R213" i="9"/>
  <c r="R399" i="9"/>
  <c r="R487" i="9"/>
  <c r="R470" i="9"/>
  <c r="R327" i="9"/>
  <c r="R297" i="9"/>
  <c r="R358" i="9"/>
  <c r="R390" i="9"/>
  <c r="R435" i="9"/>
  <c r="R81" i="9"/>
  <c r="R316" i="9"/>
  <c r="R72" i="9"/>
  <c r="R159" i="9"/>
  <c r="R504" i="9"/>
  <c r="R210" i="9"/>
  <c r="R407" i="9"/>
  <c r="R336" i="9"/>
  <c r="R106" i="9"/>
  <c r="R301" i="9"/>
  <c r="R462" i="9"/>
  <c r="R285" i="9"/>
  <c r="R253" i="9"/>
  <c r="R209" i="9"/>
  <c r="R239" i="9"/>
  <c r="R272" i="9"/>
  <c r="R334" i="9"/>
  <c r="R428" i="9"/>
  <c r="R143" i="9"/>
  <c r="R363" i="9"/>
  <c r="R356" i="9"/>
  <c r="R484" i="9"/>
  <c r="R74" i="9"/>
  <c r="R121" i="9"/>
  <c r="R461" i="9"/>
  <c r="R402" i="9"/>
  <c r="R168" i="9"/>
  <c r="R238" i="9"/>
  <c r="R250" i="9"/>
  <c r="R71" i="9"/>
  <c r="R73" i="9"/>
  <c r="R436" i="9"/>
  <c r="R274" i="9"/>
  <c r="R118" i="9"/>
  <c r="R89" i="9"/>
  <c r="R317" i="9"/>
  <c r="R387" i="9"/>
  <c r="R429" i="9"/>
  <c r="R473" i="9"/>
  <c r="R373" i="9"/>
  <c r="R179" i="9"/>
  <c r="R369" i="9"/>
  <c r="R244" i="9"/>
  <c r="R395" i="9"/>
  <c r="R273" i="9"/>
  <c r="R338" i="9"/>
  <c r="R231" i="9"/>
  <c r="R441" i="9"/>
  <c r="R194" i="9"/>
  <c r="R205" i="9"/>
  <c r="R459" i="9"/>
  <c r="R85" i="9"/>
  <c r="R130" i="9"/>
  <c r="R245" i="9"/>
  <c r="R222" i="9"/>
  <c r="R116" i="9"/>
  <c r="R411" i="9"/>
  <c r="R138" i="9"/>
  <c r="R185" i="9"/>
  <c r="R434" i="9"/>
  <c r="R271" i="9"/>
  <c r="R294" i="9"/>
  <c r="R202" i="9"/>
  <c r="R105" i="9"/>
  <c r="R75" i="9"/>
  <c r="R69" i="9"/>
  <c r="R382" i="9"/>
  <c r="R99" i="9"/>
  <c r="R499" i="9"/>
  <c r="R460" i="9"/>
  <c r="R453" i="9"/>
  <c r="R397" i="9"/>
  <c r="R119" i="9"/>
  <c r="R224" i="9"/>
  <c r="R305" i="9"/>
  <c r="R145" i="9"/>
  <c r="R380" i="9"/>
  <c r="R190" i="9"/>
  <c r="R324" i="9"/>
  <c r="R183" i="9"/>
  <c r="R236" i="9"/>
  <c r="R325" i="9"/>
  <c r="R226" i="9"/>
  <c r="R170" i="9"/>
  <c r="R141" i="9"/>
  <c r="R255" i="9"/>
  <c r="R108" i="9"/>
  <c r="R405" i="9"/>
  <c r="R302" i="9"/>
  <c r="R65" i="9"/>
  <c r="R242" i="9"/>
  <c r="R87" i="9"/>
  <c r="R180" i="9"/>
  <c r="R197" i="9"/>
  <c r="R195" i="9"/>
  <c r="R401" i="9"/>
  <c r="R482" i="9"/>
  <c r="R388" i="9"/>
  <c r="R498" i="9"/>
  <c r="R163" i="9"/>
  <c r="R400" i="9"/>
  <c r="R165" i="9"/>
  <c r="R509" i="9"/>
  <c r="R150" i="9"/>
  <c r="R270" i="9"/>
  <c r="R232" i="9"/>
  <c r="R446" i="9"/>
  <c r="R51" i="9"/>
  <c r="R368" i="9"/>
  <c r="R149" i="9"/>
  <c r="R437" i="9"/>
  <c r="R256" i="9"/>
  <c r="R472" i="9"/>
  <c r="R279" i="9"/>
  <c r="R304" i="9"/>
  <c r="R235" i="9"/>
  <c r="R403" i="9"/>
  <c r="R396" i="9"/>
  <c r="R365" i="9"/>
  <c r="R100" i="9"/>
  <c r="R345" i="9"/>
  <c r="R471" i="9"/>
  <c r="R308" i="9"/>
  <c r="R230" i="9"/>
  <c r="R254" i="9"/>
  <c r="R458" i="9"/>
  <c r="R265" i="9"/>
  <c r="R392" i="9"/>
  <c r="R320" i="9"/>
  <c r="R454" i="9"/>
  <c r="R439" i="9"/>
  <c r="R385" i="9"/>
  <c r="R477" i="9"/>
  <c r="R177" i="9"/>
  <c r="R421" i="9"/>
  <c r="R364" i="9"/>
  <c r="R300" i="9"/>
  <c r="R497" i="9"/>
  <c r="R164" i="9"/>
  <c r="R248" i="9"/>
  <c r="R131" i="9"/>
  <c r="R112" i="9"/>
  <c r="R67" i="9"/>
  <c r="R344" i="9"/>
  <c r="R406" i="9"/>
  <c r="R134" i="9"/>
  <c r="R352" i="9"/>
  <c r="R485" i="9"/>
  <c r="R219" i="9"/>
  <c r="R416" i="9"/>
  <c r="R215" i="9"/>
  <c r="R293" i="9"/>
  <c r="R379" i="9"/>
  <c r="R92" i="9"/>
  <c r="R357" i="9"/>
  <c r="R173" i="9"/>
  <c r="R189" i="9"/>
  <c r="R200" i="9"/>
  <c r="R246" i="9"/>
  <c r="R133" i="9"/>
  <c r="R374" i="9"/>
  <c r="R53" i="9"/>
  <c r="R167" i="9"/>
  <c r="R113" i="9"/>
  <c r="R503" i="9"/>
  <c r="R166" i="9"/>
  <c r="R286" i="9"/>
  <c r="R241" i="9"/>
  <c r="R187" i="9"/>
  <c r="R354" i="9"/>
  <c r="R510" i="9"/>
  <c r="R404" i="9"/>
  <c r="R276" i="9"/>
  <c r="R80" i="9"/>
  <c r="R117" i="9"/>
  <c r="R465" i="9"/>
  <c r="R425" i="9"/>
  <c r="R349" i="9"/>
  <c r="R261" i="9"/>
  <c r="R347" i="9"/>
  <c r="R475" i="9"/>
  <c r="R490" i="9"/>
  <c r="R268" i="9"/>
  <c r="R456" i="9"/>
  <c r="R329" i="9"/>
  <c r="R508" i="9"/>
  <c r="R216" i="9"/>
  <c r="R419" i="9"/>
  <c r="R247" i="9"/>
  <c r="R109" i="9"/>
  <c r="R191" i="9"/>
  <c r="R207" i="9"/>
  <c r="R267" i="9"/>
  <c r="R63" i="9"/>
  <c r="R284" i="9"/>
  <c r="R339" i="9"/>
  <c r="R212" i="9"/>
  <c r="R341" i="9"/>
  <c r="R111" i="9"/>
  <c r="R350" i="9"/>
  <c r="R94" i="9"/>
  <c r="R427" i="9"/>
  <c r="R443" i="9"/>
  <c r="R137" i="9"/>
  <c r="R52" i="9"/>
  <c r="R83" i="9"/>
  <c r="R57" i="9"/>
  <c r="R95" i="9"/>
  <c r="R96" i="9"/>
  <c r="R54" i="9"/>
  <c r="R466" i="9"/>
  <c r="R181" i="9"/>
  <c r="R494" i="9"/>
  <c r="R186" i="9"/>
  <c r="R432" i="9"/>
  <c r="R375" i="9"/>
  <c r="R463" i="9"/>
  <c r="R266" i="9"/>
  <c r="R142" i="9"/>
  <c r="R291" i="9"/>
  <c r="R107" i="9"/>
  <c r="R299" i="9"/>
  <c r="R386" i="9"/>
  <c r="R76" i="9"/>
  <c r="R440" i="9"/>
  <c r="R182" i="9"/>
  <c r="R412" i="9"/>
  <c r="R90" i="9"/>
  <c r="R176" i="9"/>
  <c r="R457" i="9"/>
  <c r="R410" i="9"/>
  <c r="R295" i="9"/>
  <c r="R389" i="9"/>
  <c r="R146" i="9"/>
  <c r="R91" i="9"/>
  <c r="R393" i="9"/>
  <c r="R196" i="9"/>
  <c r="R218" i="9"/>
  <c r="R127" i="9"/>
  <c r="R175" i="9"/>
  <c r="R66" i="9"/>
  <c r="R157" i="9"/>
  <c r="R110" i="9"/>
  <c r="R147" i="9"/>
  <c r="R278" i="9"/>
  <c r="R193" i="9"/>
  <c r="R332" i="9"/>
  <c r="R431" i="9"/>
  <c r="R513" i="9"/>
  <c r="R515" i="9"/>
  <c r="R514" i="9"/>
  <c r="R516" i="9"/>
  <c r="R518" i="9"/>
  <c r="R517" i="9"/>
  <c r="R519" i="9"/>
  <c r="R520" i="9"/>
  <c r="R521" i="9"/>
  <c r="R522" i="9"/>
  <c r="R523" i="9"/>
  <c r="R524" i="9"/>
  <c r="R525" i="9"/>
  <c r="R526" i="9"/>
  <c r="R529" i="9"/>
  <c r="R527" i="9"/>
  <c r="R528" i="9"/>
  <c r="R530" i="9"/>
  <c r="R534" i="9"/>
  <c r="R531" i="9"/>
  <c r="R532" i="9"/>
  <c r="R535" i="9"/>
  <c r="R533" i="9"/>
  <c r="R536" i="9"/>
  <c r="R537" i="9"/>
  <c r="R539" i="9"/>
  <c r="R538" i="9"/>
  <c r="R541" i="9"/>
  <c r="R540" i="9"/>
  <c r="R542" i="9"/>
  <c r="R544" i="9"/>
  <c r="R543" i="9"/>
  <c r="R545" i="9"/>
  <c r="R549" i="9"/>
  <c r="R546" i="9"/>
  <c r="R551" i="9"/>
  <c r="R547" i="9"/>
  <c r="R548" i="9"/>
  <c r="R550" i="9"/>
  <c r="R554" i="9"/>
  <c r="R553" i="9"/>
  <c r="R552" i="9"/>
  <c r="R558" i="9"/>
  <c r="R556" i="9"/>
  <c r="R555" i="9"/>
  <c r="R559" i="9"/>
  <c r="R557" i="9"/>
  <c r="R767" i="9"/>
  <c r="R731" i="9"/>
  <c r="R560" i="9"/>
  <c r="R561" i="9"/>
  <c r="R757" i="9"/>
  <c r="R658" i="9"/>
  <c r="R684" i="9"/>
  <c r="R710" i="9"/>
  <c r="R670" i="9"/>
  <c r="R719" i="9"/>
  <c r="R607" i="9"/>
  <c r="R641" i="9"/>
  <c r="R732" i="9"/>
  <c r="R733" i="9"/>
  <c r="R580" i="9"/>
  <c r="R727" i="9"/>
  <c r="R720" i="9"/>
  <c r="R758" i="9"/>
  <c r="R754" i="9"/>
  <c r="R695" i="9"/>
  <c r="R655" i="9"/>
  <c r="R690" i="9"/>
  <c r="R644" i="9"/>
  <c r="R562" i="9"/>
  <c r="R694" i="9"/>
  <c r="R761" i="9"/>
  <c r="R638" i="9"/>
  <c r="R750" i="9"/>
  <c r="R595" i="9"/>
  <c r="R573" i="9"/>
  <c r="R582" i="9"/>
  <c r="R703" i="9"/>
  <c r="R677" i="9"/>
  <c r="R664" i="9"/>
  <c r="R662" i="9"/>
  <c r="R635" i="9"/>
  <c r="R576" i="9"/>
  <c r="R687" i="9"/>
  <c r="R755" i="9"/>
  <c r="R739" i="9"/>
  <c r="R667" i="9"/>
  <c r="R741" i="9"/>
  <c r="R586" i="9"/>
  <c r="R594" i="9"/>
  <c r="R574" i="9"/>
  <c r="R729" i="9"/>
  <c r="R569" i="9"/>
  <c r="R629" i="9"/>
  <c r="R742" i="9"/>
  <c r="R621" i="9"/>
  <c r="R597" i="9"/>
  <c r="R686" i="9"/>
  <c r="R760" i="9"/>
  <c r="R575" i="9"/>
  <c r="R668" i="9"/>
  <c r="R702" i="9"/>
  <c r="R618" i="9"/>
  <c r="R636" i="9"/>
  <c r="R579" i="9"/>
  <c r="R763" i="9"/>
  <c r="R616" i="9"/>
  <c r="R734" i="9"/>
  <c r="R747" i="9"/>
  <c r="R704" i="9"/>
  <c r="R608" i="9"/>
  <c r="R628" i="9"/>
  <c r="R657" i="9"/>
  <c r="R714" i="9"/>
  <c r="R614" i="9"/>
  <c r="R592" i="9"/>
  <c r="R701" i="9"/>
  <c r="R606" i="9"/>
  <c r="R651" i="9"/>
  <c r="R748" i="9"/>
  <c r="R611" i="9"/>
  <c r="R746" i="9"/>
  <c r="R660" i="9"/>
  <c r="R656" i="9"/>
  <c r="R654" i="9"/>
  <c r="R706" i="9"/>
  <c r="R678" i="9"/>
  <c r="R680" i="9"/>
  <c r="R590" i="9"/>
  <c r="R593" i="9"/>
  <c r="R642" i="9"/>
  <c r="R653" i="9"/>
  <c r="R648" i="9"/>
  <c r="R765" i="9"/>
  <c r="R675" i="9"/>
  <c r="R647" i="9"/>
  <c r="R583" i="9"/>
  <c r="R711" i="9"/>
  <c r="R584" i="9"/>
  <c r="R599" i="9"/>
  <c r="R617" i="9"/>
  <c r="R571" i="9"/>
  <c r="R564" i="9"/>
  <c r="R643" i="9"/>
  <c r="R565" i="9"/>
  <c r="R681" i="9"/>
  <c r="R659" i="9"/>
  <c r="R736" i="9"/>
  <c r="R646" i="9"/>
  <c r="R568" i="9"/>
  <c r="R591" i="9"/>
  <c r="R768" i="9"/>
  <c r="R624" i="9"/>
  <c r="R749" i="9"/>
  <c r="R652" i="9"/>
  <c r="R570" i="9"/>
  <c r="R698" i="9"/>
  <c r="R721" i="9"/>
  <c r="R712" i="9"/>
  <c r="R605" i="9"/>
  <c r="R697" i="9"/>
  <c r="R626" i="9"/>
  <c r="R717" i="9"/>
  <c r="R596" i="9"/>
  <c r="R572" i="9"/>
  <c r="R619" i="9"/>
  <c r="R728" i="9"/>
  <c r="R674" i="9"/>
  <c r="R683" i="9"/>
  <c r="R640" i="9"/>
  <c r="R709" i="9"/>
  <c r="R672" i="9"/>
  <c r="R730" i="9"/>
  <c r="R756" i="9"/>
  <c r="R764" i="9"/>
  <c r="R650" i="9"/>
  <c r="R759" i="9"/>
  <c r="R609" i="9"/>
  <c r="R601" i="9"/>
  <c r="R567" i="9"/>
  <c r="R589" i="9"/>
  <c r="R713" i="9"/>
  <c r="R577" i="9"/>
  <c r="R620" i="9"/>
  <c r="R671" i="9"/>
  <c r="R623" i="9"/>
  <c r="R708" i="9"/>
  <c r="R700" i="9"/>
  <c r="R613" i="9"/>
  <c r="R692" i="9"/>
  <c r="R665" i="9"/>
  <c r="R581" i="9"/>
  <c r="R707" i="9"/>
  <c r="R723" i="9"/>
  <c r="R603" i="9"/>
  <c r="R766" i="9"/>
  <c r="R661" i="9"/>
  <c r="R604" i="9"/>
  <c r="R716" i="9"/>
  <c r="R637" i="9"/>
  <c r="R726" i="9"/>
  <c r="R691" i="9"/>
  <c r="R612" i="9"/>
  <c r="R682" i="9"/>
  <c r="R639" i="9"/>
  <c r="R724" i="9"/>
  <c r="R737" i="9"/>
  <c r="R769" i="9"/>
  <c r="R722" i="9"/>
  <c r="R587" i="9"/>
  <c r="R666" i="9"/>
  <c r="R696" i="9"/>
  <c r="R705" i="9"/>
  <c r="R663" i="9"/>
  <c r="R563" i="9"/>
  <c r="R735" i="9"/>
  <c r="R632" i="9"/>
  <c r="R751" i="9"/>
  <c r="R718" i="9"/>
  <c r="R744" i="9"/>
  <c r="R627" i="9"/>
  <c r="R625" i="9"/>
  <c r="R673" i="9"/>
  <c r="R725" i="9"/>
  <c r="R598" i="9"/>
  <c r="R685" i="9"/>
  <c r="R676" i="9"/>
  <c r="R740" i="9"/>
  <c r="R743" i="9"/>
  <c r="R631" i="9"/>
  <c r="R693" i="9"/>
  <c r="R669" i="9"/>
  <c r="R738" i="9"/>
  <c r="R633" i="9"/>
  <c r="R688" i="9"/>
  <c r="R762" i="9"/>
  <c r="R649" i="9"/>
  <c r="R585" i="9"/>
  <c r="R699" i="9"/>
  <c r="R753" i="9"/>
  <c r="R715" i="9"/>
  <c r="R645" i="9"/>
  <c r="R689" i="9"/>
  <c r="R615" i="9"/>
  <c r="R578" i="9"/>
  <c r="R634" i="9"/>
  <c r="R679" i="9"/>
  <c r="R745" i="9"/>
  <c r="R610" i="9"/>
  <c r="R566" i="9"/>
  <c r="R752" i="9"/>
  <c r="R588" i="9"/>
  <c r="R630" i="9"/>
  <c r="R622" i="9"/>
  <c r="R602" i="9"/>
  <c r="R600" i="9"/>
  <c r="R770" i="9"/>
  <c r="R771" i="9"/>
  <c r="R773" i="9"/>
  <c r="R772" i="9"/>
  <c r="R775" i="9"/>
  <c r="R774" i="9"/>
  <c r="R776" i="9"/>
  <c r="R778" i="9"/>
  <c r="R777" i="9"/>
  <c r="R780" i="9"/>
  <c r="R781" i="9"/>
  <c r="R779" i="9"/>
  <c r="R785" i="9"/>
  <c r="R782" i="9"/>
  <c r="R783" i="9"/>
  <c r="R787" i="9"/>
  <c r="R784" i="9"/>
  <c r="R786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2" i="9"/>
  <c r="R801" i="9"/>
  <c r="R803" i="9"/>
  <c r="R804" i="9"/>
  <c r="R805" i="9"/>
  <c r="R806" i="9"/>
  <c r="R811" i="9"/>
  <c r="R807" i="9"/>
  <c r="R808" i="9"/>
  <c r="R809" i="9"/>
  <c r="R810" i="9"/>
  <c r="R812" i="9"/>
  <c r="R813" i="9"/>
  <c r="R814" i="9"/>
  <c r="R816" i="9"/>
  <c r="R815" i="9"/>
  <c r="R819" i="9"/>
  <c r="R817" i="9"/>
  <c r="R895" i="9"/>
  <c r="R867" i="9"/>
  <c r="R818" i="9"/>
  <c r="R891" i="9"/>
  <c r="R843" i="9"/>
  <c r="R884" i="9"/>
  <c r="R893" i="9"/>
  <c r="R845" i="9"/>
  <c r="R894" i="9"/>
  <c r="R847" i="9"/>
  <c r="R849" i="9"/>
  <c r="R889" i="9"/>
  <c r="R824" i="9"/>
  <c r="R858" i="9"/>
  <c r="R869" i="9"/>
  <c r="R844" i="9"/>
  <c r="R878" i="9"/>
  <c r="R874" i="9"/>
  <c r="R876" i="9"/>
  <c r="R835" i="9"/>
  <c r="R857" i="9"/>
  <c r="R859" i="9"/>
  <c r="R833" i="9"/>
  <c r="R887" i="9"/>
  <c r="R850" i="9"/>
  <c r="R863" i="9"/>
  <c r="R883" i="9"/>
  <c r="R896" i="9"/>
  <c r="R828" i="9"/>
  <c r="R890" i="9"/>
  <c r="R860" i="9"/>
  <c r="R879" i="9"/>
  <c r="R868" i="9"/>
  <c r="R854" i="9"/>
  <c r="R855" i="9"/>
  <c r="R875" i="9"/>
  <c r="R834" i="9"/>
  <c r="R825" i="9"/>
  <c r="R856" i="9"/>
  <c r="R822" i="9"/>
  <c r="R832" i="9"/>
  <c r="R837" i="9"/>
  <c r="R838" i="9"/>
  <c r="R862" i="9"/>
  <c r="R851" i="9"/>
  <c r="R882" i="9"/>
  <c r="R842" i="9"/>
  <c r="R848" i="9"/>
  <c r="R873" i="9"/>
  <c r="R877" i="9"/>
  <c r="R861" i="9"/>
  <c r="R892" i="9"/>
  <c r="R839" i="9"/>
  <c r="R881" i="9"/>
  <c r="R841" i="9"/>
  <c r="R886" i="9"/>
  <c r="R827" i="9"/>
  <c r="R866" i="9"/>
  <c r="R820" i="9"/>
  <c r="R823" i="9"/>
  <c r="R840" i="9"/>
  <c r="R852" i="9"/>
  <c r="R853" i="9"/>
  <c r="R836" i="9"/>
  <c r="R846" i="9"/>
  <c r="R831" i="9"/>
  <c r="R821" i="9"/>
  <c r="R865" i="9"/>
  <c r="R872" i="9"/>
  <c r="R880" i="9"/>
  <c r="R870" i="9"/>
  <c r="R830" i="9"/>
  <c r="R897" i="9"/>
  <c r="R826" i="9"/>
  <c r="R829" i="9"/>
  <c r="R864" i="9"/>
  <c r="R898" i="9"/>
  <c r="R885" i="9"/>
  <c r="R888" i="9"/>
  <c r="R871" i="9"/>
  <c r="R899" i="9"/>
  <c r="R900" i="9"/>
  <c r="R901" i="9"/>
  <c r="R902" i="9"/>
  <c r="R903" i="9"/>
  <c r="R905" i="9"/>
  <c r="R904" i="9"/>
  <c r="R909" i="9"/>
  <c r="R906" i="9"/>
  <c r="R911" i="9"/>
  <c r="R908" i="9"/>
  <c r="R907" i="9"/>
  <c r="R910" i="9"/>
  <c r="R914" i="9"/>
  <c r="R912" i="9"/>
  <c r="R913" i="9"/>
  <c r="R916" i="9"/>
  <c r="R917" i="9"/>
  <c r="R915" i="9"/>
  <c r="R918" i="9"/>
  <c r="R921" i="9"/>
  <c r="R919" i="9"/>
  <c r="R920" i="9"/>
  <c r="R923" i="9"/>
  <c r="R922" i="9"/>
  <c r="R924" i="9"/>
  <c r="R926" i="9"/>
  <c r="R925" i="9"/>
  <c r="R928" i="9"/>
  <c r="R927" i="9"/>
  <c r="R929" i="9"/>
  <c r="R930" i="9"/>
  <c r="R931" i="9"/>
  <c r="R932" i="9"/>
  <c r="R933" i="9"/>
  <c r="R952" i="9"/>
  <c r="R956" i="9"/>
  <c r="R959" i="9"/>
  <c r="R936" i="9"/>
  <c r="R947" i="9"/>
  <c r="R955" i="9"/>
  <c r="R958" i="9"/>
  <c r="R935" i="9"/>
  <c r="R949" i="9"/>
  <c r="R946" i="9"/>
  <c r="R948" i="9"/>
  <c r="R944" i="9"/>
  <c r="R939" i="9"/>
  <c r="R954" i="9"/>
  <c r="R942" i="9"/>
  <c r="R960" i="9"/>
  <c r="R943" i="9"/>
  <c r="R953" i="9"/>
  <c r="R945" i="9"/>
  <c r="R950" i="9"/>
  <c r="R940" i="9"/>
  <c r="R937" i="9"/>
  <c r="R934" i="9"/>
  <c r="R951" i="9"/>
  <c r="R938" i="9"/>
  <c r="R961" i="9"/>
  <c r="R957" i="9"/>
  <c r="R941" i="9"/>
  <c r="R963" i="9"/>
  <c r="R965" i="9"/>
  <c r="R962" i="9"/>
  <c r="R964" i="9"/>
  <c r="R966" i="9"/>
  <c r="R967" i="9"/>
  <c r="R970" i="9"/>
  <c r="R968" i="9"/>
  <c r="R969" i="9"/>
  <c r="R971" i="9"/>
  <c r="R972" i="9"/>
  <c r="R973" i="9"/>
  <c r="R976" i="9"/>
  <c r="R974" i="9"/>
  <c r="R975" i="9"/>
  <c r="R977" i="9"/>
  <c r="R978" i="9"/>
  <c r="R979" i="9"/>
  <c r="R980" i="9"/>
  <c r="R981" i="9"/>
  <c r="R982" i="9"/>
  <c r="R983" i="9"/>
  <c r="R987" i="9"/>
  <c r="R984" i="9"/>
  <c r="R985" i="9"/>
  <c r="R989" i="9"/>
  <c r="R986" i="9"/>
  <c r="R988" i="9"/>
  <c r="R991" i="9"/>
  <c r="R990" i="9"/>
  <c r="T511" i="9"/>
  <c r="T356" i="9"/>
  <c r="T103" i="9"/>
  <c r="T454" i="9"/>
  <c r="T506" i="9"/>
  <c r="T154" i="9"/>
  <c r="T267" i="9"/>
  <c r="T299" i="9"/>
  <c r="T358" i="9"/>
  <c r="T439" i="9"/>
  <c r="T274" i="9"/>
  <c r="T106" i="9"/>
  <c r="T384" i="9"/>
  <c r="T352" i="9"/>
  <c r="T275" i="9"/>
  <c r="T55" i="9"/>
  <c r="T69" i="9"/>
  <c r="T67" i="9"/>
  <c r="T128" i="9"/>
  <c r="T472" i="9"/>
  <c r="T495" i="9"/>
  <c r="T142" i="9"/>
  <c r="T63" i="9"/>
  <c r="T342" i="9"/>
  <c r="T272" i="9"/>
  <c r="T229" i="9"/>
  <c r="T426" i="9"/>
  <c r="T266" i="9"/>
  <c r="T380" i="9"/>
  <c r="T305" i="9"/>
  <c r="T476" i="9"/>
  <c r="T217" i="9"/>
  <c r="T333" i="9"/>
  <c r="T367" i="9"/>
  <c r="T461" i="9"/>
  <c r="T249" i="9"/>
  <c r="T108" i="9"/>
  <c r="T116" i="9"/>
  <c r="T428" i="9"/>
  <c r="T255" i="9"/>
  <c r="T180" i="9"/>
  <c r="T236" i="9"/>
  <c r="T246" i="9"/>
  <c r="T317" i="9"/>
  <c r="T485" i="9"/>
  <c r="T109" i="9"/>
  <c r="T188" i="9"/>
  <c r="T350" i="9"/>
  <c r="T432" i="9"/>
  <c r="T261" i="9"/>
  <c r="T126" i="9"/>
  <c r="T505" i="9"/>
  <c r="T509" i="9"/>
  <c r="T238" i="9"/>
  <c r="T493" i="9"/>
  <c r="T170" i="9"/>
  <c r="T159" i="9"/>
  <c r="T326" i="9"/>
  <c r="T245" i="9"/>
  <c r="T412" i="9"/>
  <c r="T237" i="9"/>
  <c r="T163" i="9"/>
  <c r="T265" i="9"/>
  <c r="T125" i="9"/>
  <c r="T151" i="9"/>
  <c r="T145" i="9"/>
  <c r="T304" i="9"/>
  <c r="T328" i="9"/>
  <c r="T242" i="9"/>
  <c r="T277" i="9"/>
  <c r="T177" i="9"/>
  <c r="T235" i="9"/>
  <c r="T327" i="9"/>
  <c r="T138" i="9"/>
  <c r="T192" i="9"/>
  <c r="T451" i="9"/>
  <c r="T395" i="9"/>
  <c r="T422" i="9"/>
  <c r="T399" i="9"/>
  <c r="T411" i="9"/>
  <c r="T72" i="9"/>
  <c r="T58" i="9"/>
  <c r="T137" i="9"/>
  <c r="T481" i="9"/>
  <c r="T233" i="9"/>
  <c r="T449" i="9"/>
  <c r="T291" i="9"/>
  <c r="T374" i="9"/>
  <c r="T376" i="9"/>
  <c r="T194" i="9"/>
  <c r="T303" i="9"/>
  <c r="T219" i="9"/>
  <c r="T388" i="9"/>
  <c r="T409" i="9"/>
  <c r="T143" i="9"/>
  <c r="T288" i="9"/>
  <c r="T455" i="9"/>
  <c r="T269" i="9"/>
  <c r="T87" i="9"/>
  <c r="T256" i="9"/>
  <c r="T211" i="9"/>
  <c r="T250" i="9"/>
  <c r="T149" i="9"/>
  <c r="T312" i="9"/>
  <c r="T66" i="9"/>
  <c r="T295" i="9"/>
  <c r="T364" i="9"/>
  <c r="T70" i="9"/>
  <c r="T497" i="9"/>
  <c r="T405" i="9"/>
  <c r="T502" i="9"/>
  <c r="T164" i="9"/>
  <c r="T268" i="9"/>
  <c r="T74" i="9"/>
  <c r="T464" i="9"/>
  <c r="T465" i="9"/>
  <c r="T397" i="9"/>
  <c r="T57" i="9"/>
  <c r="T273" i="9"/>
  <c r="T286" i="9"/>
  <c r="T345" i="9"/>
  <c r="T504" i="9"/>
  <c r="T387" i="9"/>
  <c r="T197" i="9"/>
  <c r="T337" i="9"/>
  <c r="T507" i="9"/>
  <c r="T231" i="9"/>
  <c r="T383" i="9"/>
  <c r="T172" i="9"/>
  <c r="T105" i="9"/>
  <c r="T339" i="9"/>
  <c r="T102" i="9"/>
  <c r="T118" i="9"/>
  <c r="T252" i="9"/>
  <c r="T182" i="9"/>
  <c r="T230" i="9"/>
  <c r="T97" i="9"/>
  <c r="T456" i="9"/>
  <c r="T430" i="9"/>
  <c r="T179" i="9"/>
  <c r="T293" i="9"/>
  <c r="T302" i="9"/>
  <c r="T494" i="9"/>
  <c r="T440" i="9"/>
  <c r="T174" i="9"/>
  <c r="T438" i="9"/>
  <c r="T447" i="9"/>
  <c r="T228" i="9"/>
  <c r="T78" i="9"/>
  <c r="T85" i="9"/>
  <c r="T488" i="9"/>
  <c r="T222" i="9"/>
  <c r="T155" i="9"/>
  <c r="T153" i="9"/>
  <c r="T298" i="9"/>
  <c r="T413" i="9"/>
  <c r="T499" i="9"/>
  <c r="T421" i="9"/>
  <c r="T316" i="9"/>
  <c r="T89" i="9"/>
  <c r="T239" i="9"/>
  <c r="T371" i="9"/>
  <c r="T152" i="9"/>
  <c r="T391" i="9"/>
  <c r="T309" i="9"/>
  <c r="T425" i="9"/>
  <c r="T284" i="9"/>
  <c r="T141" i="9"/>
  <c r="T431" i="9"/>
  <c r="T290" i="9"/>
  <c r="T401" i="9"/>
  <c r="T148" i="9"/>
  <c r="T283" i="9"/>
  <c r="T135" i="9"/>
  <c r="T157" i="9"/>
  <c r="T168" i="9"/>
  <c r="T471" i="9"/>
  <c r="T396" i="9"/>
  <c r="T110" i="9"/>
  <c r="T377" i="9"/>
  <c r="T344" i="9"/>
  <c r="T169" i="9"/>
  <c r="T466" i="9"/>
  <c r="T104" i="9"/>
  <c r="T50" i="9"/>
  <c r="T360" i="9"/>
  <c r="T414" i="9"/>
  <c r="T343" i="9"/>
  <c r="T366" i="9"/>
  <c r="T381" i="9"/>
  <c r="T60" i="9"/>
  <c r="T435" i="9"/>
  <c r="T389" i="9"/>
  <c r="T258" i="9"/>
  <c r="T402" i="9"/>
  <c r="T140" i="9"/>
  <c r="T400" i="9"/>
  <c r="T123" i="9"/>
  <c r="T323" i="9"/>
  <c r="T223" i="9"/>
  <c r="T281" i="9"/>
  <c r="T341" i="9"/>
  <c r="T247" i="9"/>
  <c r="T375" i="9"/>
  <c r="T206" i="9"/>
  <c r="T257" i="9"/>
  <c r="T348" i="9"/>
  <c r="T68" i="9"/>
  <c r="T467" i="9"/>
  <c r="T175" i="9"/>
  <c r="T114" i="9"/>
  <c r="T240" i="9"/>
  <c r="T251" i="9"/>
  <c r="T475" i="9"/>
  <c r="T322" i="9"/>
  <c r="T398" i="9"/>
  <c r="T124" i="9"/>
  <c r="T355" i="9"/>
  <c r="T313" i="9"/>
  <c r="T80" i="9"/>
  <c r="T216" i="9"/>
  <c r="T434" i="9"/>
  <c r="T369" i="9"/>
  <c r="T301" i="9"/>
  <c r="T202" i="9"/>
  <c r="T81" i="9"/>
  <c r="T300" i="9"/>
  <c r="T331" i="9"/>
  <c r="T215" i="9"/>
  <c r="T419" i="9"/>
  <c r="T205" i="9"/>
  <c r="T443" i="9"/>
  <c r="T463" i="9"/>
  <c r="T416" i="9"/>
  <c r="T129" i="9"/>
  <c r="T120" i="9"/>
  <c r="T181" i="9"/>
  <c r="T117" i="9"/>
  <c r="T262" i="9"/>
  <c r="T370" i="9"/>
  <c r="T71" i="9"/>
  <c r="T310" i="9"/>
  <c r="T452" i="9"/>
  <c r="T410" i="9"/>
  <c r="T496" i="9"/>
  <c r="T478" i="9"/>
  <c r="T390" i="9"/>
  <c r="T61" i="9"/>
  <c r="T198" i="9"/>
  <c r="T459" i="9"/>
  <c r="T282" i="9"/>
  <c r="T483" i="9"/>
  <c r="T226" i="9"/>
  <c r="T334" i="9"/>
  <c r="T477" i="9"/>
  <c r="T88" i="9"/>
  <c r="T361" i="9"/>
  <c r="T424" i="9"/>
  <c r="T373" i="9"/>
  <c r="T393" i="9"/>
  <c r="T193" i="9"/>
  <c r="T185" i="9"/>
  <c r="T95" i="9"/>
  <c r="T52" i="9"/>
  <c r="T191" i="9"/>
  <c r="T75" i="9"/>
  <c r="T201" i="9"/>
  <c r="T486" i="9"/>
  <c r="T473" i="9"/>
  <c r="T227" i="9"/>
  <c r="T479" i="9"/>
  <c r="T51" i="9"/>
  <c r="T338" i="9"/>
  <c r="T469" i="9"/>
  <c r="T491" i="9"/>
  <c r="T489" i="9"/>
  <c r="T53" i="9"/>
  <c r="T212" i="9"/>
  <c r="T100" i="9"/>
  <c r="T474" i="9"/>
  <c r="T448" i="9"/>
  <c r="T133" i="9"/>
  <c r="T441" i="9"/>
  <c r="T122" i="9"/>
  <c r="T82" i="9"/>
  <c r="T144" i="9"/>
  <c r="T187" i="9"/>
  <c r="T470" i="9"/>
  <c r="T264" i="9"/>
  <c r="T403" i="9"/>
  <c r="T512" i="9"/>
  <c r="T420" i="9"/>
  <c r="T278" i="9"/>
  <c r="T93" i="9"/>
  <c r="T232" i="9"/>
  <c r="T254" i="9"/>
  <c r="T178" i="9"/>
  <c r="T207" i="9"/>
  <c r="T450" i="9"/>
  <c r="T218" i="9"/>
  <c r="T204" i="9"/>
  <c r="T209" i="9"/>
  <c r="T382" i="9"/>
  <c r="T161" i="9"/>
  <c r="T437" i="9"/>
  <c r="T111" i="9"/>
  <c r="T113" i="9"/>
  <c r="T271" i="9"/>
  <c r="T220" i="9"/>
  <c r="T319" i="9"/>
  <c r="T487" i="9"/>
  <c r="T208" i="9"/>
  <c r="T171" i="9"/>
  <c r="T139" i="9"/>
  <c r="T415" i="9"/>
  <c r="T244" i="9"/>
  <c r="T444" i="9"/>
  <c r="T379" i="9"/>
  <c r="T482" i="9"/>
  <c r="T136" i="9"/>
  <c r="T173" i="9"/>
  <c r="T458" i="9"/>
  <c r="T418" i="9"/>
  <c r="T134" i="9"/>
  <c r="T386" i="9"/>
  <c r="T306" i="9"/>
  <c r="T147" i="9"/>
  <c r="T354" i="9"/>
  <c r="T119" i="9"/>
  <c r="T243" i="9"/>
  <c r="T56" i="9"/>
  <c r="T248" i="9"/>
  <c r="T353" i="9"/>
  <c r="T320" i="9"/>
  <c r="T190" i="9"/>
  <c r="T62" i="9"/>
  <c r="T115" i="9"/>
  <c r="T368" i="9"/>
  <c r="T156" i="9"/>
  <c r="T442" i="9"/>
  <c r="T501" i="9"/>
  <c r="T287" i="9"/>
  <c r="T77" i="9"/>
  <c r="T65" i="9"/>
  <c r="T84" i="9"/>
  <c r="T314" i="9"/>
  <c r="T490" i="9"/>
  <c r="T357" i="9"/>
  <c r="T321" i="9"/>
  <c r="T162" i="9"/>
  <c r="T99" i="9"/>
  <c r="T121" i="9"/>
  <c r="T453" i="9"/>
  <c r="T160" i="9"/>
  <c r="T406" i="9"/>
  <c r="T96" i="9"/>
  <c r="T146" i="9"/>
  <c r="T292" i="9"/>
  <c r="T199" i="9"/>
  <c r="T259" i="9"/>
  <c r="T510" i="9"/>
  <c r="T332" i="9"/>
  <c r="T73" i="9"/>
  <c r="T294" i="9"/>
  <c r="T408" i="9"/>
  <c r="T183" i="9"/>
  <c r="T307" i="9"/>
  <c r="T86" i="9"/>
  <c r="T330" i="9"/>
  <c r="T64" i="9"/>
  <c r="T457" i="9"/>
  <c r="T349" i="9"/>
  <c r="T372" i="9"/>
  <c r="T285" i="9"/>
  <c r="T213" i="9"/>
  <c r="T203" i="9"/>
  <c r="T460" i="9"/>
  <c r="T500" i="9"/>
  <c r="T131" i="9"/>
  <c r="T297" i="9"/>
  <c r="T130" i="9"/>
  <c r="T329" i="9"/>
  <c r="T166" i="9"/>
  <c r="T462" i="9"/>
  <c r="T210" i="9"/>
  <c r="T335" i="9"/>
  <c r="T311" i="9"/>
  <c r="T436" i="9"/>
  <c r="T98" i="9"/>
  <c r="T167" i="9"/>
  <c r="T196" i="9"/>
  <c r="T189" i="9"/>
  <c r="T270" i="9"/>
  <c r="T132" i="9"/>
  <c r="T279" i="9"/>
  <c r="T253" i="9"/>
  <c r="T362" i="9"/>
  <c r="T340" i="9"/>
  <c r="T150" i="9"/>
  <c r="T165" i="9"/>
  <c r="T315" i="9"/>
  <c r="T351" i="9"/>
  <c r="T214" i="9"/>
  <c r="T378" i="9"/>
  <c r="T158" i="9"/>
  <c r="T221" i="9"/>
  <c r="T289" i="9"/>
  <c r="T385" i="9"/>
  <c r="T318" i="9"/>
  <c r="T468" i="9"/>
  <c r="T112" i="9"/>
  <c r="T433" i="9"/>
  <c r="T445" i="9"/>
  <c r="T127" i="9"/>
  <c r="T427" i="9"/>
  <c r="T225" i="9"/>
  <c r="T325" i="9"/>
  <c r="T101" i="9"/>
  <c r="T276" i="9"/>
  <c r="T498" i="9"/>
  <c r="T92" i="9"/>
  <c r="T503" i="9"/>
  <c r="T200" i="9"/>
  <c r="T484" i="9"/>
  <c r="T176" i="9"/>
  <c r="T336" i="9"/>
  <c r="T492" i="9"/>
  <c r="T91" i="9"/>
  <c r="T54" i="9"/>
  <c r="T59" i="9"/>
  <c r="T446" i="9"/>
  <c r="T280" i="9"/>
  <c r="T234" i="9"/>
  <c r="T404" i="9"/>
  <c r="T365" i="9"/>
  <c r="T241" i="9"/>
  <c r="T513" i="9"/>
  <c r="T392" i="9"/>
  <c r="T83" i="9"/>
  <c r="T407" i="9"/>
  <c r="T308" i="9"/>
  <c r="T224" i="9"/>
  <c r="T480" i="9"/>
  <c r="T260" i="9"/>
  <c r="T76" i="9"/>
  <c r="T184" i="9"/>
  <c r="T296" i="9"/>
  <c r="T186" i="9"/>
  <c r="T79" i="9"/>
  <c r="T508" i="9"/>
  <c r="T363" i="9"/>
  <c r="T195" i="9"/>
  <c r="T324" i="9"/>
  <c r="T346" i="9"/>
  <c r="T359" i="9"/>
  <c r="T263" i="9"/>
  <c r="T107" i="9"/>
  <c r="T394" i="9"/>
  <c r="T429" i="9"/>
  <c r="T347" i="9"/>
  <c r="T423" i="9"/>
  <c r="T417" i="9"/>
  <c r="T90" i="9"/>
  <c r="T94" i="9"/>
  <c r="T49" i="9"/>
  <c r="T514" i="9"/>
  <c r="T515" i="9"/>
  <c r="T517" i="9"/>
  <c r="T516" i="9"/>
  <c r="T518" i="9"/>
  <c r="T519" i="9"/>
  <c r="T522" i="9"/>
  <c r="T520" i="9"/>
  <c r="T521" i="9"/>
  <c r="T523" i="9"/>
  <c r="T524" i="9"/>
  <c r="T528" i="9"/>
  <c r="T526" i="9"/>
  <c r="T525" i="9"/>
  <c r="T527" i="9"/>
  <c r="T530" i="9"/>
  <c r="T529" i="9"/>
  <c r="T532" i="9"/>
  <c r="T531" i="9"/>
  <c r="T534" i="9"/>
  <c r="T536" i="9"/>
  <c r="T533" i="9"/>
  <c r="T535" i="9"/>
  <c r="T541" i="9"/>
  <c r="T539" i="9"/>
  <c r="T537" i="9"/>
  <c r="T538" i="9"/>
  <c r="T543" i="9"/>
  <c r="T540" i="9"/>
  <c r="T542" i="9"/>
  <c r="T545" i="9"/>
  <c r="T544" i="9"/>
  <c r="T546" i="9"/>
  <c r="T547" i="9"/>
  <c r="T552" i="9"/>
  <c r="T548" i="9"/>
  <c r="T549" i="9"/>
  <c r="T550" i="9"/>
  <c r="T551" i="9"/>
  <c r="T554" i="9"/>
  <c r="T553" i="9"/>
  <c r="T555" i="9"/>
  <c r="T558" i="9"/>
  <c r="T556" i="9"/>
  <c r="T557" i="9"/>
  <c r="T559" i="9"/>
  <c r="T767" i="9"/>
  <c r="T628" i="9"/>
  <c r="T570" i="9"/>
  <c r="T730" i="9"/>
  <c r="T667" i="9"/>
  <c r="T721" i="9"/>
  <c r="T624" i="9"/>
  <c r="T597" i="9"/>
  <c r="T583" i="9"/>
  <c r="T596" i="9"/>
  <c r="T611" i="9"/>
  <c r="T650" i="9"/>
  <c r="T755" i="9"/>
  <c r="T604" i="9"/>
  <c r="T564" i="9"/>
  <c r="T635" i="9"/>
  <c r="T676" i="9"/>
  <c r="T580" i="9"/>
  <c r="T692" i="9"/>
  <c r="T768" i="9"/>
  <c r="T674" i="9"/>
  <c r="T569" i="9"/>
  <c r="T599" i="9"/>
  <c r="T601" i="9"/>
  <c r="T726" i="9"/>
  <c r="T662" i="9"/>
  <c r="T636" i="9"/>
  <c r="T632" i="9"/>
  <c r="T652" i="9"/>
  <c r="T709" i="9"/>
  <c r="T643" i="9"/>
  <c r="T750" i="9"/>
  <c r="T605" i="9"/>
  <c r="T757" i="9"/>
  <c r="T734" i="9"/>
  <c r="T766" i="9"/>
  <c r="T590" i="9"/>
  <c r="T670" i="9"/>
  <c r="T735" i="9"/>
  <c r="T592" i="9"/>
  <c r="T681" i="9"/>
  <c r="T614" i="9"/>
  <c r="T693" i="9"/>
  <c r="T683" i="9"/>
  <c r="T606" i="9"/>
  <c r="T634" i="9"/>
  <c r="T594" i="9"/>
  <c r="T699" i="9"/>
  <c r="T620" i="9"/>
  <c r="T706" i="9"/>
  <c r="T690" i="9"/>
  <c r="T731" i="9"/>
  <c r="T715" i="9"/>
  <c r="T562" i="9"/>
  <c r="T751" i="9"/>
  <c r="T688" i="9"/>
  <c r="T560" i="9"/>
  <c r="T561" i="9"/>
  <c r="T663" i="9"/>
  <c r="T761" i="9"/>
  <c r="T724" i="9"/>
  <c r="T687" i="9"/>
  <c r="T644" i="9"/>
  <c r="T729" i="9"/>
  <c r="T566" i="9"/>
  <c r="T669" i="9"/>
  <c r="T598" i="9"/>
  <c r="T752" i="9"/>
  <c r="T738" i="9"/>
  <c r="T762" i="9"/>
  <c r="T749" i="9"/>
  <c r="T723" i="9"/>
  <c r="T666" i="9"/>
  <c r="T579" i="9"/>
  <c r="T572" i="9"/>
  <c r="T677" i="9"/>
  <c r="T758" i="9"/>
  <c r="T686" i="9"/>
  <c r="T736" i="9"/>
  <c r="T577" i="9"/>
  <c r="T760" i="9"/>
  <c r="T742" i="9"/>
  <c r="T716" i="9"/>
  <c r="T649" i="9"/>
  <c r="T612" i="9"/>
  <c r="T664" i="9"/>
  <c r="T684" i="9"/>
  <c r="T710" i="9"/>
  <c r="T603" i="9"/>
  <c r="T708" i="9"/>
  <c r="T653" i="9"/>
  <c r="T701" i="9"/>
  <c r="T651" i="9"/>
  <c r="T633" i="9"/>
  <c r="T575" i="9"/>
  <c r="T602" i="9"/>
  <c r="T739" i="9"/>
  <c r="T665" i="9"/>
  <c r="T593" i="9"/>
  <c r="T637" i="9"/>
  <c r="T565" i="9"/>
  <c r="T631" i="9"/>
  <c r="T668" i="9"/>
  <c r="T658" i="9"/>
  <c r="T732" i="9"/>
  <c r="T759" i="9"/>
  <c r="T702" i="9"/>
  <c r="T740" i="9"/>
  <c r="T713" i="9"/>
  <c r="T745" i="9"/>
  <c r="T645" i="9"/>
  <c r="T582" i="9"/>
  <c r="T711" i="9"/>
  <c r="T754" i="9"/>
  <c r="T700" i="9"/>
  <c r="T743" i="9"/>
  <c r="T695" i="9"/>
  <c r="T619" i="9"/>
  <c r="T672" i="9"/>
  <c r="T685" i="9"/>
  <c r="T573" i="9"/>
  <c r="T720" i="9"/>
  <c r="T576" i="9"/>
  <c r="T629" i="9"/>
  <c r="T728" i="9"/>
  <c r="T741" i="9"/>
  <c r="T578" i="9"/>
  <c r="T725" i="9"/>
  <c r="T705" i="9"/>
  <c r="T698" i="9"/>
  <c r="T588" i="9"/>
  <c r="T608" i="9"/>
  <c r="T613" i="9"/>
  <c r="T689" i="9"/>
  <c r="T622" i="9"/>
  <c r="T746" i="9"/>
  <c r="T661" i="9"/>
  <c r="T585" i="9"/>
  <c r="T621" i="9"/>
  <c r="T753" i="9"/>
  <c r="T719" i="9"/>
  <c r="T747" i="9"/>
  <c r="T704" i="9"/>
  <c r="T696" i="9"/>
  <c r="T682" i="9"/>
  <c r="T617" i="9"/>
  <c r="T707" i="9"/>
  <c r="T648" i="9"/>
  <c r="T691" i="9"/>
  <c r="T600" i="9"/>
  <c r="T647" i="9"/>
  <c r="T655" i="9"/>
  <c r="T748" i="9"/>
  <c r="T627" i="9"/>
  <c r="T654" i="9"/>
  <c r="T671" i="9"/>
  <c r="T680" i="9"/>
  <c r="T660" i="9"/>
  <c r="T574" i="9"/>
  <c r="T646" i="9"/>
  <c r="T763" i="9"/>
  <c r="T737" i="9"/>
  <c r="T610" i="9"/>
  <c r="T697" i="9"/>
  <c r="T584" i="9"/>
  <c r="T618" i="9"/>
  <c r="T714" i="9"/>
  <c r="T571" i="9"/>
  <c r="T744" i="9"/>
  <c r="T623" i="9"/>
  <c r="T694" i="9"/>
  <c r="T722" i="9"/>
  <c r="T703" i="9"/>
  <c r="T673" i="9"/>
  <c r="T589" i="9"/>
  <c r="T591" i="9"/>
  <c r="T659" i="9"/>
  <c r="T718" i="9"/>
  <c r="T609" i="9"/>
  <c r="T657" i="9"/>
  <c r="T733" i="9"/>
  <c r="T630" i="9"/>
  <c r="T615" i="9"/>
  <c r="T626" i="9"/>
  <c r="T567" i="9"/>
  <c r="T563" i="9"/>
  <c r="T769" i="9"/>
  <c r="T656" i="9"/>
  <c r="T642" i="9"/>
  <c r="T712" i="9"/>
  <c r="T581" i="9"/>
  <c r="T586" i="9"/>
  <c r="T675" i="9"/>
  <c r="T678" i="9"/>
  <c r="T616" i="9"/>
  <c r="T765" i="9"/>
  <c r="T639" i="9"/>
  <c r="T607" i="9"/>
  <c r="T568" i="9"/>
  <c r="T717" i="9"/>
  <c r="T641" i="9"/>
  <c r="T587" i="9"/>
  <c r="T679" i="9"/>
  <c r="T625" i="9"/>
  <c r="T764" i="9"/>
  <c r="T640" i="9"/>
  <c r="T595" i="9"/>
  <c r="T638" i="9"/>
  <c r="T727" i="9"/>
  <c r="T756" i="9"/>
  <c r="T771" i="9"/>
  <c r="T770" i="9"/>
  <c r="T772" i="9"/>
  <c r="T775" i="9"/>
  <c r="T774" i="9"/>
  <c r="T773" i="9"/>
  <c r="T776" i="9"/>
  <c r="T777" i="9"/>
  <c r="T780" i="9"/>
  <c r="T778" i="9"/>
  <c r="T779" i="9"/>
  <c r="T781" i="9"/>
  <c r="T786" i="9"/>
  <c r="T782" i="9"/>
  <c r="T783" i="9"/>
  <c r="T784" i="9"/>
  <c r="T785" i="9"/>
  <c r="T790" i="9"/>
  <c r="T788" i="9"/>
  <c r="T787" i="9"/>
  <c r="T789" i="9"/>
  <c r="T792" i="9"/>
  <c r="T791" i="9"/>
  <c r="T794" i="9"/>
  <c r="T793" i="9"/>
  <c r="T795" i="9"/>
  <c r="T796" i="9"/>
  <c r="T797" i="9"/>
  <c r="T798" i="9"/>
  <c r="T799" i="9"/>
  <c r="T800" i="9"/>
  <c r="T803" i="9"/>
  <c r="T801" i="9"/>
  <c r="T802" i="9"/>
  <c r="T805" i="9"/>
  <c r="T804" i="9"/>
  <c r="T806" i="9"/>
  <c r="T807" i="9"/>
  <c r="T808" i="9"/>
  <c r="T809" i="9"/>
  <c r="T810" i="9"/>
  <c r="T811" i="9"/>
  <c r="T812" i="9"/>
  <c r="T895" i="9"/>
  <c r="T813" i="9"/>
  <c r="T814" i="9"/>
  <c r="T815" i="9"/>
  <c r="T824" i="9"/>
  <c r="T817" i="9"/>
  <c r="T816" i="9"/>
  <c r="T848" i="9"/>
  <c r="T851" i="9"/>
  <c r="T880" i="9"/>
  <c r="T841" i="9"/>
  <c r="T843" i="9"/>
  <c r="T832" i="9"/>
  <c r="T869" i="9"/>
  <c r="T879" i="9"/>
  <c r="T857" i="9"/>
  <c r="T867" i="9"/>
  <c r="T849" i="9"/>
  <c r="T877" i="9"/>
  <c r="T821" i="9"/>
  <c r="T834" i="9"/>
  <c r="T838" i="9"/>
  <c r="T855" i="9"/>
  <c r="T883" i="9"/>
  <c r="T874" i="9"/>
  <c r="T894" i="9"/>
  <c r="T870" i="9"/>
  <c r="T859" i="9"/>
  <c r="T864" i="9"/>
  <c r="T844" i="9"/>
  <c r="T889" i="9"/>
  <c r="T862" i="9"/>
  <c r="T860" i="9"/>
  <c r="T829" i="9"/>
  <c r="T878" i="9"/>
  <c r="T866" i="9"/>
  <c r="T868" i="9"/>
  <c r="T837" i="9"/>
  <c r="T833" i="9"/>
  <c r="T884" i="9"/>
  <c r="T861" i="9"/>
  <c r="T856" i="9"/>
  <c r="T822" i="9"/>
  <c r="T888" i="9"/>
  <c r="T826" i="9"/>
  <c r="T875" i="9"/>
  <c r="T850" i="9"/>
  <c r="T890" i="9"/>
  <c r="T893" i="9"/>
  <c r="T872" i="9"/>
  <c r="T828" i="9"/>
  <c r="T882" i="9"/>
  <c r="T818" i="9"/>
  <c r="T892" i="9"/>
  <c r="T840" i="9"/>
  <c r="T887" i="9"/>
  <c r="T853" i="9"/>
  <c r="T886" i="9"/>
  <c r="T830" i="9"/>
  <c r="T876" i="9"/>
  <c r="T852" i="9"/>
  <c r="T858" i="9"/>
  <c r="T846" i="9"/>
  <c r="T839" i="9"/>
  <c r="T845" i="9"/>
  <c r="T854" i="9"/>
  <c r="T825" i="9"/>
  <c r="T836" i="9"/>
  <c r="T881" i="9"/>
  <c r="T873" i="9"/>
  <c r="T819" i="9"/>
  <c r="T885" i="9"/>
  <c r="T896" i="9"/>
  <c r="T865" i="9"/>
  <c r="T842" i="9"/>
  <c r="T891" i="9"/>
  <c r="T897" i="9"/>
  <c r="T827" i="9"/>
  <c r="T831" i="9"/>
  <c r="T871" i="9"/>
  <c r="T863" i="9"/>
  <c r="T820" i="9"/>
  <c r="T823" i="9"/>
  <c r="T847" i="9"/>
  <c r="T835" i="9"/>
  <c r="T900" i="9"/>
  <c r="T898" i="9"/>
  <c r="T899" i="9"/>
  <c r="T901" i="9"/>
  <c r="T902" i="9"/>
  <c r="T903" i="9"/>
  <c r="T904" i="9"/>
  <c r="T906" i="9"/>
  <c r="T905" i="9"/>
  <c r="T907" i="9"/>
  <c r="T911" i="9"/>
  <c r="T908" i="9"/>
  <c r="T909" i="9"/>
  <c r="T910" i="9"/>
  <c r="T913" i="9"/>
  <c r="T912" i="9"/>
  <c r="T914" i="9"/>
  <c r="T916" i="9"/>
  <c r="T917" i="9"/>
  <c r="T915" i="9"/>
  <c r="T918" i="9"/>
  <c r="T919" i="9"/>
  <c r="T920" i="9"/>
  <c r="T921" i="9"/>
  <c r="T922" i="9"/>
  <c r="T924" i="9"/>
  <c r="T923" i="9"/>
  <c r="T926" i="9"/>
  <c r="T925" i="9"/>
  <c r="T927" i="9"/>
  <c r="T929" i="9"/>
  <c r="T928" i="9"/>
  <c r="T931" i="9"/>
  <c r="T930" i="9"/>
  <c r="T933" i="9"/>
  <c r="T932" i="9"/>
  <c r="T952" i="9"/>
  <c r="T959" i="9"/>
  <c r="T957" i="9"/>
  <c r="T936" i="9"/>
  <c r="T944" i="9"/>
  <c r="T934" i="9"/>
  <c r="T935" i="9"/>
  <c r="T950" i="9"/>
  <c r="T943" i="9"/>
  <c r="T954" i="9"/>
  <c r="T953" i="9"/>
  <c r="T951" i="9"/>
  <c r="T939" i="9"/>
  <c r="T946" i="9"/>
  <c r="T956" i="9"/>
  <c r="T941" i="9"/>
  <c r="T947" i="9"/>
  <c r="T949" i="9"/>
  <c r="T945" i="9"/>
  <c r="T955" i="9"/>
  <c r="T958" i="9"/>
  <c r="T960" i="9"/>
  <c r="T940" i="9"/>
  <c r="T961" i="9"/>
  <c r="T948" i="9"/>
  <c r="T937" i="9"/>
  <c r="T942" i="9"/>
  <c r="T965" i="9"/>
  <c r="T938" i="9"/>
  <c r="T963" i="9"/>
  <c r="T962" i="9"/>
  <c r="T964" i="9"/>
  <c r="T966" i="9"/>
  <c r="T968" i="9"/>
  <c r="T971" i="9"/>
  <c r="T967" i="9"/>
  <c r="T972" i="9"/>
  <c r="T969" i="9"/>
  <c r="T970" i="9"/>
  <c r="T975" i="9"/>
  <c r="T973" i="9"/>
  <c r="T974" i="9"/>
  <c r="T977" i="9"/>
  <c r="T976" i="9"/>
  <c r="T978" i="9"/>
  <c r="T979" i="9"/>
  <c r="T981" i="9"/>
  <c r="T980" i="9"/>
  <c r="T984" i="9"/>
  <c r="T983" i="9"/>
  <c r="T982" i="9"/>
  <c r="T985" i="9"/>
  <c r="T986" i="9"/>
  <c r="T990" i="9"/>
  <c r="T987" i="9"/>
  <c r="T988" i="9"/>
  <c r="R999" i="9"/>
  <c r="R993" i="9"/>
  <c r="T989" i="9"/>
  <c r="T991" i="9"/>
  <c r="T993" i="9"/>
  <c r="T995" i="9"/>
  <c r="R998" i="9"/>
  <c r="T997" i="9"/>
  <c r="T999" i="9"/>
  <c r="R996" i="9"/>
  <c r="T1001" i="9"/>
  <c r="T4" i="9"/>
  <c r="T8" i="9"/>
  <c r="T22" i="9"/>
  <c r="T23" i="9"/>
  <c r="T5" i="9"/>
  <c r="T3" i="9"/>
  <c r="T13" i="9"/>
  <c r="T10" i="9"/>
  <c r="T19" i="9"/>
  <c r="T25" i="9"/>
  <c r="T17" i="9"/>
  <c r="T21" i="9"/>
  <c r="AB11" i="9"/>
  <c r="AC11" i="9" s="1"/>
  <c r="T9" i="9"/>
  <c r="T31" i="9"/>
  <c r="T39" i="9"/>
  <c r="T33" i="9"/>
  <c r="T15" i="9"/>
  <c r="T36" i="9"/>
  <c r="T38" i="9"/>
  <c r="T2" i="9"/>
  <c r="T11" i="9"/>
  <c r="T46" i="9"/>
  <c r="T14" i="9"/>
  <c r="T24" i="9"/>
  <c r="T20" i="9"/>
  <c r="T43" i="9"/>
  <c r="T28" i="9"/>
  <c r="T41" i="9"/>
  <c r="T35" i="9"/>
  <c r="T30" i="9"/>
  <c r="T12" i="9"/>
  <c r="T27" i="9"/>
  <c r="T7" i="9"/>
  <c r="T40" i="9"/>
  <c r="T45" i="9"/>
  <c r="T37" i="9"/>
  <c r="T42" i="9"/>
  <c r="T16" i="9"/>
  <c r="T29" i="9"/>
  <c r="T18" i="9"/>
  <c r="T34" i="9"/>
  <c r="T6" i="9"/>
  <c r="T44" i="9"/>
  <c r="T26" i="9"/>
  <c r="T32" i="9"/>
  <c r="T47" i="9"/>
  <c r="T48" i="9"/>
  <c r="AB8" i="9"/>
  <c r="AC8" i="9" s="1"/>
  <c r="R1001" i="9"/>
  <c r="R5" i="9"/>
  <c r="R21" i="9"/>
  <c r="R28" i="9"/>
  <c r="R41" i="9"/>
  <c r="R22" i="9"/>
  <c r="R17" i="9"/>
  <c r="R11" i="9"/>
  <c r="R43" i="9"/>
  <c r="R39" i="9"/>
  <c r="R26" i="9"/>
  <c r="R38" i="9"/>
  <c r="R36" i="9"/>
  <c r="R31" i="9"/>
  <c r="R8" i="9"/>
  <c r="R46" i="9"/>
  <c r="R18" i="9"/>
  <c r="R3" i="9"/>
  <c r="R24" i="9"/>
  <c r="R48" i="9"/>
  <c r="R29" i="9"/>
  <c r="R13" i="9"/>
  <c r="R19" i="9"/>
  <c r="R23" i="9"/>
  <c r="R35" i="9"/>
  <c r="R25" i="9"/>
  <c r="R33" i="9"/>
  <c r="R10" i="9"/>
  <c r="R40" i="9"/>
  <c r="R12" i="9"/>
  <c r="R9" i="9"/>
  <c r="R42" i="9"/>
  <c r="R45" i="9"/>
  <c r="R44" i="9"/>
  <c r="R15" i="9"/>
  <c r="R16" i="9"/>
  <c r="R47" i="9"/>
  <c r="R7" i="9"/>
  <c r="R20" i="9"/>
  <c r="R27" i="9"/>
  <c r="R14" i="9"/>
  <c r="R4" i="9"/>
  <c r="R6" i="9"/>
  <c r="R32" i="9"/>
  <c r="R34" i="9"/>
  <c r="R30" i="9"/>
  <c r="R37" i="9"/>
  <c r="R2" i="9"/>
  <c r="AB9" i="9"/>
  <c r="AB10" i="9" l="1"/>
  <c r="AC10" i="9" s="1"/>
  <c r="AB12" i="9"/>
  <c r="AC12" i="9" s="1"/>
  <c r="AB50" i="9"/>
  <c r="AC9" i="9"/>
  <c r="AC50" i="9" s="1"/>
</calcChain>
</file>

<file path=xl/comments1.xml><?xml version="1.0" encoding="utf-8"?>
<comments xmlns="http://schemas.openxmlformats.org/spreadsheetml/2006/main">
  <authors>
    <author>comshin</author>
  </authors>
  <commentList>
    <comment ref="J1" authorId="0" shapeId="0">
      <text>
        <r>
          <rPr>
            <sz val="24"/>
            <color indexed="81"/>
            <rFont val="돋움"/>
            <family val="3"/>
            <charset val="129"/>
          </rPr>
          <t>절점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좌표를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복사</t>
        </r>
        <r>
          <rPr>
            <sz val="24"/>
            <color indexed="81"/>
            <rFont val="Tahoma"/>
            <family val="2"/>
          </rPr>
          <t>/</t>
        </r>
        <r>
          <rPr>
            <sz val="24"/>
            <color indexed="81"/>
            <rFont val="돋움"/>
            <family val="3"/>
            <charset val="129"/>
          </rPr>
          <t>붙여넣기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하시오</t>
        </r>
        <r>
          <rPr>
            <sz val="24"/>
            <color indexed="81"/>
            <rFont val="Tahoma"/>
            <family val="2"/>
          </rPr>
          <t xml:space="preserve"> (1000</t>
        </r>
        <r>
          <rPr>
            <sz val="24"/>
            <color indexed="81"/>
            <rFont val="돋움"/>
            <family val="3"/>
            <charset val="129"/>
          </rPr>
          <t>개</t>
        </r>
        <r>
          <rPr>
            <sz val="24"/>
            <color indexed="81"/>
            <rFont val="Tahoma"/>
            <family val="2"/>
          </rPr>
          <t xml:space="preserve"> </t>
        </r>
        <r>
          <rPr>
            <sz val="24"/>
            <color indexed="81"/>
            <rFont val="돋움"/>
            <family val="3"/>
            <charset val="129"/>
          </rPr>
          <t>기준</t>
        </r>
        <r>
          <rPr>
            <sz val="24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<sst xmlns="http://schemas.openxmlformats.org/spreadsheetml/2006/main" count="52" uniqueCount="50">
  <si>
    <t>No</t>
    <phoneticPr fontId="2" type="noConversion"/>
  </si>
  <si>
    <t>R</t>
    <phoneticPr fontId="2" type="noConversion"/>
  </si>
  <si>
    <t>θ</t>
    <phoneticPr fontId="2" type="noConversion"/>
  </si>
  <si>
    <t>Z</t>
    <phoneticPr fontId="2" type="noConversion"/>
  </si>
  <si>
    <t>Turn</t>
    <phoneticPr fontId="2" type="noConversion"/>
  </si>
  <si>
    <t>Pitch</t>
    <phoneticPr fontId="2" type="noConversion"/>
  </si>
  <si>
    <t>Height</t>
    <phoneticPr fontId="2" type="noConversion"/>
  </si>
  <si>
    <t>Radius</t>
    <phoneticPr fontId="2" type="noConversion"/>
  </si>
  <si>
    <t>Diameter (Vectorial)</t>
    <phoneticPr fontId="2" type="noConversion"/>
  </si>
  <si>
    <t>Diameter (Perpendicular)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</si>
  <si>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</si>
  <si>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</si>
  <si>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</si>
  <si>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주요 치수</t>
    <phoneticPr fontId="2" type="noConversion"/>
  </si>
  <si>
    <t>Total no. coil turn</t>
    <phoneticPr fontId="2" type="noConversion"/>
  </si>
  <si>
    <t>번호</t>
    <phoneticPr fontId="2" type="noConversion"/>
  </si>
  <si>
    <t>Height (Max)</t>
    <phoneticPr fontId="2" type="noConversion"/>
  </si>
  <si>
    <t>Pitch (Max)</t>
    <phoneticPr fontId="2" type="noConversion"/>
  </si>
  <si>
    <t>Dia-per (Max)</t>
    <phoneticPr fontId="2" type="noConversion"/>
  </si>
  <si>
    <t>Dia-vec (Max)</t>
    <phoneticPr fontId="2" type="noConversion"/>
  </si>
  <si>
    <t>Center Radius (Max)</t>
    <phoneticPr fontId="2" type="noConversion"/>
  </si>
  <si>
    <t>Pitch (Min)</t>
    <phoneticPr fontId="2" type="noConversion"/>
  </si>
  <si>
    <t>Dia-per (Min)</t>
    <phoneticPr fontId="2" type="noConversion"/>
  </si>
  <si>
    <t>Div-vec (Min)</t>
    <phoneticPr fontId="2" type="noConversion"/>
  </si>
  <si>
    <t>Center Radius (Min)</t>
    <phoneticPr fontId="2" type="noConversion"/>
  </si>
  <si>
    <t>Note</t>
    <phoneticPr fontId="2" type="noConversion"/>
  </si>
  <si>
    <t>min_Pitch</t>
    <phoneticPr fontId="2" type="noConversion"/>
  </si>
  <si>
    <t>&lt; 형상 표현 결과 &gt;</t>
    <phoneticPr fontId="2" type="noConversion"/>
  </si>
  <si>
    <t>&lt; Dim's Check &gt;</t>
    <phoneticPr fontId="2" type="noConversion"/>
  </si>
  <si>
    <t>중심부 최대 외경</t>
    <phoneticPr fontId="2" type="noConversion"/>
  </si>
  <si>
    <t>Upper 기준</t>
    <phoneticPr fontId="2" type="noConversion"/>
  </si>
  <si>
    <t>좌권부 내경(상단)</t>
    <phoneticPr fontId="2" type="noConversion"/>
  </si>
  <si>
    <t>좌권부 외경(상단)</t>
    <phoneticPr fontId="2" type="noConversion"/>
  </si>
  <si>
    <t>선경</t>
    <phoneticPr fontId="2" type="noConversion"/>
  </si>
  <si>
    <t>상단 오픈갭(내측)</t>
    <phoneticPr fontId="2" type="noConversion"/>
  </si>
  <si>
    <t>상단 오픈갭(외측)</t>
    <phoneticPr fontId="2" type="noConversion"/>
  </si>
  <si>
    <t>자유고</t>
    <phoneticPr fontId="2" type="noConversion"/>
  </si>
  <si>
    <t>Height (Total turn)</t>
    <phoneticPr fontId="2" type="noConversion"/>
  </si>
  <si>
    <t>하단 오픈갭(내측)</t>
    <phoneticPr fontId="2" type="noConversion"/>
  </si>
  <si>
    <t>좌권부 내경(하단)</t>
    <phoneticPr fontId="2" type="noConversion"/>
  </si>
  <si>
    <t>좌권부 외경(하단)</t>
    <phoneticPr fontId="2" type="noConversion"/>
  </si>
  <si>
    <t>측정 항목</t>
    <phoneticPr fontId="2" type="noConversion"/>
  </si>
  <si>
    <t>측정값</t>
    <phoneticPr fontId="2" type="noConversion"/>
  </si>
  <si>
    <t>측정 권수</t>
    <phoneticPr fontId="2" type="noConversion"/>
  </si>
  <si>
    <t>upr</t>
    <phoneticPr fontId="2" type="noConversion"/>
  </si>
  <si>
    <t>lwr</t>
    <phoneticPr fontId="2" type="noConversion"/>
  </si>
  <si>
    <t>CTR node 생성 시 node number</t>
    <phoneticPr fontId="2" type="noConversion"/>
  </si>
  <si>
    <t>R_target</t>
    <phoneticPr fontId="2" type="noConversion"/>
  </si>
  <si>
    <t>θ_target</t>
    <phoneticPr fontId="2" type="noConversion"/>
  </si>
  <si>
    <t>Z_target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</si>
</sst>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0.0_ "/>
    <numFmt numFmtId="177" formatCode="0.00_ "/>
    <numFmt numFmtId="178" formatCode="#,##0_ "/>
    <numFmt numFmtId="179" formatCode="0.00_);[Red]\(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24"/>
      <color indexed="81"/>
      <name val="Tahoma"/>
      <family val="2"/>
    </font>
    <font>
      <sz val="24"/>
      <color indexed="81"/>
      <name val="돋움"/>
      <family val="3"/>
      <charset val="129"/>
    </font>
    <font>
      <b/>
      <sz val="11"/>
      <color rgb="FF333333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1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1" fontId="0" fillId="0" borderId="0" xfId="0" applyNumberFormat="1" applyAlignment="1">
      <alignment horizontal="left"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  <xf numFmtId="0" fontId="0" fillId="0" borderId="1" xfId="0" applyFill="1" applyBorder="1">
      <alignment vertical="center"/>
    </xf>
    <xf numFmtId="179" fontId="0" fillId="0" borderId="1" xfId="0" applyNumberFormat="1" applyBorder="1">
      <alignment vertical="center"/>
    </xf>
    <xf numFmtId="178" fontId="0" fillId="0" borderId="1" xfId="1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'zero-1'!$O$2:$O$1001</c:f>
              <c:numCache>
                <c:formatCode>General</c:formatCode>
                <c:ptCount val="1000"/>
                <c:pt idx="0">
                  <c:v>45.753553864170001</c:v>
                </c:pt>
                <c:pt idx="1">
                  <c:v>45.838905249287002</c:v>
                </c:pt>
                <c:pt idx="2">
                  <c:v>45.795242138859997</c:v>
                </c:pt>
                <c:pt idx="3">
                  <c:v>45.891292204053002</c:v>
                </c:pt>
                <c:pt idx="4">
                  <c:v>45.959827281789998</c:v>
                </c:pt>
                <c:pt idx="5">
                  <c:v>46.038755851734003</c:v>
                </c:pt>
                <c:pt idx="6">
                  <c:v>46.116482007534003</c:v>
                </c:pt>
                <c:pt idx="7">
                  <c:v>46.207536226865997</c:v>
                </c:pt>
                <c:pt idx="8">
                  <c:v>46.340690266701003</c:v>
                </c:pt>
                <c:pt idx="9">
                  <c:v>46.452742668863003</c:v>
                </c:pt>
                <c:pt idx="10">
                  <c:v>46.492649239077998</c:v>
                </c:pt>
                <c:pt idx="11">
                  <c:v>46.550209397270002</c:v>
                </c:pt>
                <c:pt idx="12">
                  <c:v>46.559827534809003</c:v>
                </c:pt>
                <c:pt idx="13">
                  <c:v>46.580908711188997</c:v>
                </c:pt>
                <c:pt idx="14">
                  <c:v>46.60324385781</c:v>
                </c:pt>
                <c:pt idx="15">
                  <c:v>46.639660270180997</c:v>
                </c:pt>
                <c:pt idx="16">
                  <c:v>46.663458080821002</c:v>
                </c:pt>
                <c:pt idx="17">
                  <c:v>46.656818891919002</c:v>
                </c:pt>
                <c:pt idx="18">
                  <c:v>46.643156144888998</c:v>
                </c:pt>
                <c:pt idx="19">
                  <c:v>46.638224382600001</c:v>
                </c:pt>
                <c:pt idx="20">
                  <c:v>46.610969445591998</c:v>
                </c:pt>
                <c:pt idx="21">
                  <c:v>46.592210801001997</c:v>
                </c:pt>
                <c:pt idx="22">
                  <c:v>46.566227773122002</c:v>
                </c:pt>
                <c:pt idx="23">
                  <c:v>46.540573549613001</c:v>
                </c:pt>
                <c:pt idx="24">
                  <c:v>46.504545620458003</c:v>
                </c:pt>
                <c:pt idx="25">
                  <c:v>46.473150523386003</c:v>
                </c:pt>
                <c:pt idx="26">
                  <c:v>46.435039551434002</c:v>
                </c:pt>
                <c:pt idx="27">
                  <c:v>46.392227477970998</c:v>
                </c:pt>
                <c:pt idx="28">
                  <c:v>46.357876194455002</c:v>
                </c:pt>
                <c:pt idx="29">
                  <c:v>46.315709205666003</c:v>
                </c:pt>
                <c:pt idx="30">
                  <c:v>46.284514052474997</c:v>
                </c:pt>
                <c:pt idx="31">
                  <c:v>46.248967093856997</c:v>
                </c:pt>
                <c:pt idx="32">
                  <c:v>46.211245198535998</c:v>
                </c:pt>
                <c:pt idx="33">
                  <c:v>46.191580355219998</c:v>
                </c:pt>
                <c:pt idx="34">
                  <c:v>46.141818281386001</c:v>
                </c:pt>
                <c:pt idx="35">
                  <c:v>46.138058854564001</c:v>
                </c:pt>
                <c:pt idx="36">
                  <c:v>46.139752092285001</c:v>
                </c:pt>
                <c:pt idx="37">
                  <c:v>46.126838437007002</c:v>
                </c:pt>
                <c:pt idx="38">
                  <c:v>46.107493984557003</c:v>
                </c:pt>
                <c:pt idx="39">
                  <c:v>46.089304675064</c:v>
                </c:pt>
                <c:pt idx="40">
                  <c:v>46.105862721968002</c:v>
                </c:pt>
                <c:pt idx="41">
                  <c:v>46.105370671473999</c:v>
                </c:pt>
                <c:pt idx="42">
                  <c:v>46.095235131256999</c:v>
                </c:pt>
                <c:pt idx="43">
                  <c:v>46.133621205175999</c:v>
                </c:pt>
                <c:pt idx="44">
                  <c:v>46.17239925514</c:v>
                </c:pt>
                <c:pt idx="45">
                  <c:v>46.226266810405001</c:v>
                </c:pt>
                <c:pt idx="46">
                  <c:v>46.287331953844998</c:v>
                </c:pt>
                <c:pt idx="47">
                  <c:v>46.323450074089003</c:v>
                </c:pt>
                <c:pt idx="48">
                  <c:v>46.372313236701999</c:v>
                </c:pt>
                <c:pt idx="49">
                  <c:v>46.434417424774999</c:v>
                </c:pt>
                <c:pt idx="50">
                  <c:v>46.499590769840999</c:v>
                </c:pt>
                <c:pt idx="51">
                  <c:v>46.603920229408999</c:v>
                </c:pt>
                <c:pt idx="52">
                  <c:v>46.665856047422999</c:v>
                </c:pt>
                <c:pt idx="53">
                  <c:v>46.714839725944003</c:v>
                </c:pt>
                <c:pt idx="54">
                  <c:v>46.796749154179999</c:v>
                </c:pt>
                <c:pt idx="55">
                  <c:v>46.870378255645001</c:v>
                </c:pt>
                <c:pt idx="56">
                  <c:v>46.939318578711998</c:v>
                </c:pt>
                <c:pt idx="57">
                  <c:v>46.982246977351998</c:v>
                </c:pt>
                <c:pt idx="58">
                  <c:v>47.033597694774997</c:v>
                </c:pt>
                <c:pt idx="59">
                  <c:v>47.080202865901001</c:v>
                </c:pt>
                <c:pt idx="60">
                  <c:v>47.123512554276999</c:v>
                </c:pt>
                <c:pt idx="61">
                  <c:v>47.157209592519003</c:v>
                </c:pt>
                <c:pt idx="62">
                  <c:v>47.194959001615999</c:v>
                </c:pt>
                <c:pt idx="63">
                  <c:v>47.223824457564</c:v>
                </c:pt>
                <c:pt idx="64">
                  <c:v>47.244303986399999</c:v>
                </c:pt>
                <c:pt idx="65">
                  <c:v>47.262591782266</c:v>
                </c:pt>
                <c:pt idx="66">
                  <c:v>47.282601762808</c:v>
                </c:pt>
                <c:pt idx="67">
                  <c:v>47.298213600826003</c:v>
                </c:pt>
                <c:pt idx="68">
                  <c:v>47.303237637382999</c:v>
                </c:pt>
                <c:pt idx="69">
                  <c:v>47.298874525172003</c:v>
                </c:pt>
                <c:pt idx="70">
                  <c:v>47.284196769128997</c:v>
                </c:pt>
                <c:pt idx="71">
                  <c:v>47.274606191658997</c:v>
                </c:pt>
                <c:pt idx="72">
                  <c:v>47.255140339808001</c:v>
                </c:pt>
                <c:pt idx="73">
                  <c:v>47.238172746159997</c:v>
                </c:pt>
                <c:pt idx="74">
                  <c:v>47.230203481060997</c:v>
                </c:pt>
                <c:pt idx="75">
                  <c:v>47.224770520478003</c:v>
                </c:pt>
                <c:pt idx="76">
                  <c:v>47.222411320832997</c:v>
                </c:pt>
                <c:pt idx="77">
                  <c:v>47.221263966758002</c:v>
                </c:pt>
                <c:pt idx="78">
                  <c:v>47.235514593052997</c:v>
                </c:pt>
                <c:pt idx="79">
                  <c:v>47.265207805044</c:v>
                </c:pt>
                <c:pt idx="80">
                  <c:v>47.285935259653002</c:v>
                </c:pt>
                <c:pt idx="81">
                  <c:v>47.312357781370999</c:v>
                </c:pt>
                <c:pt idx="82">
                  <c:v>47.335513525663004</c:v>
                </c:pt>
                <c:pt idx="83">
                  <c:v>47.375371089140003</c:v>
                </c:pt>
                <c:pt idx="84">
                  <c:v>47.430162025925</c:v>
                </c:pt>
                <c:pt idx="85">
                  <c:v>47.483258568914003</c:v>
                </c:pt>
                <c:pt idx="86">
                  <c:v>47.517482432884002</c:v>
                </c:pt>
                <c:pt idx="87">
                  <c:v>47.565138826515998</c:v>
                </c:pt>
                <c:pt idx="88">
                  <c:v>47.608928173987003</c:v>
                </c:pt>
                <c:pt idx="89">
                  <c:v>47.693462906724001</c:v>
                </c:pt>
                <c:pt idx="90">
                  <c:v>47.741088385643998</c:v>
                </c:pt>
                <c:pt idx="91">
                  <c:v>47.798154477962001</c:v>
                </c:pt>
                <c:pt idx="92">
                  <c:v>47.861316413833002</c:v>
                </c:pt>
                <c:pt idx="93">
                  <c:v>47.943653253868</c:v>
                </c:pt>
                <c:pt idx="94">
                  <c:v>48.019912010805001</c:v>
                </c:pt>
                <c:pt idx="95">
                  <c:v>48.044711204111998</c:v>
                </c:pt>
                <c:pt idx="96">
                  <c:v>48.122965171780997</c:v>
                </c:pt>
                <c:pt idx="97">
                  <c:v>48.207827719000001</c:v>
                </c:pt>
                <c:pt idx="98">
                  <c:v>48.256766182551999</c:v>
                </c:pt>
                <c:pt idx="99">
                  <c:v>48.331581313464</c:v>
                </c:pt>
                <c:pt idx="100">
                  <c:v>48.413062218275002</c:v>
                </c:pt>
                <c:pt idx="101">
                  <c:v>48.489285348384001</c:v>
                </c:pt>
                <c:pt idx="102">
                  <c:v>48.591000325652999</c:v>
                </c:pt>
                <c:pt idx="103">
                  <c:v>48.681916493335002</c:v>
                </c:pt>
                <c:pt idx="104">
                  <c:v>48.759356906529</c:v>
                </c:pt>
                <c:pt idx="105">
                  <c:v>48.824776578616998</c:v>
                </c:pt>
                <c:pt idx="106">
                  <c:v>48.895436867792</c:v>
                </c:pt>
                <c:pt idx="107">
                  <c:v>48.967477943894998</c:v>
                </c:pt>
                <c:pt idx="108">
                  <c:v>49.021422906532003</c:v>
                </c:pt>
                <c:pt idx="109">
                  <c:v>49.065157947812999</c:v>
                </c:pt>
                <c:pt idx="110">
                  <c:v>49.111556466536001</c:v>
                </c:pt>
                <c:pt idx="111">
                  <c:v>49.145250697103997</c:v>
                </c:pt>
                <c:pt idx="112">
                  <c:v>49.164964169995997</c:v>
                </c:pt>
                <c:pt idx="113">
                  <c:v>49.177268430894003</c:v>
                </c:pt>
                <c:pt idx="114">
                  <c:v>49.189703406249002</c:v>
                </c:pt>
                <c:pt idx="115">
                  <c:v>49.186148541732003</c:v>
                </c:pt>
                <c:pt idx="116">
                  <c:v>49.190177396868997</c:v>
                </c:pt>
                <c:pt idx="117">
                  <c:v>49.199446013158003</c:v>
                </c:pt>
                <c:pt idx="118">
                  <c:v>49.210575349305998</c:v>
                </c:pt>
                <c:pt idx="119">
                  <c:v>49.214565177828</c:v>
                </c:pt>
                <c:pt idx="120">
                  <c:v>49.216865022725003</c:v>
                </c:pt>
                <c:pt idx="121">
                  <c:v>49.237834252669998</c:v>
                </c:pt>
                <c:pt idx="122">
                  <c:v>49.280330498992001</c:v>
                </c:pt>
                <c:pt idx="123">
                  <c:v>49.314825219028002</c:v>
                </c:pt>
                <c:pt idx="124">
                  <c:v>49.346175389423003</c:v>
                </c:pt>
                <c:pt idx="125">
                  <c:v>49.387687081990002</c:v>
                </c:pt>
                <c:pt idx="126">
                  <c:v>49.442746532468</c:v>
                </c:pt>
                <c:pt idx="127">
                  <c:v>49.496587099654</c:v>
                </c:pt>
                <c:pt idx="128">
                  <c:v>49.567221885348999</c:v>
                </c:pt>
                <c:pt idx="129">
                  <c:v>49.645395956209001</c:v>
                </c:pt>
                <c:pt idx="130">
                  <c:v>49.737988453793001</c:v>
                </c:pt>
                <c:pt idx="131">
                  <c:v>49.833433596672002</c:v>
                </c:pt>
                <c:pt idx="132">
                  <c:v>49.917534171863998</c:v>
                </c:pt>
                <c:pt idx="133">
                  <c:v>49.999031254462999</c:v>
                </c:pt>
                <c:pt idx="134">
                  <c:v>50.099660484133999</c:v>
                </c:pt>
                <c:pt idx="135">
                  <c:v>50.232353199750001</c:v>
                </c:pt>
                <c:pt idx="136">
                  <c:v>50.381455184776001</c:v>
                </c:pt>
                <c:pt idx="137">
                  <c:v>50.503965587080003</c:v>
                </c:pt>
                <c:pt idx="138">
                  <c:v>50.635147417147998</c:v>
                </c:pt>
                <c:pt idx="139">
                  <c:v>50.804478351236</c:v>
                </c:pt>
                <c:pt idx="140">
                  <c:v>50.919429348384</c:v>
                </c:pt>
                <c:pt idx="141">
                  <c:v>51.046019183261002</c:v>
                </c:pt>
                <c:pt idx="142">
                  <c:v>51.158171009652001</c:v>
                </c:pt>
                <c:pt idx="143">
                  <c:v>51.263564755769998</c:v>
                </c:pt>
                <c:pt idx="144">
                  <c:v>51.401912857253002</c:v>
                </c:pt>
                <c:pt idx="145">
                  <c:v>51.481363166983002</c:v>
                </c:pt>
                <c:pt idx="146">
                  <c:v>51.614882815077998</c:v>
                </c:pt>
                <c:pt idx="147">
                  <c:v>51.762442667602997</c:v>
                </c:pt>
                <c:pt idx="148">
                  <c:v>51.920070482532999</c:v>
                </c:pt>
                <c:pt idx="149">
                  <c:v>52.039401228453997</c:v>
                </c:pt>
                <c:pt idx="150">
                  <c:v>52.155149833872997</c:v>
                </c:pt>
                <c:pt idx="151">
                  <c:v>52.243625235464002</c:v>
                </c:pt>
                <c:pt idx="152">
                  <c:v>52.341495432883001</c:v>
                </c:pt>
                <c:pt idx="153">
                  <c:v>52.429979834900003</c:v>
                </c:pt>
                <c:pt idx="154">
                  <c:v>52.517198433754999</c:v>
                </c:pt>
                <c:pt idx="155">
                  <c:v>52.611338871344998</c:v>
                </c:pt>
                <c:pt idx="156">
                  <c:v>52.679148138085999</c:v>
                </c:pt>
                <c:pt idx="157">
                  <c:v>52.768219057233999</c:v>
                </c:pt>
                <c:pt idx="158">
                  <c:v>52.854137514523998</c:v>
                </c:pt>
                <c:pt idx="159">
                  <c:v>52.930692764832997</c:v>
                </c:pt>
                <c:pt idx="160">
                  <c:v>52.997305052361</c:v>
                </c:pt>
                <c:pt idx="161">
                  <c:v>53.059261117866001</c:v>
                </c:pt>
                <c:pt idx="162">
                  <c:v>53.118433127945998</c:v>
                </c:pt>
                <c:pt idx="163">
                  <c:v>53.166888829907997</c:v>
                </c:pt>
                <c:pt idx="164">
                  <c:v>53.214320167346997</c:v>
                </c:pt>
                <c:pt idx="165">
                  <c:v>53.243925341164001</c:v>
                </c:pt>
                <c:pt idx="166">
                  <c:v>53.267798638174</c:v>
                </c:pt>
                <c:pt idx="167">
                  <c:v>53.290906873860003</c:v>
                </c:pt>
                <c:pt idx="168">
                  <c:v>53.297548648595999</c:v>
                </c:pt>
                <c:pt idx="169">
                  <c:v>53.298170407523997</c:v>
                </c:pt>
                <c:pt idx="170">
                  <c:v>53.306654844126001</c:v>
                </c:pt>
                <c:pt idx="171">
                  <c:v>53.307144966317999</c:v>
                </c:pt>
                <c:pt idx="172">
                  <c:v>53.292125814076996</c:v>
                </c:pt>
                <c:pt idx="173">
                  <c:v>53.263641009262997</c:v>
                </c:pt>
                <c:pt idx="174">
                  <c:v>53.233931851348999</c:v>
                </c:pt>
                <c:pt idx="175">
                  <c:v>53.205212466599001</c:v>
                </c:pt>
                <c:pt idx="176">
                  <c:v>53.170795611296001</c:v>
                </c:pt>
                <c:pt idx="177">
                  <c:v>53.129682577651998</c:v>
                </c:pt>
                <c:pt idx="178">
                  <c:v>53.068543088909998</c:v>
                </c:pt>
                <c:pt idx="179">
                  <c:v>53.014380388260001</c:v>
                </c:pt>
                <c:pt idx="180">
                  <c:v>52.956054890478001</c:v>
                </c:pt>
                <c:pt idx="181">
                  <c:v>52.877846749581003</c:v>
                </c:pt>
                <c:pt idx="182">
                  <c:v>52.790645211071997</c:v>
                </c:pt>
                <c:pt idx="183">
                  <c:v>52.707371147338002</c:v>
                </c:pt>
                <c:pt idx="184">
                  <c:v>52.633493791230002</c:v>
                </c:pt>
                <c:pt idx="185">
                  <c:v>52.541001736181002</c:v>
                </c:pt>
                <c:pt idx="186">
                  <c:v>52.436379030364002</c:v>
                </c:pt>
                <c:pt idx="187">
                  <c:v>52.330928440436999</c:v>
                </c:pt>
                <c:pt idx="188">
                  <c:v>52.206605081246998</c:v>
                </c:pt>
                <c:pt idx="189">
                  <c:v>52.081976971761001</c:v>
                </c:pt>
                <c:pt idx="190">
                  <c:v>51.969563999732998</c:v>
                </c:pt>
                <c:pt idx="191">
                  <c:v>51.835082865593002</c:v>
                </c:pt>
                <c:pt idx="192">
                  <c:v>51.709193906633999</c:v>
                </c:pt>
                <c:pt idx="193">
                  <c:v>51.576084655629998</c:v>
                </c:pt>
                <c:pt idx="194">
                  <c:v>51.479493900371999</c:v>
                </c:pt>
                <c:pt idx="195">
                  <c:v>51.375163589963996</c:v>
                </c:pt>
                <c:pt idx="196">
                  <c:v>51.191096632421001</c:v>
                </c:pt>
                <c:pt idx="197">
                  <c:v>51.124702119646997</c:v>
                </c:pt>
                <c:pt idx="198">
                  <c:v>51.049044656954003</c:v>
                </c:pt>
                <c:pt idx="199">
                  <c:v>50.868692674839998</c:v>
                </c:pt>
                <c:pt idx="200">
                  <c:v>50.706848181302</c:v>
                </c:pt>
                <c:pt idx="201">
                  <c:v>50.580464840005</c:v>
                </c:pt>
                <c:pt idx="202">
                  <c:v>50.502223807175</c:v>
                </c:pt>
                <c:pt idx="203">
                  <c:v>50.408137410812003</c:v>
                </c:pt>
                <c:pt idx="204">
                  <c:v>50.255284698910998</c:v>
                </c:pt>
                <c:pt idx="205">
                  <c:v>50.135529635274999</c:v>
                </c:pt>
                <c:pt idx="206">
                  <c:v>50.031593265015999</c:v>
                </c:pt>
                <c:pt idx="207">
                  <c:v>49.922647321340001</c:v>
                </c:pt>
                <c:pt idx="208">
                  <c:v>49.823089142637997</c:v>
                </c:pt>
                <c:pt idx="209">
                  <c:v>49.734717021366002</c:v>
                </c:pt>
                <c:pt idx="210">
                  <c:v>49.631867050266003</c:v>
                </c:pt>
                <c:pt idx="211">
                  <c:v>49.547027258573003</c:v>
                </c:pt>
                <c:pt idx="212">
                  <c:v>49.457916934883997</c:v>
                </c:pt>
                <c:pt idx="213">
                  <c:v>49.380176128081999</c:v>
                </c:pt>
                <c:pt idx="214">
                  <c:v>49.313177489042999</c:v>
                </c:pt>
                <c:pt idx="215">
                  <c:v>49.261107852076002</c:v>
                </c:pt>
                <c:pt idx="216">
                  <c:v>49.216689252948001</c:v>
                </c:pt>
                <c:pt idx="217">
                  <c:v>49.16987894263</c:v>
                </c:pt>
                <c:pt idx="218">
                  <c:v>49.131097644394998</c:v>
                </c:pt>
                <c:pt idx="219">
                  <c:v>49.101196693348001</c:v>
                </c:pt>
                <c:pt idx="220">
                  <c:v>49.077886601133002</c:v>
                </c:pt>
                <c:pt idx="221">
                  <c:v>49.064050175458</c:v>
                </c:pt>
                <c:pt idx="222">
                  <c:v>49.047879522812003</c:v>
                </c:pt>
                <c:pt idx="223">
                  <c:v>49.050514968624</c:v>
                </c:pt>
                <c:pt idx="224">
                  <c:v>49.058451042865002</c:v>
                </c:pt>
                <c:pt idx="225">
                  <c:v>49.070983672905001</c:v>
                </c:pt>
                <c:pt idx="226">
                  <c:v>49.102972975246999</c:v>
                </c:pt>
                <c:pt idx="227">
                  <c:v>49.142261362147003</c:v>
                </c:pt>
                <c:pt idx="228">
                  <c:v>49.188480545456002</c:v>
                </c:pt>
                <c:pt idx="229">
                  <c:v>49.246169216558002</c:v>
                </c:pt>
                <c:pt idx="230">
                  <c:v>49.281201278722001</c:v>
                </c:pt>
                <c:pt idx="231">
                  <c:v>49.341079285928998</c:v>
                </c:pt>
                <c:pt idx="232">
                  <c:v>49.417918421098001</c:v>
                </c:pt>
                <c:pt idx="233">
                  <c:v>49.511108563519002</c:v>
                </c:pt>
                <c:pt idx="234">
                  <c:v>49.602919587644003</c:v>
                </c:pt>
                <c:pt idx="235">
                  <c:v>49.701415404411001</c:v>
                </c:pt>
                <c:pt idx="236">
                  <c:v>49.804843057749999</c:v>
                </c:pt>
                <c:pt idx="237">
                  <c:v>49.938415022949002</c:v>
                </c:pt>
                <c:pt idx="238">
                  <c:v>50.054835787824999</c:v>
                </c:pt>
                <c:pt idx="239">
                  <c:v>50.160624058869999</c:v>
                </c:pt>
                <c:pt idx="240">
                  <c:v>50.266516485945999</c:v>
                </c:pt>
                <c:pt idx="241">
                  <c:v>50.427165425104</c:v>
                </c:pt>
                <c:pt idx="242">
                  <c:v>50.580907000380002</c:v>
                </c:pt>
                <c:pt idx="243">
                  <c:v>50.706236694413001</c:v>
                </c:pt>
                <c:pt idx="244">
                  <c:v>50.849123409801003</c:v>
                </c:pt>
                <c:pt idx="245">
                  <c:v>50.959727286487997</c:v>
                </c:pt>
                <c:pt idx="246">
                  <c:v>51.050977454434999</c:v>
                </c:pt>
                <c:pt idx="247">
                  <c:v>51.152145619751003</c:v>
                </c:pt>
                <c:pt idx="248">
                  <c:v>51.224907605182999</c:v>
                </c:pt>
                <c:pt idx="249">
                  <c:v>51.328938000325998</c:v>
                </c:pt>
                <c:pt idx="250">
                  <c:v>51.495142974037002</c:v>
                </c:pt>
                <c:pt idx="251">
                  <c:v>51.715592860553002</c:v>
                </c:pt>
                <c:pt idx="252">
                  <c:v>51.866760104863999</c:v>
                </c:pt>
                <c:pt idx="253">
                  <c:v>52.039941923979001</c:v>
                </c:pt>
                <c:pt idx="254">
                  <c:v>52.167374621150003</c:v>
                </c:pt>
                <c:pt idx="255">
                  <c:v>52.271237994903998</c:v>
                </c:pt>
                <c:pt idx="256">
                  <c:v>52.394436955915999</c:v>
                </c:pt>
                <c:pt idx="257">
                  <c:v>52.514472260725</c:v>
                </c:pt>
                <c:pt idx="258">
                  <c:v>52.608372728478997</c:v>
                </c:pt>
                <c:pt idx="259">
                  <c:v>52.720236029002002</c:v>
                </c:pt>
                <c:pt idx="260">
                  <c:v>52.819580581407997</c:v>
                </c:pt>
                <c:pt idx="261">
                  <c:v>52.912169508387997</c:v>
                </c:pt>
                <c:pt idx="262">
                  <c:v>53.013150976288003</c:v>
                </c:pt>
                <c:pt idx="263">
                  <c:v>53.094619117568001</c:v>
                </c:pt>
                <c:pt idx="264">
                  <c:v>53.161191824269999</c:v>
                </c:pt>
                <c:pt idx="265">
                  <c:v>53.225240045085997</c:v>
                </c:pt>
                <c:pt idx="266">
                  <c:v>53.285136536882</c:v>
                </c:pt>
                <c:pt idx="267">
                  <c:v>53.338090368646</c:v>
                </c:pt>
                <c:pt idx="268">
                  <c:v>53.383740200715998</c:v>
                </c:pt>
                <c:pt idx="269">
                  <c:v>53.424958905178002</c:v>
                </c:pt>
                <c:pt idx="270">
                  <c:v>53.454516451479002</c:v>
                </c:pt>
                <c:pt idx="271">
                  <c:v>53.474582564839999</c:v>
                </c:pt>
                <c:pt idx="272">
                  <c:v>53.496213486216</c:v>
                </c:pt>
                <c:pt idx="273">
                  <c:v>53.514435822007997</c:v>
                </c:pt>
                <c:pt idx="274">
                  <c:v>53.522450579721998</c:v>
                </c:pt>
                <c:pt idx="275">
                  <c:v>53.508627108107</c:v>
                </c:pt>
                <c:pt idx="276">
                  <c:v>53.493625725961003</c:v>
                </c:pt>
                <c:pt idx="277">
                  <c:v>53.470331221476997</c:v>
                </c:pt>
                <c:pt idx="278">
                  <c:v>53.443080857757998</c:v>
                </c:pt>
                <c:pt idx="279">
                  <c:v>53.410944598623999</c:v>
                </c:pt>
                <c:pt idx="280">
                  <c:v>53.374169588754</c:v>
                </c:pt>
                <c:pt idx="281">
                  <c:v>53.304344936698001</c:v>
                </c:pt>
                <c:pt idx="282">
                  <c:v>53.237721309179001</c:v>
                </c:pt>
                <c:pt idx="283">
                  <c:v>53.177865358307002</c:v>
                </c:pt>
                <c:pt idx="284">
                  <c:v>53.120202233873997</c:v>
                </c:pt>
                <c:pt idx="285">
                  <c:v>53.036068157416999</c:v>
                </c:pt>
                <c:pt idx="286">
                  <c:v>52.941915187836997</c:v>
                </c:pt>
                <c:pt idx="287">
                  <c:v>52.849197317588001</c:v>
                </c:pt>
                <c:pt idx="288">
                  <c:v>52.749431461595996</c:v>
                </c:pt>
                <c:pt idx="289">
                  <c:v>52.659902034856998</c:v>
                </c:pt>
                <c:pt idx="290">
                  <c:v>52.553842841037998</c:v>
                </c:pt>
                <c:pt idx="291">
                  <c:v>52.431342627848998</c:v>
                </c:pt>
                <c:pt idx="292">
                  <c:v>52.298972012434</c:v>
                </c:pt>
                <c:pt idx="293">
                  <c:v>52.171274352894997</c:v>
                </c:pt>
                <c:pt idx="294">
                  <c:v>52.046026476450002</c:v>
                </c:pt>
                <c:pt idx="295">
                  <c:v>51.925570066626001</c:v>
                </c:pt>
                <c:pt idx="296">
                  <c:v>51.782852030087</c:v>
                </c:pt>
                <c:pt idx="297">
                  <c:v>51.630475107869998</c:v>
                </c:pt>
                <c:pt idx="298">
                  <c:v>51.498605615208</c:v>
                </c:pt>
                <c:pt idx="299">
                  <c:v>51.344628139622998</c:v>
                </c:pt>
                <c:pt idx="300">
                  <c:v>51.248113565082001</c:v>
                </c:pt>
                <c:pt idx="301">
                  <c:v>51.162768918581001</c:v>
                </c:pt>
                <c:pt idx="302">
                  <c:v>51.073596789595001</c:v>
                </c:pt>
                <c:pt idx="303">
                  <c:v>50.928389941158002</c:v>
                </c:pt>
                <c:pt idx="304">
                  <c:v>50.767595260253998</c:v>
                </c:pt>
                <c:pt idx="305">
                  <c:v>50.673522783918003</c:v>
                </c:pt>
                <c:pt idx="306">
                  <c:v>50.570179333104001</c:v>
                </c:pt>
                <c:pt idx="307">
                  <c:v>50.394987988818002</c:v>
                </c:pt>
                <c:pt idx="308">
                  <c:v>50.239483249183003</c:v>
                </c:pt>
                <c:pt idx="309">
                  <c:v>50.091670789741002</c:v>
                </c:pt>
                <c:pt idx="310">
                  <c:v>49.942345170688</c:v>
                </c:pt>
                <c:pt idx="311">
                  <c:v>49.806075294415997</c:v>
                </c:pt>
                <c:pt idx="312">
                  <c:v>49.700511343449001</c:v>
                </c:pt>
                <c:pt idx="313">
                  <c:v>49.611291731363998</c:v>
                </c:pt>
                <c:pt idx="314">
                  <c:v>49.551220140547002</c:v>
                </c:pt>
                <c:pt idx="315">
                  <c:v>49.466985560662003</c:v>
                </c:pt>
                <c:pt idx="316">
                  <c:v>49.371171201355999</c:v>
                </c:pt>
                <c:pt idx="317">
                  <c:v>49.287277471145998</c:v>
                </c:pt>
                <c:pt idx="318">
                  <c:v>49.210753695407</c:v>
                </c:pt>
                <c:pt idx="319">
                  <c:v>49.135656254927</c:v>
                </c:pt>
                <c:pt idx="320">
                  <c:v>49.078923678780001</c:v>
                </c:pt>
                <c:pt idx="321">
                  <c:v>49.037745249875002</c:v>
                </c:pt>
                <c:pt idx="322">
                  <c:v>48.999269006962002</c:v>
                </c:pt>
                <c:pt idx="323">
                  <c:v>48.959033158678999</c:v>
                </c:pt>
                <c:pt idx="324">
                  <c:v>48.925645491616002</c:v>
                </c:pt>
                <c:pt idx="325">
                  <c:v>48.900590821965999</c:v>
                </c:pt>
                <c:pt idx="326">
                  <c:v>48.891541442419999</c:v>
                </c:pt>
                <c:pt idx="327">
                  <c:v>48.890191837914998</c:v>
                </c:pt>
                <c:pt idx="328">
                  <c:v>48.901894396217997</c:v>
                </c:pt>
                <c:pt idx="329">
                  <c:v>48.912595001831001</c:v>
                </c:pt>
                <c:pt idx="330">
                  <c:v>48.927279460874999</c:v>
                </c:pt>
                <c:pt idx="331">
                  <c:v>48.959405423789001</c:v>
                </c:pt>
                <c:pt idx="332">
                  <c:v>48.997011927599999</c:v>
                </c:pt>
                <c:pt idx="333">
                  <c:v>49.057547691121997</c:v>
                </c:pt>
                <c:pt idx="334">
                  <c:v>49.128582811602001</c:v>
                </c:pt>
                <c:pt idx="335">
                  <c:v>49.179871455918999</c:v>
                </c:pt>
                <c:pt idx="336">
                  <c:v>49.238524698017002</c:v>
                </c:pt>
                <c:pt idx="337">
                  <c:v>49.337686241337998</c:v>
                </c:pt>
                <c:pt idx="338">
                  <c:v>49.446942507350002</c:v>
                </c:pt>
                <c:pt idx="339">
                  <c:v>49.535227544110001</c:v>
                </c:pt>
                <c:pt idx="340">
                  <c:v>49.658927108351001</c:v>
                </c:pt>
                <c:pt idx="341">
                  <c:v>49.799797859766997</c:v>
                </c:pt>
                <c:pt idx="342">
                  <c:v>49.910081457314</c:v>
                </c:pt>
                <c:pt idx="343">
                  <c:v>50.043145471936</c:v>
                </c:pt>
                <c:pt idx="344">
                  <c:v>50.156355871385998</c:v>
                </c:pt>
                <c:pt idx="345">
                  <c:v>50.312246267497997</c:v>
                </c:pt>
                <c:pt idx="346">
                  <c:v>50.456347128002001</c:v>
                </c:pt>
                <c:pt idx="347">
                  <c:v>50.601503436500998</c:v>
                </c:pt>
                <c:pt idx="348">
                  <c:v>50.735324895578998</c:v>
                </c:pt>
                <c:pt idx="349">
                  <c:v>50.878249466890999</c:v>
                </c:pt>
                <c:pt idx="350">
                  <c:v>51.039158340028997</c:v>
                </c:pt>
                <c:pt idx="351">
                  <c:v>51.143308742316997</c:v>
                </c:pt>
                <c:pt idx="352">
                  <c:v>51.220584204270999</c:v>
                </c:pt>
                <c:pt idx="353">
                  <c:v>51.349287462699998</c:v>
                </c:pt>
                <c:pt idx="354">
                  <c:v>51.507022521960998</c:v>
                </c:pt>
                <c:pt idx="355">
                  <c:v>51.700049631747</c:v>
                </c:pt>
                <c:pt idx="356">
                  <c:v>51.873897507758997</c:v>
                </c:pt>
                <c:pt idx="357">
                  <c:v>51.992534230983999</c:v>
                </c:pt>
                <c:pt idx="358">
                  <c:v>52.142536711323999</c:v>
                </c:pt>
                <c:pt idx="359">
                  <c:v>52.305642840734997</c:v>
                </c:pt>
                <c:pt idx="360">
                  <c:v>52.424995193202001</c:v>
                </c:pt>
                <c:pt idx="361">
                  <c:v>52.530653849254001</c:v>
                </c:pt>
                <c:pt idx="362">
                  <c:v>52.657646038701998</c:v>
                </c:pt>
                <c:pt idx="363">
                  <c:v>52.787012088487003</c:v>
                </c:pt>
                <c:pt idx="364">
                  <c:v>52.883963392562002</c:v>
                </c:pt>
                <c:pt idx="365">
                  <c:v>52.977441421426001</c:v>
                </c:pt>
                <c:pt idx="366">
                  <c:v>53.080797135212997</c:v>
                </c:pt>
                <c:pt idx="367">
                  <c:v>53.181018995871</c:v>
                </c:pt>
                <c:pt idx="368">
                  <c:v>53.249543933760002</c:v>
                </c:pt>
                <c:pt idx="369">
                  <c:v>53.317181040055999</c:v>
                </c:pt>
                <c:pt idx="370">
                  <c:v>53.388758914112998</c:v>
                </c:pt>
                <c:pt idx="371">
                  <c:v>53.451051204975002</c:v>
                </c:pt>
                <c:pt idx="372">
                  <c:v>53.509057599698998</c:v>
                </c:pt>
                <c:pt idx="373">
                  <c:v>53.563290135004003</c:v>
                </c:pt>
                <c:pt idx="374">
                  <c:v>53.605769172971002</c:v>
                </c:pt>
                <c:pt idx="375">
                  <c:v>53.639043468525003</c:v>
                </c:pt>
                <c:pt idx="376">
                  <c:v>53.654907456148003</c:v>
                </c:pt>
                <c:pt idx="377">
                  <c:v>53.664038070074</c:v>
                </c:pt>
                <c:pt idx="378">
                  <c:v>53.667954255786</c:v>
                </c:pt>
                <c:pt idx="379">
                  <c:v>53.665171543657003</c:v>
                </c:pt>
                <c:pt idx="380">
                  <c:v>53.660573321832999</c:v>
                </c:pt>
                <c:pt idx="381">
                  <c:v>53.639192298216003</c:v>
                </c:pt>
                <c:pt idx="382">
                  <c:v>53.601102760160003</c:v>
                </c:pt>
                <c:pt idx="383">
                  <c:v>53.553193424801002</c:v>
                </c:pt>
                <c:pt idx="384">
                  <c:v>53.511531274447002</c:v>
                </c:pt>
                <c:pt idx="385">
                  <c:v>53.455867286768999</c:v>
                </c:pt>
                <c:pt idx="386">
                  <c:v>53.388741792120001</c:v>
                </c:pt>
                <c:pt idx="387">
                  <c:v>53.307757172744999</c:v>
                </c:pt>
                <c:pt idx="388">
                  <c:v>53.213548460196002</c:v>
                </c:pt>
                <c:pt idx="389">
                  <c:v>53.121408669037002</c:v>
                </c:pt>
                <c:pt idx="390">
                  <c:v>53.025364216630997</c:v>
                </c:pt>
                <c:pt idx="391">
                  <c:v>52.919609075316998</c:v>
                </c:pt>
                <c:pt idx="392">
                  <c:v>52.824421381179</c:v>
                </c:pt>
                <c:pt idx="393">
                  <c:v>52.708834638814999</c:v>
                </c:pt>
                <c:pt idx="394">
                  <c:v>52.584596516269002</c:v>
                </c:pt>
                <c:pt idx="395">
                  <c:v>52.472571611554002</c:v>
                </c:pt>
                <c:pt idx="396">
                  <c:v>52.364454639305002</c:v>
                </c:pt>
                <c:pt idx="397">
                  <c:v>52.242512069859004</c:v>
                </c:pt>
                <c:pt idx="398">
                  <c:v>52.080899283712</c:v>
                </c:pt>
                <c:pt idx="399">
                  <c:v>51.932372376727002</c:v>
                </c:pt>
                <c:pt idx="400">
                  <c:v>51.825867358022002</c:v>
                </c:pt>
                <c:pt idx="401">
                  <c:v>51.718541001040002</c:v>
                </c:pt>
                <c:pt idx="402">
                  <c:v>51.571390357638002</c:v>
                </c:pt>
                <c:pt idx="403">
                  <c:v>51.415744081599001</c:v>
                </c:pt>
                <c:pt idx="404">
                  <c:v>51.257297266961999</c:v>
                </c:pt>
                <c:pt idx="405">
                  <c:v>51.061772518158001</c:v>
                </c:pt>
                <c:pt idx="406">
                  <c:v>50.931910651000997</c:v>
                </c:pt>
                <c:pt idx="407">
                  <c:v>50.812068616258998</c:v>
                </c:pt>
                <c:pt idx="408">
                  <c:v>50.661023439444001</c:v>
                </c:pt>
                <c:pt idx="409">
                  <c:v>50.558814562427997</c:v>
                </c:pt>
                <c:pt idx="410">
                  <c:v>50.409341174988</c:v>
                </c:pt>
                <c:pt idx="411">
                  <c:v>50.236569078556997</c:v>
                </c:pt>
                <c:pt idx="412">
                  <c:v>50.070287317508999</c:v>
                </c:pt>
                <c:pt idx="413">
                  <c:v>49.945128995354999</c:v>
                </c:pt>
                <c:pt idx="414">
                  <c:v>49.809332385019999</c:v>
                </c:pt>
                <c:pt idx="415">
                  <c:v>49.694109795098001</c:v>
                </c:pt>
                <c:pt idx="416">
                  <c:v>49.602836720420001</c:v>
                </c:pt>
                <c:pt idx="417">
                  <c:v>49.486372985846003</c:v>
                </c:pt>
                <c:pt idx="418">
                  <c:v>49.412648758322</c:v>
                </c:pt>
                <c:pt idx="419">
                  <c:v>49.333081113511</c:v>
                </c:pt>
                <c:pt idx="420">
                  <c:v>49.224319386868999</c:v>
                </c:pt>
                <c:pt idx="421">
                  <c:v>49.123983445571</c:v>
                </c:pt>
                <c:pt idx="422">
                  <c:v>49.036648659394999</c:v>
                </c:pt>
                <c:pt idx="423">
                  <c:v>48.965110577597002</c:v>
                </c:pt>
                <c:pt idx="424">
                  <c:v>48.900530350907999</c:v>
                </c:pt>
                <c:pt idx="425">
                  <c:v>48.843017519594</c:v>
                </c:pt>
                <c:pt idx="426">
                  <c:v>48.806416606470997</c:v>
                </c:pt>
                <c:pt idx="427">
                  <c:v>48.768305600037998</c:v>
                </c:pt>
                <c:pt idx="428">
                  <c:v>48.739706194588003</c:v>
                </c:pt>
                <c:pt idx="429">
                  <c:v>48.72438179025</c:v>
                </c:pt>
                <c:pt idx="430">
                  <c:v>48.707025872260999</c:v>
                </c:pt>
                <c:pt idx="431">
                  <c:v>48.708648458629</c:v>
                </c:pt>
                <c:pt idx="432">
                  <c:v>48.723733455762002</c:v>
                </c:pt>
                <c:pt idx="433">
                  <c:v>48.743215696476</c:v>
                </c:pt>
                <c:pt idx="434">
                  <c:v>48.783030793481998</c:v>
                </c:pt>
                <c:pt idx="435">
                  <c:v>48.825265091391998</c:v>
                </c:pt>
                <c:pt idx="436">
                  <c:v>48.882071025069003</c:v>
                </c:pt>
                <c:pt idx="437">
                  <c:v>48.945818602121001</c:v>
                </c:pt>
                <c:pt idx="438">
                  <c:v>49.026636155292998</c:v>
                </c:pt>
                <c:pt idx="439">
                  <c:v>49.091628854859003</c:v>
                </c:pt>
                <c:pt idx="440">
                  <c:v>49.182994119530001</c:v>
                </c:pt>
                <c:pt idx="441">
                  <c:v>49.278958637663003</c:v>
                </c:pt>
                <c:pt idx="442">
                  <c:v>49.398560402137001</c:v>
                </c:pt>
                <c:pt idx="443">
                  <c:v>49.517672522536998</c:v>
                </c:pt>
                <c:pt idx="444">
                  <c:v>49.629961402338999</c:v>
                </c:pt>
                <c:pt idx="445">
                  <c:v>49.750911968528001</c:v>
                </c:pt>
                <c:pt idx="446">
                  <c:v>49.879355687211998</c:v>
                </c:pt>
                <c:pt idx="447">
                  <c:v>50.035200937965001</c:v>
                </c:pt>
                <c:pt idx="448">
                  <c:v>50.200837964533001</c:v>
                </c:pt>
                <c:pt idx="449">
                  <c:v>50.350750932731998</c:v>
                </c:pt>
                <c:pt idx="450">
                  <c:v>50.503017391938002</c:v>
                </c:pt>
                <c:pt idx="451">
                  <c:v>50.649955998297003</c:v>
                </c:pt>
                <c:pt idx="452">
                  <c:v>50.797765713003002</c:v>
                </c:pt>
                <c:pt idx="453">
                  <c:v>50.928021729859999</c:v>
                </c:pt>
                <c:pt idx="454">
                  <c:v>51.020098335093998</c:v>
                </c:pt>
                <c:pt idx="455">
                  <c:v>51.098424110562</c:v>
                </c:pt>
                <c:pt idx="456">
                  <c:v>51.232541764403003</c:v>
                </c:pt>
                <c:pt idx="457">
                  <c:v>51.409962981736001</c:v>
                </c:pt>
                <c:pt idx="458">
                  <c:v>51.554234684295999</c:v>
                </c:pt>
                <c:pt idx="459">
                  <c:v>51.788287167462997</c:v>
                </c:pt>
                <c:pt idx="460">
                  <c:v>52.056083800175003</c:v>
                </c:pt>
                <c:pt idx="461">
                  <c:v>52.202189261344003</c:v>
                </c:pt>
                <c:pt idx="462">
                  <c:v>52.299413847041002</c:v>
                </c:pt>
                <c:pt idx="463">
                  <c:v>52.427278248275996</c:v>
                </c:pt>
                <c:pt idx="464">
                  <c:v>52.619392140571001</c:v>
                </c:pt>
                <c:pt idx="465">
                  <c:v>52.713862686397</c:v>
                </c:pt>
                <c:pt idx="466">
                  <c:v>52.768564867968998</c:v>
                </c:pt>
                <c:pt idx="467">
                  <c:v>52.899532010032999</c:v>
                </c:pt>
                <c:pt idx="468">
                  <c:v>53.014730341511999</c:v>
                </c:pt>
                <c:pt idx="469">
                  <c:v>53.105032722464998</c:v>
                </c:pt>
                <c:pt idx="470">
                  <c:v>53.199511080120999</c:v>
                </c:pt>
                <c:pt idx="471">
                  <c:v>53.287874270708997</c:v>
                </c:pt>
                <c:pt idx="472">
                  <c:v>53.370719968301998</c:v>
                </c:pt>
                <c:pt idx="473">
                  <c:v>53.446852772341003</c:v>
                </c:pt>
                <c:pt idx="474">
                  <c:v>53.507307660328998</c:v>
                </c:pt>
                <c:pt idx="475">
                  <c:v>53.558975426182997</c:v>
                </c:pt>
                <c:pt idx="476">
                  <c:v>53.603164687456001</c:v>
                </c:pt>
                <c:pt idx="477">
                  <c:v>53.651793879789999</c:v>
                </c:pt>
                <c:pt idx="478">
                  <c:v>53.696032974056003</c:v>
                </c:pt>
                <c:pt idx="479">
                  <c:v>53.729825834316998</c:v>
                </c:pt>
                <c:pt idx="480">
                  <c:v>53.755420160592003</c:v>
                </c:pt>
                <c:pt idx="481">
                  <c:v>53.763749753806003</c:v>
                </c:pt>
                <c:pt idx="482">
                  <c:v>53.766021185184997</c:v>
                </c:pt>
                <c:pt idx="483">
                  <c:v>53.756172601289002</c:v>
                </c:pt>
                <c:pt idx="484">
                  <c:v>53.746663860837998</c:v>
                </c:pt>
                <c:pt idx="485">
                  <c:v>53.730259655121003</c:v>
                </c:pt>
                <c:pt idx="486">
                  <c:v>53.690103521357997</c:v>
                </c:pt>
                <c:pt idx="487">
                  <c:v>53.636987484057002</c:v>
                </c:pt>
                <c:pt idx="488">
                  <c:v>53.578900992506</c:v>
                </c:pt>
                <c:pt idx="489">
                  <c:v>53.512267358533002</c:v>
                </c:pt>
                <c:pt idx="490">
                  <c:v>53.432996436182002</c:v>
                </c:pt>
                <c:pt idx="491">
                  <c:v>53.339596773799997</c:v>
                </c:pt>
                <c:pt idx="492">
                  <c:v>53.251576606130001</c:v>
                </c:pt>
                <c:pt idx="493">
                  <c:v>53.154924994966997</c:v>
                </c:pt>
                <c:pt idx="494">
                  <c:v>53.052362441707999</c:v>
                </c:pt>
                <c:pt idx="495">
                  <c:v>52.940204638003998</c:v>
                </c:pt>
                <c:pt idx="496">
                  <c:v>52.807876845712997</c:v>
                </c:pt>
                <c:pt idx="497">
                  <c:v>52.672100558347999</c:v>
                </c:pt>
                <c:pt idx="498">
                  <c:v>52.536605540034003</c:v>
                </c:pt>
                <c:pt idx="499">
                  <c:v>52.383388164728999</c:v>
                </c:pt>
                <c:pt idx="500">
                  <c:v>52.267954499425997</c:v>
                </c:pt>
                <c:pt idx="501">
                  <c:v>52.143539390358001</c:v>
                </c:pt>
                <c:pt idx="502">
                  <c:v>52.005392729286001</c:v>
                </c:pt>
                <c:pt idx="503">
                  <c:v>51.836741814897003</c:v>
                </c:pt>
                <c:pt idx="504">
                  <c:v>51.709374707583997</c:v>
                </c:pt>
                <c:pt idx="505">
                  <c:v>51.597744453429002</c:v>
                </c:pt>
                <c:pt idx="506">
                  <c:v>51.457446021392002</c:v>
                </c:pt>
                <c:pt idx="507">
                  <c:v>51.352879492349999</c:v>
                </c:pt>
                <c:pt idx="508">
                  <c:v>51.139753527377003</c:v>
                </c:pt>
                <c:pt idx="509">
                  <c:v>50.924330267179002</c:v>
                </c:pt>
                <c:pt idx="510">
                  <c:v>50.797655441620002</c:v>
                </c:pt>
                <c:pt idx="511">
                  <c:v>50.714371727588997</c:v>
                </c:pt>
                <c:pt idx="512">
                  <c:v>50.598494166376</c:v>
                </c:pt>
                <c:pt idx="513">
                  <c:v>50.49773203574</c:v>
                </c:pt>
                <c:pt idx="514">
                  <c:v>50.318356649894</c:v>
                </c:pt>
                <c:pt idx="515">
                  <c:v>50.189905982199001</c:v>
                </c:pt>
                <c:pt idx="516">
                  <c:v>50.078196638441</c:v>
                </c:pt>
                <c:pt idx="517">
                  <c:v>49.906788743561997</c:v>
                </c:pt>
                <c:pt idx="518">
                  <c:v>49.757841474014</c:v>
                </c:pt>
                <c:pt idx="519">
                  <c:v>49.611471651332998</c:v>
                </c:pt>
                <c:pt idx="520">
                  <c:v>49.481921519372001</c:v>
                </c:pt>
                <c:pt idx="521">
                  <c:v>49.384988847862999</c:v>
                </c:pt>
                <c:pt idx="522">
                  <c:v>49.316101041557999</c:v>
                </c:pt>
                <c:pt idx="523">
                  <c:v>49.205553511048002</c:v>
                </c:pt>
                <c:pt idx="524">
                  <c:v>49.091652494424999</c:v>
                </c:pt>
                <c:pt idx="525">
                  <c:v>49.017398314334997</c:v>
                </c:pt>
                <c:pt idx="526">
                  <c:v>48.924141303226001</c:v>
                </c:pt>
                <c:pt idx="527">
                  <c:v>48.853573049341001</c:v>
                </c:pt>
                <c:pt idx="528">
                  <c:v>48.777844839156998</c:v>
                </c:pt>
                <c:pt idx="529">
                  <c:v>48.746863444840997</c:v>
                </c:pt>
                <c:pt idx="530">
                  <c:v>48.721515613080001</c:v>
                </c:pt>
                <c:pt idx="531">
                  <c:v>48.684855900194997</c:v>
                </c:pt>
                <c:pt idx="532">
                  <c:v>48.666807476202003</c:v>
                </c:pt>
                <c:pt idx="533">
                  <c:v>48.677069971042997</c:v>
                </c:pt>
                <c:pt idx="534">
                  <c:v>48.672780689273999</c:v>
                </c:pt>
                <c:pt idx="535">
                  <c:v>48.664179484104999</c:v>
                </c:pt>
                <c:pt idx="536">
                  <c:v>48.673035704778997</c:v>
                </c:pt>
                <c:pt idx="537">
                  <c:v>48.710544143878998</c:v>
                </c:pt>
                <c:pt idx="538">
                  <c:v>48.758630319274999</c:v>
                </c:pt>
                <c:pt idx="539">
                  <c:v>48.832493818289997</c:v>
                </c:pt>
                <c:pt idx="540">
                  <c:v>48.894845598490001</c:v>
                </c:pt>
                <c:pt idx="541">
                  <c:v>48.953620002546003</c:v>
                </c:pt>
                <c:pt idx="542">
                  <c:v>49.019454178594998</c:v>
                </c:pt>
                <c:pt idx="543">
                  <c:v>49.102353684013998</c:v>
                </c:pt>
                <c:pt idx="544">
                  <c:v>49.202743081717003</c:v>
                </c:pt>
                <c:pt idx="545">
                  <c:v>49.311129345189997</c:v>
                </c:pt>
                <c:pt idx="546">
                  <c:v>49.438318802803998</c:v>
                </c:pt>
                <c:pt idx="547">
                  <c:v>49.560982164906001</c:v>
                </c:pt>
                <c:pt idx="548">
                  <c:v>49.690792024113001</c:v>
                </c:pt>
                <c:pt idx="549">
                  <c:v>49.815060046554997</c:v>
                </c:pt>
                <c:pt idx="550">
                  <c:v>49.953997884445002</c:v>
                </c:pt>
                <c:pt idx="551">
                  <c:v>50.078806325955</c:v>
                </c:pt>
                <c:pt idx="552">
                  <c:v>50.236661385199</c:v>
                </c:pt>
                <c:pt idx="553">
                  <c:v>50.413056685710004</c:v>
                </c:pt>
                <c:pt idx="554">
                  <c:v>50.593396127074001</c:v>
                </c:pt>
                <c:pt idx="555">
                  <c:v>50.749284930799</c:v>
                </c:pt>
                <c:pt idx="556">
                  <c:v>50.917176979468003</c:v>
                </c:pt>
                <c:pt idx="557">
                  <c:v>51.097228971896001</c:v>
                </c:pt>
                <c:pt idx="558">
                  <c:v>51.262678586143998</c:v>
                </c:pt>
                <c:pt idx="559">
                  <c:v>51.428034714847001</c:v>
                </c:pt>
                <c:pt idx="560">
                  <c:v>51.501917829733998</c:v>
                </c:pt>
                <c:pt idx="561">
                  <c:v>51.563884916239999</c:v>
                </c:pt>
                <c:pt idx="562">
                  <c:v>51.686554781509003</c:v>
                </c:pt>
                <c:pt idx="563">
                  <c:v>51.908954949231997</c:v>
                </c:pt>
                <c:pt idx="564">
                  <c:v>52.108970663346</c:v>
                </c:pt>
                <c:pt idx="565">
                  <c:v>52.193515740146999</c:v>
                </c:pt>
                <c:pt idx="566">
                  <c:v>52.339486943356</c:v>
                </c:pt>
                <c:pt idx="567">
                  <c:v>52.490455879780001</c:v>
                </c:pt>
                <c:pt idx="568">
                  <c:v>52.616280394949001</c:v>
                </c:pt>
                <c:pt idx="569">
                  <c:v>52.715600246416997</c:v>
                </c:pt>
                <c:pt idx="570">
                  <c:v>52.825761581492003</c:v>
                </c:pt>
                <c:pt idx="571">
                  <c:v>52.931598870827003</c:v>
                </c:pt>
                <c:pt idx="572">
                  <c:v>53.025542578915001</c:v>
                </c:pt>
                <c:pt idx="573">
                  <c:v>53.133300188432003</c:v>
                </c:pt>
                <c:pt idx="574">
                  <c:v>53.216372973357998</c:v>
                </c:pt>
                <c:pt idx="575">
                  <c:v>53.287227405880003</c:v>
                </c:pt>
                <c:pt idx="576">
                  <c:v>53.368280753876</c:v>
                </c:pt>
                <c:pt idx="577">
                  <c:v>53.439980985925999</c:v>
                </c:pt>
                <c:pt idx="578">
                  <c:v>53.497863612011997</c:v>
                </c:pt>
                <c:pt idx="579">
                  <c:v>53.549432470706002</c:v>
                </c:pt>
                <c:pt idx="580">
                  <c:v>53.602104065455002</c:v>
                </c:pt>
                <c:pt idx="581">
                  <c:v>53.651404241953003</c:v>
                </c:pt>
                <c:pt idx="582">
                  <c:v>53.687000227475998</c:v>
                </c:pt>
                <c:pt idx="583">
                  <c:v>53.727719558474</c:v>
                </c:pt>
                <c:pt idx="584">
                  <c:v>53.766593430771998</c:v>
                </c:pt>
                <c:pt idx="585">
                  <c:v>53.777568393639001</c:v>
                </c:pt>
                <c:pt idx="586">
                  <c:v>53.766958010659003</c:v>
                </c:pt>
                <c:pt idx="587">
                  <c:v>53.756332034323997</c:v>
                </c:pt>
                <c:pt idx="588">
                  <c:v>53.735384054192998</c:v>
                </c:pt>
                <c:pt idx="589">
                  <c:v>53.706334903045999</c:v>
                </c:pt>
                <c:pt idx="590">
                  <c:v>53.662338143235999</c:v>
                </c:pt>
                <c:pt idx="591">
                  <c:v>53.605325613632999</c:v>
                </c:pt>
                <c:pt idx="592">
                  <c:v>53.543759598172997</c:v>
                </c:pt>
                <c:pt idx="593">
                  <c:v>53.470576716482</c:v>
                </c:pt>
                <c:pt idx="594">
                  <c:v>53.386432599357001</c:v>
                </c:pt>
                <c:pt idx="595">
                  <c:v>53.271664984090002</c:v>
                </c:pt>
                <c:pt idx="596">
                  <c:v>53.185459611704999</c:v>
                </c:pt>
                <c:pt idx="597">
                  <c:v>53.106367334384998</c:v>
                </c:pt>
                <c:pt idx="598">
                  <c:v>52.996438469990998</c:v>
                </c:pt>
                <c:pt idx="599">
                  <c:v>52.867624810502001</c:v>
                </c:pt>
                <c:pt idx="600">
                  <c:v>52.751282749738998</c:v>
                </c:pt>
                <c:pt idx="601">
                  <c:v>52.619946509136</c:v>
                </c:pt>
                <c:pt idx="602">
                  <c:v>52.469551930511997</c:v>
                </c:pt>
                <c:pt idx="603">
                  <c:v>52.304093399701003</c:v>
                </c:pt>
                <c:pt idx="604">
                  <c:v>52.162343614325998</c:v>
                </c:pt>
                <c:pt idx="605">
                  <c:v>52.051467695406998</c:v>
                </c:pt>
                <c:pt idx="606">
                  <c:v>51.930241299488998</c:v>
                </c:pt>
                <c:pt idx="607">
                  <c:v>51.800489805200002</c:v>
                </c:pt>
                <c:pt idx="608">
                  <c:v>51.679197240085998</c:v>
                </c:pt>
                <c:pt idx="609">
                  <c:v>51.479913874129998</c:v>
                </c:pt>
                <c:pt idx="610">
                  <c:v>51.342847940230001</c:v>
                </c:pt>
                <c:pt idx="611">
                  <c:v>51.273555587034998</c:v>
                </c:pt>
                <c:pt idx="612">
                  <c:v>51.208671047703</c:v>
                </c:pt>
                <c:pt idx="613">
                  <c:v>51.074336354743998</c:v>
                </c:pt>
                <c:pt idx="614">
                  <c:v>50.907035967281999</c:v>
                </c:pt>
                <c:pt idx="615">
                  <c:v>50.757135433644997</c:v>
                </c:pt>
                <c:pt idx="616">
                  <c:v>50.614090023769002</c:v>
                </c:pt>
                <c:pt idx="617">
                  <c:v>50.414255524379001</c:v>
                </c:pt>
                <c:pt idx="618">
                  <c:v>50.294347387008997</c:v>
                </c:pt>
                <c:pt idx="619">
                  <c:v>50.200109636924999</c:v>
                </c:pt>
                <c:pt idx="620">
                  <c:v>50.073146510617001</c:v>
                </c:pt>
                <c:pt idx="621">
                  <c:v>49.902187705064001</c:v>
                </c:pt>
                <c:pt idx="622">
                  <c:v>49.769208942234997</c:v>
                </c:pt>
                <c:pt idx="623">
                  <c:v>49.631231710892997</c:v>
                </c:pt>
                <c:pt idx="624">
                  <c:v>49.500804194457999</c:v>
                </c:pt>
                <c:pt idx="625">
                  <c:v>49.403633290286997</c:v>
                </c:pt>
                <c:pt idx="626">
                  <c:v>49.311392754018001</c:v>
                </c:pt>
                <c:pt idx="627">
                  <c:v>49.173710029524997</c:v>
                </c:pt>
                <c:pt idx="628">
                  <c:v>49.090535817223</c:v>
                </c:pt>
                <c:pt idx="629">
                  <c:v>49.037684800809998</c:v>
                </c:pt>
                <c:pt idx="630">
                  <c:v>48.941823882362002</c:v>
                </c:pt>
                <c:pt idx="631">
                  <c:v>48.858637392505003</c:v>
                </c:pt>
                <c:pt idx="632">
                  <c:v>48.798493803664002</c:v>
                </c:pt>
                <c:pt idx="633">
                  <c:v>48.774586799097001</c:v>
                </c:pt>
                <c:pt idx="634">
                  <c:v>48.732130516451001</c:v>
                </c:pt>
                <c:pt idx="635">
                  <c:v>48.711969628791003</c:v>
                </c:pt>
                <c:pt idx="636">
                  <c:v>48.721517859617997</c:v>
                </c:pt>
                <c:pt idx="637">
                  <c:v>48.716507948280999</c:v>
                </c:pt>
                <c:pt idx="638">
                  <c:v>48.713566025188001</c:v>
                </c:pt>
                <c:pt idx="639">
                  <c:v>48.745267713497</c:v>
                </c:pt>
                <c:pt idx="640">
                  <c:v>48.773376767879</c:v>
                </c:pt>
                <c:pt idx="641">
                  <c:v>48.807741619514999</c:v>
                </c:pt>
                <c:pt idx="642">
                  <c:v>48.876420019200999</c:v>
                </c:pt>
                <c:pt idx="643">
                  <c:v>48.938735672321997</c:v>
                </c:pt>
                <c:pt idx="644">
                  <c:v>49.014393429035003</c:v>
                </c:pt>
                <c:pt idx="645">
                  <c:v>49.095546278386003</c:v>
                </c:pt>
                <c:pt idx="646">
                  <c:v>49.142503738411001</c:v>
                </c:pt>
                <c:pt idx="647">
                  <c:v>49.211734424135003</c:v>
                </c:pt>
                <c:pt idx="648">
                  <c:v>49.308260548499</c:v>
                </c:pt>
                <c:pt idx="649">
                  <c:v>49.431092712102</c:v>
                </c:pt>
                <c:pt idx="650">
                  <c:v>49.534342995648998</c:v>
                </c:pt>
                <c:pt idx="651">
                  <c:v>49.641867953132</c:v>
                </c:pt>
                <c:pt idx="652">
                  <c:v>49.777420059553997</c:v>
                </c:pt>
                <c:pt idx="653">
                  <c:v>49.904576401504002</c:v>
                </c:pt>
                <c:pt idx="654">
                  <c:v>50.021278137632002</c:v>
                </c:pt>
                <c:pt idx="655">
                  <c:v>50.176644056893998</c:v>
                </c:pt>
                <c:pt idx="656">
                  <c:v>50.282391206295998</c:v>
                </c:pt>
                <c:pt idx="657">
                  <c:v>50.430587276780003</c:v>
                </c:pt>
                <c:pt idx="658">
                  <c:v>50.685037976720999</c:v>
                </c:pt>
                <c:pt idx="659">
                  <c:v>50.854129568127</c:v>
                </c:pt>
                <c:pt idx="660">
                  <c:v>50.947297396800003</c:v>
                </c:pt>
                <c:pt idx="661">
                  <c:v>51.110768170516998</c:v>
                </c:pt>
                <c:pt idx="662">
                  <c:v>51.253557487202002</c:v>
                </c:pt>
                <c:pt idx="663">
                  <c:v>51.296744529724002</c:v>
                </c:pt>
                <c:pt idx="664">
                  <c:v>51.444090828515002</c:v>
                </c:pt>
                <c:pt idx="665">
                  <c:v>51.639445684279998</c:v>
                </c:pt>
                <c:pt idx="666">
                  <c:v>51.706896204941003</c:v>
                </c:pt>
                <c:pt idx="667">
                  <c:v>51.870109925389002</c:v>
                </c:pt>
                <c:pt idx="668">
                  <c:v>52.020899829698998</c:v>
                </c:pt>
                <c:pt idx="669">
                  <c:v>52.136788536262998</c:v>
                </c:pt>
                <c:pt idx="670">
                  <c:v>52.293225933361001</c:v>
                </c:pt>
                <c:pt idx="671">
                  <c:v>52.431053398365997</c:v>
                </c:pt>
                <c:pt idx="672">
                  <c:v>52.568842405811999</c:v>
                </c:pt>
                <c:pt idx="673">
                  <c:v>52.730618910220002</c:v>
                </c:pt>
                <c:pt idx="674">
                  <c:v>52.875210777241001</c:v>
                </c:pt>
                <c:pt idx="675">
                  <c:v>52.94892056682</c:v>
                </c:pt>
                <c:pt idx="676">
                  <c:v>53.031876657478001</c:v>
                </c:pt>
                <c:pt idx="677">
                  <c:v>53.114791525638999</c:v>
                </c:pt>
                <c:pt idx="678">
                  <c:v>53.174801383255001</c:v>
                </c:pt>
                <c:pt idx="679">
                  <c:v>53.227999287080998</c:v>
                </c:pt>
                <c:pt idx="680">
                  <c:v>53.287518430127001</c:v>
                </c:pt>
                <c:pt idx="681">
                  <c:v>53.358532513804001</c:v>
                </c:pt>
                <c:pt idx="682">
                  <c:v>53.440326056715001</c:v>
                </c:pt>
                <c:pt idx="683">
                  <c:v>53.493021873907999</c:v>
                </c:pt>
                <c:pt idx="684">
                  <c:v>53.540863571869998</c:v>
                </c:pt>
                <c:pt idx="685">
                  <c:v>53.587457301713002</c:v>
                </c:pt>
                <c:pt idx="686">
                  <c:v>53.610919416519003</c:v>
                </c:pt>
                <c:pt idx="687">
                  <c:v>53.647615722696997</c:v>
                </c:pt>
                <c:pt idx="688">
                  <c:v>53.672263684826</c:v>
                </c:pt>
                <c:pt idx="689">
                  <c:v>53.670048551610002</c:v>
                </c:pt>
                <c:pt idx="690">
                  <c:v>53.660528519964998</c:v>
                </c:pt>
                <c:pt idx="691">
                  <c:v>53.649705084898002</c:v>
                </c:pt>
                <c:pt idx="692">
                  <c:v>53.617608816858002</c:v>
                </c:pt>
                <c:pt idx="693">
                  <c:v>53.593960744198</c:v>
                </c:pt>
                <c:pt idx="694">
                  <c:v>53.561775076308002</c:v>
                </c:pt>
                <c:pt idx="695">
                  <c:v>53.508724284586002</c:v>
                </c:pt>
                <c:pt idx="696">
                  <c:v>53.457335223678001</c:v>
                </c:pt>
                <c:pt idx="697">
                  <c:v>53.387500852812998</c:v>
                </c:pt>
                <c:pt idx="698">
                  <c:v>53.304166436688</c:v>
                </c:pt>
                <c:pt idx="699">
                  <c:v>53.204690579335001</c:v>
                </c:pt>
                <c:pt idx="700">
                  <c:v>53.090861032565002</c:v>
                </c:pt>
                <c:pt idx="701">
                  <c:v>52.983984676652</c:v>
                </c:pt>
                <c:pt idx="702">
                  <c:v>52.869644240341998</c:v>
                </c:pt>
                <c:pt idx="703">
                  <c:v>52.750372598414003</c:v>
                </c:pt>
                <c:pt idx="704">
                  <c:v>52.638999268801001</c:v>
                </c:pt>
                <c:pt idx="705">
                  <c:v>52.506962387752999</c:v>
                </c:pt>
                <c:pt idx="706">
                  <c:v>52.364909767762001</c:v>
                </c:pt>
                <c:pt idx="707">
                  <c:v>52.224968746755003</c:v>
                </c:pt>
                <c:pt idx="708">
                  <c:v>52.091048946925</c:v>
                </c:pt>
                <c:pt idx="709">
                  <c:v>51.963285266798998</c:v>
                </c:pt>
                <c:pt idx="710">
                  <c:v>51.824014305715998</c:v>
                </c:pt>
                <c:pt idx="711">
                  <c:v>51.688718882015998</c:v>
                </c:pt>
                <c:pt idx="712">
                  <c:v>51.504415680740003</c:v>
                </c:pt>
                <c:pt idx="713">
                  <c:v>51.414466156594003</c:v>
                </c:pt>
                <c:pt idx="714">
                  <c:v>51.330442197347999</c:v>
                </c:pt>
                <c:pt idx="715">
                  <c:v>51.164024454797001</c:v>
                </c:pt>
                <c:pt idx="716">
                  <c:v>51.072100939546999</c:v>
                </c:pt>
                <c:pt idx="717">
                  <c:v>50.948359088781999</c:v>
                </c:pt>
                <c:pt idx="718">
                  <c:v>50.814019191033999</c:v>
                </c:pt>
                <c:pt idx="719">
                  <c:v>50.642403722509997</c:v>
                </c:pt>
                <c:pt idx="720">
                  <c:v>50.537936954792002</c:v>
                </c:pt>
                <c:pt idx="721">
                  <c:v>50.469037593636997</c:v>
                </c:pt>
                <c:pt idx="722">
                  <c:v>50.34937567395</c:v>
                </c:pt>
                <c:pt idx="723">
                  <c:v>50.139530142268001</c:v>
                </c:pt>
                <c:pt idx="724">
                  <c:v>49.962226610888997</c:v>
                </c:pt>
                <c:pt idx="725">
                  <c:v>49.836479902538997</c:v>
                </c:pt>
                <c:pt idx="726">
                  <c:v>49.732922952873999</c:v>
                </c:pt>
                <c:pt idx="727">
                  <c:v>49.651377988157002</c:v>
                </c:pt>
                <c:pt idx="728">
                  <c:v>49.533773991669001</c:v>
                </c:pt>
                <c:pt idx="729">
                  <c:v>49.396315061358997</c:v>
                </c:pt>
                <c:pt idx="730">
                  <c:v>49.308100364131001</c:v>
                </c:pt>
                <c:pt idx="731">
                  <c:v>49.189555892508999</c:v>
                </c:pt>
                <c:pt idx="732">
                  <c:v>49.054117380081998</c:v>
                </c:pt>
                <c:pt idx="733">
                  <c:v>49.017893489876997</c:v>
                </c:pt>
                <c:pt idx="734">
                  <c:v>48.984041761733003</c:v>
                </c:pt>
                <c:pt idx="735">
                  <c:v>48.951374024156003</c:v>
                </c:pt>
                <c:pt idx="736">
                  <c:v>48.910264615216001</c:v>
                </c:pt>
                <c:pt idx="737">
                  <c:v>48.862089317725001</c:v>
                </c:pt>
                <c:pt idx="738">
                  <c:v>48.805597199128997</c:v>
                </c:pt>
                <c:pt idx="739">
                  <c:v>48.794308830596997</c:v>
                </c:pt>
                <c:pt idx="740">
                  <c:v>48.786972712480001</c:v>
                </c:pt>
                <c:pt idx="741">
                  <c:v>48.786666661920002</c:v>
                </c:pt>
                <c:pt idx="742">
                  <c:v>48.794114456880003</c:v>
                </c:pt>
                <c:pt idx="743">
                  <c:v>48.809551387261997</c:v>
                </c:pt>
                <c:pt idx="744">
                  <c:v>48.845228159915997</c:v>
                </c:pt>
                <c:pt idx="745">
                  <c:v>48.892811490924998</c:v>
                </c:pt>
                <c:pt idx="746">
                  <c:v>48.957273124624997</c:v>
                </c:pt>
                <c:pt idx="747">
                  <c:v>49.017883621370999</c:v>
                </c:pt>
                <c:pt idx="748">
                  <c:v>49.082778129809</c:v>
                </c:pt>
                <c:pt idx="749">
                  <c:v>49.167188562515001</c:v>
                </c:pt>
                <c:pt idx="750">
                  <c:v>49.249318272057998</c:v>
                </c:pt>
                <c:pt idx="751">
                  <c:v>49.331951450433998</c:v>
                </c:pt>
                <c:pt idx="752">
                  <c:v>49.459558166160001</c:v>
                </c:pt>
                <c:pt idx="753">
                  <c:v>49.590926347414999</c:v>
                </c:pt>
                <c:pt idx="754">
                  <c:v>49.704557227226999</c:v>
                </c:pt>
                <c:pt idx="755">
                  <c:v>49.823186414676996</c:v>
                </c:pt>
                <c:pt idx="756">
                  <c:v>49.948096326371001</c:v>
                </c:pt>
                <c:pt idx="757">
                  <c:v>50.076831430604997</c:v>
                </c:pt>
                <c:pt idx="758">
                  <c:v>50.206949774453001</c:v>
                </c:pt>
                <c:pt idx="759">
                  <c:v>50.383072736068002</c:v>
                </c:pt>
                <c:pt idx="760">
                  <c:v>50.551249798831002</c:v>
                </c:pt>
                <c:pt idx="761">
                  <c:v>50.716805453592002</c:v>
                </c:pt>
                <c:pt idx="762">
                  <c:v>50.858248034058001</c:v>
                </c:pt>
                <c:pt idx="763">
                  <c:v>50.946832164659</c:v>
                </c:pt>
                <c:pt idx="764">
                  <c:v>51.052139422445997</c:v>
                </c:pt>
                <c:pt idx="765">
                  <c:v>51.161440632800002</c:v>
                </c:pt>
                <c:pt idx="766">
                  <c:v>51.266063475495002</c:v>
                </c:pt>
                <c:pt idx="767">
                  <c:v>51.432556029381999</c:v>
                </c:pt>
                <c:pt idx="768">
                  <c:v>51.566362477760002</c:v>
                </c:pt>
                <c:pt idx="769">
                  <c:v>51.709647149237</c:v>
                </c:pt>
                <c:pt idx="770">
                  <c:v>51.852529373768</c:v>
                </c:pt>
                <c:pt idx="771">
                  <c:v>51.984814580593998</c:v>
                </c:pt>
                <c:pt idx="772">
                  <c:v>52.088264862507003</c:v>
                </c:pt>
                <c:pt idx="773">
                  <c:v>52.225816445467999</c:v>
                </c:pt>
                <c:pt idx="774">
                  <c:v>52.378793399785003</c:v>
                </c:pt>
                <c:pt idx="775">
                  <c:v>52.514358408524998</c:v>
                </c:pt>
                <c:pt idx="776">
                  <c:v>52.641445800644</c:v>
                </c:pt>
                <c:pt idx="777">
                  <c:v>52.746591466641</c:v>
                </c:pt>
                <c:pt idx="778">
                  <c:v>52.839603777062003</c:v>
                </c:pt>
                <c:pt idx="779">
                  <c:v>52.947469260139997</c:v>
                </c:pt>
                <c:pt idx="780">
                  <c:v>53.055417712009998</c:v>
                </c:pt>
                <c:pt idx="781">
                  <c:v>53.142394229479002</c:v>
                </c:pt>
                <c:pt idx="782">
                  <c:v>53.212565177499997</c:v>
                </c:pt>
                <c:pt idx="783">
                  <c:v>53.297139730623996</c:v>
                </c:pt>
                <c:pt idx="784">
                  <c:v>53.363902781085002</c:v>
                </c:pt>
                <c:pt idx="785">
                  <c:v>53.422377552367003</c:v>
                </c:pt>
                <c:pt idx="786">
                  <c:v>53.464899675852998</c:v>
                </c:pt>
                <c:pt idx="787">
                  <c:v>53.514392755136001</c:v>
                </c:pt>
                <c:pt idx="788">
                  <c:v>53.556419323848999</c:v>
                </c:pt>
                <c:pt idx="789">
                  <c:v>53.592445212232001</c:v>
                </c:pt>
                <c:pt idx="790">
                  <c:v>53.624167048696997</c:v>
                </c:pt>
                <c:pt idx="791">
                  <c:v>53.653524391931001</c:v>
                </c:pt>
                <c:pt idx="792">
                  <c:v>53.655557876739003</c:v>
                </c:pt>
                <c:pt idx="793">
                  <c:v>53.645630255253998</c:v>
                </c:pt>
                <c:pt idx="794">
                  <c:v>53.644769322915998</c:v>
                </c:pt>
                <c:pt idx="795">
                  <c:v>53.632335342243998</c:v>
                </c:pt>
                <c:pt idx="796">
                  <c:v>53.605454886008999</c:v>
                </c:pt>
                <c:pt idx="797">
                  <c:v>53.574043476467999</c:v>
                </c:pt>
                <c:pt idx="798">
                  <c:v>53.530394326842</c:v>
                </c:pt>
                <c:pt idx="799">
                  <c:v>53.462775974940001</c:v>
                </c:pt>
                <c:pt idx="800">
                  <c:v>53.409179166548</c:v>
                </c:pt>
                <c:pt idx="801">
                  <c:v>53.331638222233003</c:v>
                </c:pt>
                <c:pt idx="802">
                  <c:v>53.251483906007003</c:v>
                </c:pt>
                <c:pt idx="803">
                  <c:v>53.181664607925001</c:v>
                </c:pt>
                <c:pt idx="804">
                  <c:v>53.098220057191</c:v>
                </c:pt>
                <c:pt idx="805">
                  <c:v>52.995742638956997</c:v>
                </c:pt>
                <c:pt idx="806">
                  <c:v>52.905199265657998</c:v>
                </c:pt>
                <c:pt idx="807">
                  <c:v>52.82003252893</c:v>
                </c:pt>
                <c:pt idx="808">
                  <c:v>52.726114253822999</c:v>
                </c:pt>
                <c:pt idx="809">
                  <c:v>52.614221462426002</c:v>
                </c:pt>
                <c:pt idx="810">
                  <c:v>52.510243920929</c:v>
                </c:pt>
                <c:pt idx="811">
                  <c:v>52.370902956904999</c:v>
                </c:pt>
                <c:pt idx="812">
                  <c:v>52.258788470383998</c:v>
                </c:pt>
                <c:pt idx="813">
                  <c:v>52.114586569255003</c:v>
                </c:pt>
                <c:pt idx="814">
                  <c:v>51.960931656985998</c:v>
                </c:pt>
                <c:pt idx="815">
                  <c:v>51.784393554266998</c:v>
                </c:pt>
                <c:pt idx="816">
                  <c:v>51.640069777873002</c:v>
                </c:pt>
                <c:pt idx="817">
                  <c:v>51.488733313857999</c:v>
                </c:pt>
                <c:pt idx="818">
                  <c:v>51.386187090203997</c:v>
                </c:pt>
                <c:pt idx="819">
                  <c:v>51.272633653767002</c:v>
                </c:pt>
                <c:pt idx="820">
                  <c:v>51.130034038631003</c:v>
                </c:pt>
                <c:pt idx="821">
                  <c:v>50.986946680446998</c:v>
                </c:pt>
                <c:pt idx="822">
                  <c:v>50.853647898010003</c:v>
                </c:pt>
                <c:pt idx="823">
                  <c:v>50.730387313747997</c:v>
                </c:pt>
                <c:pt idx="824">
                  <c:v>50.635364449381001</c:v>
                </c:pt>
                <c:pt idx="825">
                  <c:v>50.523818924463001</c:v>
                </c:pt>
                <c:pt idx="826">
                  <c:v>50.335965329661001</c:v>
                </c:pt>
                <c:pt idx="827">
                  <c:v>50.166298893076998</c:v>
                </c:pt>
                <c:pt idx="828">
                  <c:v>49.962018327861003</c:v>
                </c:pt>
                <c:pt idx="829">
                  <c:v>49.835288379624998</c:v>
                </c:pt>
                <c:pt idx="830">
                  <c:v>49.798800310807998</c:v>
                </c:pt>
                <c:pt idx="831">
                  <c:v>49.600145115594998</c:v>
                </c:pt>
                <c:pt idx="832">
                  <c:v>49.452257889705997</c:v>
                </c:pt>
                <c:pt idx="833">
                  <c:v>49.320213088915999</c:v>
                </c:pt>
                <c:pt idx="834">
                  <c:v>49.198355780843002</c:v>
                </c:pt>
                <c:pt idx="835">
                  <c:v>49.15050659117</c:v>
                </c:pt>
                <c:pt idx="836">
                  <c:v>49.078696944592998</c:v>
                </c:pt>
                <c:pt idx="837">
                  <c:v>48.973684811890003</c:v>
                </c:pt>
                <c:pt idx="838">
                  <c:v>48.901585958192001</c:v>
                </c:pt>
                <c:pt idx="839">
                  <c:v>48.844442983158999</c:v>
                </c:pt>
                <c:pt idx="840">
                  <c:v>48.823936056199997</c:v>
                </c:pt>
                <c:pt idx="841">
                  <c:v>48.804766448236997</c:v>
                </c:pt>
                <c:pt idx="842">
                  <c:v>48.804414598614002</c:v>
                </c:pt>
                <c:pt idx="843">
                  <c:v>48.790482779100998</c:v>
                </c:pt>
                <c:pt idx="844">
                  <c:v>48.785347785417997</c:v>
                </c:pt>
                <c:pt idx="845">
                  <c:v>48.806723510155997</c:v>
                </c:pt>
                <c:pt idx="846">
                  <c:v>48.840455454477002</c:v>
                </c:pt>
                <c:pt idx="847">
                  <c:v>48.871598166532003</c:v>
                </c:pt>
                <c:pt idx="848">
                  <c:v>48.911737771390001</c:v>
                </c:pt>
                <c:pt idx="849">
                  <c:v>48.956700471067997</c:v>
                </c:pt>
                <c:pt idx="850">
                  <c:v>49.007144163722003</c:v>
                </c:pt>
                <c:pt idx="851">
                  <c:v>49.066723220897003</c:v>
                </c:pt>
                <c:pt idx="852">
                  <c:v>49.132527985247002</c:v>
                </c:pt>
                <c:pt idx="853">
                  <c:v>49.208038019096001</c:v>
                </c:pt>
                <c:pt idx="854">
                  <c:v>49.303009531039002</c:v>
                </c:pt>
                <c:pt idx="855">
                  <c:v>49.36783519203</c:v>
                </c:pt>
                <c:pt idx="856">
                  <c:v>49.441439644915</c:v>
                </c:pt>
                <c:pt idx="857">
                  <c:v>49.522581916674</c:v>
                </c:pt>
                <c:pt idx="858">
                  <c:v>49.621511850155997</c:v>
                </c:pt>
                <c:pt idx="859">
                  <c:v>49.766962806305997</c:v>
                </c:pt>
                <c:pt idx="860">
                  <c:v>49.840778720095997</c:v>
                </c:pt>
                <c:pt idx="861">
                  <c:v>49.907946168735997</c:v>
                </c:pt>
                <c:pt idx="862">
                  <c:v>49.966610819404004</c:v>
                </c:pt>
                <c:pt idx="863">
                  <c:v>50.030708648162999</c:v>
                </c:pt>
                <c:pt idx="864">
                  <c:v>50.079111565867997</c:v>
                </c:pt>
                <c:pt idx="865">
                  <c:v>50.067872512583001</c:v>
                </c:pt>
                <c:pt idx="866">
                  <c:v>50.070725885618003</c:v>
                </c:pt>
                <c:pt idx="867">
                  <c:v>50.011530893393001</c:v>
                </c:pt>
                <c:pt idx="868">
                  <c:v>50.026933062227997</c:v>
                </c:pt>
                <c:pt idx="869">
                  <c:v>49.972266152065998</c:v>
                </c:pt>
                <c:pt idx="870">
                  <c:v>49.868405590443999</c:v>
                </c:pt>
                <c:pt idx="871">
                  <c:v>49.84408531343</c:v>
                </c:pt>
                <c:pt idx="872">
                  <c:v>49.809097745058999</c:v>
                </c:pt>
                <c:pt idx="873">
                  <c:v>49.773043216120001</c:v>
                </c:pt>
                <c:pt idx="874">
                  <c:v>49.692924493580001</c:v>
                </c:pt>
                <c:pt idx="875">
                  <c:v>49.592878826147</c:v>
                </c:pt>
                <c:pt idx="876">
                  <c:v>49.479244445912002</c:v>
                </c:pt>
                <c:pt idx="877">
                  <c:v>49.336186739624999</c:v>
                </c:pt>
                <c:pt idx="878">
                  <c:v>49.191117085925001</c:v>
                </c:pt>
                <c:pt idx="879">
                  <c:v>49.028863882457998</c:v>
                </c:pt>
                <c:pt idx="880">
                  <c:v>48.870653017648003</c:v>
                </c:pt>
                <c:pt idx="881">
                  <c:v>48.704049534520998</c:v>
                </c:pt>
                <c:pt idx="882">
                  <c:v>48.532882691075997</c:v>
                </c:pt>
                <c:pt idx="883">
                  <c:v>48.354316108340001</c:v>
                </c:pt>
                <c:pt idx="884">
                  <c:v>48.161173778409001</c:v>
                </c:pt>
                <c:pt idx="885">
                  <c:v>47.936185207759998</c:v>
                </c:pt>
                <c:pt idx="886">
                  <c:v>47.720055067769998</c:v>
                </c:pt>
                <c:pt idx="887">
                  <c:v>47.496458444848003</c:v>
                </c:pt>
                <c:pt idx="888">
                  <c:v>47.265932479759996</c:v>
                </c:pt>
                <c:pt idx="889">
                  <c:v>47.023266318090002</c:v>
                </c:pt>
                <c:pt idx="890">
                  <c:v>46.767776314808998</c:v>
                </c:pt>
                <c:pt idx="891">
                  <c:v>46.507360308411002</c:v>
                </c:pt>
                <c:pt idx="892">
                  <c:v>46.23968911491</c:v>
                </c:pt>
                <c:pt idx="893">
                  <c:v>45.959797244265999</c:v>
                </c:pt>
                <c:pt idx="894">
                  <c:v>45.671186071191997</c:v>
                </c:pt>
                <c:pt idx="895">
                  <c:v>45.371602884131001</c:v>
                </c:pt>
                <c:pt idx="896">
                  <c:v>45.057470493879002</c:v>
                </c:pt>
                <c:pt idx="897">
                  <c:v>44.741629988055998</c:v>
                </c:pt>
                <c:pt idx="898">
                  <c:v>44.436890967299</c:v>
                </c:pt>
                <c:pt idx="899">
                  <c:v>44.134180489446003</c:v>
                </c:pt>
                <c:pt idx="900">
                  <c:v>43.822671325788001</c:v>
                </c:pt>
                <c:pt idx="901">
                  <c:v>43.499481721248998</c:v>
                </c:pt>
                <c:pt idx="902">
                  <c:v>43.181285084549003</c:v>
                </c:pt>
                <c:pt idx="903">
                  <c:v>42.889648074629001</c:v>
                </c:pt>
                <c:pt idx="904">
                  <c:v>42.605788624615997</c:v>
                </c:pt>
                <c:pt idx="905">
                  <c:v>42.335269047705999</c:v>
                </c:pt>
                <c:pt idx="906">
                  <c:v>42.076722498732003</c:v>
                </c:pt>
                <c:pt idx="907">
                  <c:v>41.863742552269002</c:v>
                </c:pt>
                <c:pt idx="908">
                  <c:v>41.630466515621002</c:v>
                </c:pt>
                <c:pt idx="909">
                  <c:v>41.413566129865004</c:v>
                </c:pt>
                <c:pt idx="910">
                  <c:v>41.237677549624003</c:v>
                </c:pt>
                <c:pt idx="911">
                  <c:v>41.099299216534</c:v>
                </c:pt>
                <c:pt idx="912">
                  <c:v>40.967606593204998</c:v>
                </c:pt>
                <c:pt idx="913">
                  <c:v>40.850661215354002</c:v>
                </c:pt>
                <c:pt idx="914">
                  <c:v>40.809653533518002</c:v>
                </c:pt>
                <c:pt idx="915">
                  <c:v>40.749165158982997</c:v>
                </c:pt>
                <c:pt idx="916">
                  <c:v>40.687999509641003</c:v>
                </c:pt>
                <c:pt idx="917">
                  <c:v>40.719861002632001</c:v>
                </c:pt>
                <c:pt idx="918">
                  <c:v>40.746373190592003</c:v>
                </c:pt>
                <c:pt idx="919">
                  <c:v>40.715294185932002</c:v>
                </c:pt>
                <c:pt idx="920">
                  <c:v>40.667277903949</c:v>
                </c:pt>
                <c:pt idx="921">
                  <c:v>40.655124779307997</c:v>
                </c:pt>
                <c:pt idx="922">
                  <c:v>40.648083318342003</c:v>
                </c:pt>
                <c:pt idx="923">
                  <c:v>40.655267263262999</c:v>
                </c:pt>
                <c:pt idx="924">
                  <c:v>40.656376940000001</c:v>
                </c:pt>
                <c:pt idx="925">
                  <c:v>40.638193381682001</c:v>
                </c:pt>
                <c:pt idx="926">
                  <c:v>40.618392935819998</c:v>
                </c:pt>
                <c:pt idx="927">
                  <c:v>40.586842906647</c:v>
                </c:pt>
                <c:pt idx="928">
                  <c:v>40.563581179967997</c:v>
                </c:pt>
                <c:pt idx="929">
                  <c:v>40.569027511538998</c:v>
                </c:pt>
                <c:pt idx="930">
                  <c:v>40.574904689214002</c:v>
                </c:pt>
                <c:pt idx="931">
                  <c:v>40.570865505180997</c:v>
                </c:pt>
                <c:pt idx="932">
                  <c:v>40.554802952751999</c:v>
                </c:pt>
                <c:pt idx="933">
                  <c:v>40.546462732266001</c:v>
                </c:pt>
                <c:pt idx="934">
                  <c:v>40.536398348086998</c:v>
                </c:pt>
                <c:pt idx="935">
                  <c:v>40.516786528036</c:v>
                </c:pt>
                <c:pt idx="936">
                  <c:v>40.484309296516997</c:v>
                </c:pt>
                <c:pt idx="937">
                  <c:v>40.462479019165997</c:v>
                </c:pt>
                <c:pt idx="938">
                  <c:v>40.438531825433003</c:v>
                </c:pt>
                <c:pt idx="939">
                  <c:v>40.412676553773998</c:v>
                </c:pt>
                <c:pt idx="940">
                  <c:v>40.388132521625998</c:v>
                </c:pt>
                <c:pt idx="941">
                  <c:v>40.356198616843997</c:v>
                </c:pt>
                <c:pt idx="942">
                  <c:v>40.348019053153998</c:v>
                </c:pt>
                <c:pt idx="943">
                  <c:v>40.335938560823003</c:v>
                </c:pt>
                <c:pt idx="944">
                  <c:v>40.316118379549003</c:v>
                </c:pt>
                <c:pt idx="945">
                  <c:v>40.307782721542999</c:v>
                </c:pt>
                <c:pt idx="946">
                  <c:v>40.295045909008003</c:v>
                </c:pt>
                <c:pt idx="947">
                  <c:v>40.274821813113</c:v>
                </c:pt>
                <c:pt idx="948">
                  <c:v>40.252813055335999</c:v>
                </c:pt>
                <c:pt idx="949">
                  <c:v>40.245018026347999</c:v>
                </c:pt>
                <c:pt idx="950">
                  <c:v>40.218999050567</c:v>
                </c:pt>
                <c:pt idx="951">
                  <c:v>40.186895450945002</c:v>
                </c:pt>
                <c:pt idx="952">
                  <c:v>40.167833809004001</c:v>
                </c:pt>
                <c:pt idx="953">
                  <c:v>40.156078519406996</c:v>
                </c:pt>
                <c:pt idx="954">
                  <c:v>40.126996747433999</c:v>
                </c:pt>
                <c:pt idx="955">
                  <c:v>40.078060194320997</c:v>
                </c:pt>
                <c:pt idx="956">
                  <c:v>40.019394199099999</c:v>
                </c:pt>
                <c:pt idx="957">
                  <c:v>39.913784821999997</c:v>
                </c:pt>
                <c:pt idx="958">
                  <c:v>39.841457400290999</c:v>
                </c:pt>
                <c:pt idx="959">
                  <c:v>39.834085366720998</c:v>
                </c:pt>
                <c:pt idx="960">
                  <c:v>39.831505090726999</c:v>
                </c:pt>
                <c:pt idx="961">
                  <c:v>39.772533262994003</c:v>
                </c:pt>
                <c:pt idx="962">
                  <c:v>39.756670581602002</c:v>
                </c:pt>
                <c:pt idx="963">
                  <c:v>39.740259617264002</c:v>
                </c:pt>
                <c:pt idx="964">
                  <c:v>39.724570399219999</c:v>
                </c:pt>
                <c:pt idx="965">
                  <c:v>39.720217603175001</c:v>
                </c:pt>
                <c:pt idx="966">
                  <c:v>39.738390854805999</c:v>
                </c:pt>
                <c:pt idx="967">
                  <c:v>39.758357836739997</c:v>
                </c:pt>
                <c:pt idx="968">
                  <c:v>39.777013034492001</c:v>
                </c:pt>
                <c:pt idx="969">
                  <c:v>39.788052885478002</c:v>
                </c:pt>
                <c:pt idx="970">
                  <c:v>39.834316919815002</c:v>
                </c:pt>
                <c:pt idx="971">
                  <c:v>39.891577245968001</c:v>
                </c:pt>
                <c:pt idx="972">
                  <c:v>39.938530509768</c:v>
                </c:pt>
                <c:pt idx="973">
                  <c:v>39.986123855624001</c:v>
                </c:pt>
                <c:pt idx="974">
                  <c:v>40.047992050201003</c:v>
                </c:pt>
                <c:pt idx="975">
                  <c:v>40.100600309568001</c:v>
                </c:pt>
                <c:pt idx="976">
                  <c:v>40.139494583092002</c:v>
                </c:pt>
                <c:pt idx="977">
                  <c:v>40.168903436390998</c:v>
                </c:pt>
                <c:pt idx="978">
                  <c:v>40.181835863223</c:v>
                </c:pt>
                <c:pt idx="979">
                  <c:v>40.178361058046001</c:v>
                </c:pt>
                <c:pt idx="980">
                  <c:v>40.150869387855003</c:v>
                </c:pt>
                <c:pt idx="981">
                  <c:v>40.106860588814001</c:v>
                </c:pt>
                <c:pt idx="982">
                  <c:v>40.06119368105</c:v>
                </c:pt>
                <c:pt idx="983">
                  <c:v>39.989477056928997</c:v>
                </c:pt>
                <c:pt idx="984">
                  <c:v>39.924270380661</c:v>
                </c:pt>
                <c:pt idx="985">
                  <c:v>39.866981871862997</c:v>
                </c:pt>
                <c:pt idx="986">
                  <c:v>39.795280322535</c:v>
                </c:pt>
                <c:pt idx="987">
                  <c:v>39.766229527123002</c:v>
                </c:pt>
                <c:pt idx="988">
                  <c:v>39.747806951289</c:v>
                </c:pt>
                <c:pt idx="989">
                  <c:v>39.753230493415003</c:v>
                </c:pt>
                <c:pt idx="990">
                  <c:v>39.786726582509999</c:v>
                </c:pt>
                <c:pt idx="991">
                  <c:v>39.859890284433</c:v>
                </c:pt>
                <c:pt idx="992">
                  <c:v>39.952404123900003</c:v>
                </c:pt>
                <c:pt idx="993">
                  <c:v>40.071233309434</c:v>
                </c:pt>
                <c:pt idx="994">
                  <c:v>40.215471264556001</c:v>
                </c:pt>
                <c:pt idx="995">
                  <c:v>40.399905354718001</c:v>
                </c:pt>
                <c:pt idx="996">
                  <c:v>40.562097335513997</c:v>
                </c:pt>
                <c:pt idx="997">
                  <c:v>40.733642419695002</c:v>
                </c:pt>
                <c:pt idx="998">
                  <c:v>41.040025572590999</c:v>
                </c:pt>
                <c:pt idx="999">
                  <c:v>41.579277045338003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4208"/>
        <c:axId val="572264752"/>
      </c:scatterChart>
      <c:valAx>
        <c:axId val="57226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752"/>
        <c:crosses val="autoZero"/>
        <c:crossBetween val="midCat"/>
      </c:valAx>
      <c:valAx>
        <c:axId val="5722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Center Radius</a:t>
                </a:r>
                <a:r>
                  <a:rPr lang="en-US" altLang="ko-KR" baseline="0"/>
                  <a:t> </a:t>
                </a:r>
                <a:r>
                  <a:rPr lang="en-US" altLang="ko-KR"/>
                  <a:t>(mm)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'zero-1'!$U$2:$U$1001</c:f>
              <c:numCache>
                <c:formatCode>0.0_ </c:formatCode>
                <c:ptCount val="1000"/>
                <c:pt idx="0">
                  <c:v>-4.0426275746989999</c:v>
                </c:pt>
                <c:pt idx="1">
                  <c:v>-3.8589938622609998</c:v>
                </c:pt>
                <c:pt idx="2">
                  <c:v>-3.6837392324980001</c:v>
                </c:pt>
                <c:pt idx="3">
                  <c:v>-3.409714804729</c:v>
                </c:pt>
                <c:pt idx="4">
                  <c:v>-3.195122687489</c:v>
                </c:pt>
                <c:pt idx="5">
                  <c:v>-2.978966980974</c:v>
                </c:pt>
                <c:pt idx="6">
                  <c:v>-2.7225007711579998</c:v>
                </c:pt>
                <c:pt idx="7">
                  <c:v>-2.5907883757639998</c:v>
                </c:pt>
                <c:pt idx="8">
                  <c:v>-2.4345175202339999</c:v>
                </c:pt>
                <c:pt idx="9">
                  <c:v>-2.1946277111920001</c:v>
                </c:pt>
                <c:pt idx="10">
                  <c:v>-2.0231132670949998</c:v>
                </c:pt>
                <c:pt idx="11">
                  <c:v>-1.8534849933169999</c:v>
                </c:pt>
                <c:pt idx="12">
                  <c:v>-1.589508978629</c:v>
                </c:pt>
                <c:pt idx="13">
                  <c:v>-1.397561985047</c:v>
                </c:pt>
                <c:pt idx="14">
                  <c:v>-1.197148946515</c:v>
                </c:pt>
                <c:pt idx="15">
                  <c:v>-1.079126131744</c:v>
                </c:pt>
                <c:pt idx="16">
                  <c:v>-0.915430769044</c:v>
                </c:pt>
                <c:pt idx="17">
                  <c:v>-0.80779930213700002</c:v>
                </c:pt>
                <c:pt idx="18">
                  <c:v>-0.67923932159400002</c:v>
                </c:pt>
                <c:pt idx="19">
                  <c:v>-0.546697171925</c:v>
                </c:pt>
                <c:pt idx="20">
                  <c:v>-0.44715027448</c:v>
                </c:pt>
                <c:pt idx="21">
                  <c:v>-0.33001675532399999</c:v>
                </c:pt>
                <c:pt idx="22">
                  <c:v>-0.22021224141699999</c:v>
                </c:pt>
                <c:pt idx="23">
                  <c:v>-0.114753122845</c:v>
                </c:pt>
                <c:pt idx="24">
                  <c:v>-3.0477616347000001E-2</c:v>
                </c:pt>
                <c:pt idx="25">
                  <c:v>4.2101215991600001E-2</c:v>
                </c:pt>
                <c:pt idx="26">
                  <c:v>0.11740067687529999</c:v>
                </c:pt>
                <c:pt idx="27">
                  <c:v>0.1935454200974</c:v>
                </c:pt>
                <c:pt idx="28">
                  <c:v>0.28255350852990002</c:v>
                </c:pt>
                <c:pt idx="29">
                  <c:v>0.35275124672949998</c:v>
                </c:pt>
                <c:pt idx="30">
                  <c:v>0.41895181300790002</c:v>
                </c:pt>
                <c:pt idx="31">
                  <c:v>0.49260723661740002</c:v>
                </c:pt>
                <c:pt idx="32">
                  <c:v>0.55852906362779997</c:v>
                </c:pt>
                <c:pt idx="33">
                  <c:v>0.64707671912469999</c:v>
                </c:pt>
                <c:pt idx="34">
                  <c:v>0.73961396629609999</c:v>
                </c:pt>
                <c:pt idx="35">
                  <c:v>0.81076432631259998</c:v>
                </c:pt>
                <c:pt idx="36">
                  <c:v>0.85260122504979996</c:v>
                </c:pt>
                <c:pt idx="37">
                  <c:v>0.92340635866510001</c:v>
                </c:pt>
                <c:pt idx="38">
                  <c:v>1.0316810329820001</c:v>
                </c:pt>
                <c:pt idx="39">
                  <c:v>1.1439203856435001</c:v>
                </c:pt>
                <c:pt idx="40">
                  <c:v>1.2230737324609</c:v>
                </c:pt>
                <c:pt idx="41">
                  <c:v>1.3370387351438999</c:v>
                </c:pt>
                <c:pt idx="42">
                  <c:v>1.4741400760272001</c:v>
                </c:pt>
                <c:pt idx="43">
                  <c:v>1.5763817939911999</c:v>
                </c:pt>
                <c:pt idx="44">
                  <c:v>1.7230183049414001</c:v>
                </c:pt>
                <c:pt idx="45">
                  <c:v>1.8622511665000001</c:v>
                </c:pt>
                <c:pt idx="46">
                  <c:v>2.0015675295033</c:v>
                </c:pt>
                <c:pt idx="47">
                  <c:v>2.1911024583751</c:v>
                </c:pt>
                <c:pt idx="48">
                  <c:v>2.3775954612947001</c:v>
                </c:pt>
                <c:pt idx="49">
                  <c:v>2.5531491676120002</c:v>
                </c:pt>
                <c:pt idx="50">
                  <c:v>2.7542066277048001</c:v>
                </c:pt>
                <c:pt idx="51">
                  <c:v>2.9889544399885999</c:v>
                </c:pt>
                <c:pt idx="52">
                  <c:v>3.2188288710194</c:v>
                </c:pt>
                <c:pt idx="53">
                  <c:v>3.4756200983241001</c:v>
                </c:pt>
                <c:pt idx="54">
                  <c:v>3.7403543608991998</c:v>
                </c:pt>
                <c:pt idx="55">
                  <c:v>4.0125492673969001</c:v>
                </c:pt>
                <c:pt idx="56">
                  <c:v>4.2913586305395004</c:v>
                </c:pt>
                <c:pt idx="57">
                  <c:v>4.6040371886660996</c:v>
                </c:pt>
                <c:pt idx="58">
                  <c:v>4.9129753020955</c:v>
                </c:pt>
                <c:pt idx="59">
                  <c:v>5.2515487738587003</c:v>
                </c:pt>
                <c:pt idx="60">
                  <c:v>5.5702690871289002</c:v>
                </c:pt>
                <c:pt idx="61">
                  <c:v>5.9034401889210999</c:v>
                </c:pt>
                <c:pt idx="62">
                  <c:v>6.2535139445818997</c:v>
                </c:pt>
                <c:pt idx="63">
                  <c:v>6.6092113708431999</c:v>
                </c:pt>
                <c:pt idx="64">
                  <c:v>6.9728319945243999</c:v>
                </c:pt>
                <c:pt idx="65">
                  <c:v>7.3474918825635998</c:v>
                </c:pt>
                <c:pt idx="66">
                  <c:v>7.7249143129553</c:v>
                </c:pt>
                <c:pt idx="67">
                  <c:v>8.1105714461843004</c:v>
                </c:pt>
                <c:pt idx="68">
                  <c:v>8.5001273962163992</c:v>
                </c:pt>
                <c:pt idx="69">
                  <c:v>8.9017995655804008</c:v>
                </c:pt>
                <c:pt idx="70">
                  <c:v>9.3131224440537004</c:v>
                </c:pt>
                <c:pt idx="71">
                  <c:v>9.7414281472205992</c:v>
                </c:pt>
                <c:pt idx="72">
                  <c:v>10.179263812528999</c:v>
                </c:pt>
                <c:pt idx="73">
                  <c:v>10.619863938016</c:v>
                </c:pt>
                <c:pt idx="74">
                  <c:v>11.07314559324</c:v>
                </c:pt>
                <c:pt idx="75">
                  <c:v>11.536860406231</c:v>
                </c:pt>
                <c:pt idx="76">
                  <c:v>12.008524597080999</c:v>
                </c:pt>
                <c:pt idx="77">
                  <c:v>12.491928127181</c:v>
                </c:pt>
                <c:pt idx="78">
                  <c:v>12.984415366532</c:v>
                </c:pt>
                <c:pt idx="79">
                  <c:v>13.481735243219999</c:v>
                </c:pt>
                <c:pt idx="80">
                  <c:v>13.978229236889</c:v>
                </c:pt>
                <c:pt idx="81">
                  <c:v>14.479782164231001</c:v>
                </c:pt>
                <c:pt idx="82">
                  <c:v>14.996780926203</c:v>
                </c:pt>
                <c:pt idx="83">
                  <c:v>15.519368059608</c:v>
                </c:pt>
                <c:pt idx="84">
                  <c:v>16.034310879555001</c:v>
                </c:pt>
                <c:pt idx="85">
                  <c:v>16.543639894238002</c:v>
                </c:pt>
                <c:pt idx="86">
                  <c:v>17.048927563944002</c:v>
                </c:pt>
                <c:pt idx="87">
                  <c:v>17.537550920571999</c:v>
                </c:pt>
                <c:pt idx="88">
                  <c:v>18.039059861136</c:v>
                </c:pt>
                <c:pt idx="89">
                  <c:v>18.522366551805</c:v>
                </c:pt>
                <c:pt idx="90">
                  <c:v>19.012910842857998</c:v>
                </c:pt>
                <c:pt idx="91">
                  <c:v>19.497963908241999</c:v>
                </c:pt>
                <c:pt idx="92">
                  <c:v>19.981973822427001</c:v>
                </c:pt>
                <c:pt idx="93">
                  <c:v>20.419465283767</c:v>
                </c:pt>
                <c:pt idx="94">
                  <c:v>20.872222608552999</c:v>
                </c:pt>
                <c:pt idx="95">
                  <c:v>21.352770926179002</c:v>
                </c:pt>
                <c:pt idx="96">
                  <c:v>21.789230592433</c:v>
                </c:pt>
                <c:pt idx="97">
                  <c:v>22.229012550324001</c:v>
                </c:pt>
                <c:pt idx="98">
                  <c:v>22.676438840115999</c:v>
                </c:pt>
                <c:pt idx="99">
                  <c:v>23.099593020535998</c:v>
                </c:pt>
                <c:pt idx="100">
                  <c:v>23.543958344353001</c:v>
                </c:pt>
                <c:pt idx="101">
                  <c:v>23.988530368138999</c:v>
                </c:pt>
                <c:pt idx="102">
                  <c:v>24.423329831301999</c:v>
                </c:pt>
                <c:pt idx="103">
                  <c:v>24.864892177523998</c:v>
                </c:pt>
                <c:pt idx="104">
                  <c:v>25.306688520643998</c:v>
                </c:pt>
                <c:pt idx="105">
                  <c:v>25.750859992068001</c:v>
                </c:pt>
                <c:pt idx="106">
                  <c:v>26.195744467657001</c:v>
                </c:pt>
                <c:pt idx="107">
                  <c:v>26.642360369679999</c:v>
                </c:pt>
                <c:pt idx="108">
                  <c:v>27.087739747478999</c:v>
                </c:pt>
                <c:pt idx="109">
                  <c:v>27.536961404393001</c:v>
                </c:pt>
                <c:pt idx="110">
                  <c:v>27.998573078416001</c:v>
                </c:pt>
                <c:pt idx="111">
                  <c:v>28.449969302664002</c:v>
                </c:pt>
                <c:pt idx="112">
                  <c:v>28.908520537017001</c:v>
                </c:pt>
                <c:pt idx="113">
                  <c:v>29.374194257629</c:v>
                </c:pt>
                <c:pt idx="114">
                  <c:v>29.845735042929999</c:v>
                </c:pt>
                <c:pt idx="115">
                  <c:v>30.315204671983</c:v>
                </c:pt>
                <c:pt idx="116">
                  <c:v>30.784818120046001</c:v>
                </c:pt>
                <c:pt idx="117">
                  <c:v>31.270172505173001</c:v>
                </c:pt>
                <c:pt idx="118">
                  <c:v>31.749957760929</c:v>
                </c:pt>
                <c:pt idx="119">
                  <c:v>32.229409402216</c:v>
                </c:pt>
                <c:pt idx="120">
                  <c:v>32.722357620575998</c:v>
                </c:pt>
                <c:pt idx="121">
                  <c:v>33.198897149395002</c:v>
                </c:pt>
                <c:pt idx="122">
                  <c:v>33.670815382613</c:v>
                </c:pt>
                <c:pt idx="123">
                  <c:v>34.146512535641001</c:v>
                </c:pt>
                <c:pt idx="124">
                  <c:v>34.636368692384004</c:v>
                </c:pt>
                <c:pt idx="125">
                  <c:v>35.133096568070002</c:v>
                </c:pt>
                <c:pt idx="126">
                  <c:v>35.620856718790002</c:v>
                </c:pt>
                <c:pt idx="127">
                  <c:v>36.126128805314004</c:v>
                </c:pt>
                <c:pt idx="128">
                  <c:v>36.629454755967998</c:v>
                </c:pt>
                <c:pt idx="129">
                  <c:v>37.126089202597001</c:v>
                </c:pt>
                <c:pt idx="130">
                  <c:v>37.593082776792997</c:v>
                </c:pt>
                <c:pt idx="131">
                  <c:v>38.074385704049</c:v>
                </c:pt>
                <c:pt idx="132">
                  <c:v>38.537287027398001</c:v>
                </c:pt>
                <c:pt idx="133">
                  <c:v>39.011124328439003</c:v>
                </c:pt>
                <c:pt idx="134">
                  <c:v>39.494290811649002</c:v>
                </c:pt>
                <c:pt idx="135">
                  <c:v>39.970583697824999</c:v>
                </c:pt>
                <c:pt idx="136">
                  <c:v>40.437688275924998</c:v>
                </c:pt>
                <c:pt idx="137">
                  <c:v>40.901550741876001</c:v>
                </c:pt>
                <c:pt idx="138">
                  <c:v>41.387714867424997</c:v>
                </c:pt>
                <c:pt idx="139">
                  <c:v>41.859761525906997</c:v>
                </c:pt>
                <c:pt idx="140">
                  <c:v>42.308571226239998</c:v>
                </c:pt>
                <c:pt idx="141">
                  <c:v>42.794059214108998</c:v>
                </c:pt>
                <c:pt idx="142">
                  <c:v>43.258753227638998</c:v>
                </c:pt>
                <c:pt idx="143">
                  <c:v>43.719319310275999</c:v>
                </c:pt>
                <c:pt idx="144">
                  <c:v>44.198563243982001</c:v>
                </c:pt>
                <c:pt idx="145">
                  <c:v>44.633802101771003</c:v>
                </c:pt>
                <c:pt idx="146">
                  <c:v>45.135487528474997</c:v>
                </c:pt>
                <c:pt idx="147">
                  <c:v>45.642593438879999</c:v>
                </c:pt>
                <c:pt idx="148">
                  <c:v>46.126225900393997</c:v>
                </c:pt>
                <c:pt idx="149">
                  <c:v>46.573243936784998</c:v>
                </c:pt>
                <c:pt idx="150">
                  <c:v>47.048603595678998</c:v>
                </c:pt>
                <c:pt idx="151">
                  <c:v>47.539797365312999</c:v>
                </c:pt>
                <c:pt idx="152">
                  <c:v>48.020821605149997</c:v>
                </c:pt>
                <c:pt idx="153">
                  <c:v>48.492637435585998</c:v>
                </c:pt>
                <c:pt idx="154">
                  <c:v>48.972693989992003</c:v>
                </c:pt>
                <c:pt idx="155">
                  <c:v>49.466071192469002</c:v>
                </c:pt>
                <c:pt idx="156">
                  <c:v>49.944803876595003</c:v>
                </c:pt>
                <c:pt idx="157">
                  <c:v>50.404632391636</c:v>
                </c:pt>
                <c:pt idx="158">
                  <c:v>50.885660059258001</c:v>
                </c:pt>
                <c:pt idx="159">
                  <c:v>51.361067366806999</c:v>
                </c:pt>
                <c:pt idx="160">
                  <c:v>51.837882089430003</c:v>
                </c:pt>
                <c:pt idx="161">
                  <c:v>52.330993920535001</c:v>
                </c:pt>
                <c:pt idx="162">
                  <c:v>52.813997524580998</c:v>
                </c:pt>
                <c:pt idx="163">
                  <c:v>53.290830423164998</c:v>
                </c:pt>
                <c:pt idx="164">
                  <c:v>53.779056459712997</c:v>
                </c:pt>
                <c:pt idx="165">
                  <c:v>54.259793969969998</c:v>
                </c:pt>
                <c:pt idx="166">
                  <c:v>54.74304085048</c:v>
                </c:pt>
                <c:pt idx="167">
                  <c:v>55.227775640559997</c:v>
                </c:pt>
                <c:pt idx="168">
                  <c:v>55.714201730688998</c:v>
                </c:pt>
                <c:pt idx="169">
                  <c:v>56.195515560910003</c:v>
                </c:pt>
                <c:pt idx="170">
                  <c:v>56.677776437562997</c:v>
                </c:pt>
                <c:pt idx="171">
                  <c:v>57.161965871360003</c:v>
                </c:pt>
                <c:pt idx="172">
                  <c:v>57.6512621149</c:v>
                </c:pt>
                <c:pt idx="173">
                  <c:v>58.143107903527003</c:v>
                </c:pt>
                <c:pt idx="174">
                  <c:v>58.638490206816002</c:v>
                </c:pt>
                <c:pt idx="175">
                  <c:v>59.122955829760997</c:v>
                </c:pt>
                <c:pt idx="176">
                  <c:v>59.610387515584002</c:v>
                </c:pt>
                <c:pt idx="177">
                  <c:v>60.089880749998002</c:v>
                </c:pt>
                <c:pt idx="178">
                  <c:v>60.580985119669002</c:v>
                </c:pt>
                <c:pt idx="179">
                  <c:v>61.072612347048</c:v>
                </c:pt>
                <c:pt idx="180">
                  <c:v>61.557446782174999</c:v>
                </c:pt>
                <c:pt idx="181">
                  <c:v>62.054541127581999</c:v>
                </c:pt>
                <c:pt idx="182">
                  <c:v>62.551131006524997</c:v>
                </c:pt>
                <c:pt idx="183">
                  <c:v>63.050531556369002</c:v>
                </c:pt>
                <c:pt idx="184">
                  <c:v>63.538064228768</c:v>
                </c:pt>
                <c:pt idx="185">
                  <c:v>64.027546332422006</c:v>
                </c:pt>
                <c:pt idx="186">
                  <c:v>64.520262939008006</c:v>
                </c:pt>
                <c:pt idx="187">
                  <c:v>65.014849983272995</c:v>
                </c:pt>
                <c:pt idx="188">
                  <c:v>65.517193968396001</c:v>
                </c:pt>
                <c:pt idx="189">
                  <c:v>66.012480396284005</c:v>
                </c:pt>
                <c:pt idx="190">
                  <c:v>66.498306029575005</c:v>
                </c:pt>
                <c:pt idx="191">
                  <c:v>67.006239512682001</c:v>
                </c:pt>
                <c:pt idx="192">
                  <c:v>67.500939196437997</c:v>
                </c:pt>
                <c:pt idx="193">
                  <c:v>67.989828810998006</c:v>
                </c:pt>
                <c:pt idx="194">
                  <c:v>68.491119323104996</c:v>
                </c:pt>
                <c:pt idx="195">
                  <c:v>68.98734883969</c:v>
                </c:pt>
                <c:pt idx="196">
                  <c:v>69.527516409650005</c:v>
                </c:pt>
                <c:pt idx="197">
                  <c:v>69.956588853301994</c:v>
                </c:pt>
                <c:pt idx="198">
                  <c:v>70.376960714990005</c:v>
                </c:pt>
                <c:pt idx="199">
                  <c:v>70.918684410268995</c:v>
                </c:pt>
                <c:pt idx="200">
                  <c:v>71.454091968415</c:v>
                </c:pt>
                <c:pt idx="201">
                  <c:v>71.965195876338001</c:v>
                </c:pt>
                <c:pt idx="202">
                  <c:v>72.456301910929</c:v>
                </c:pt>
                <c:pt idx="203">
                  <c:v>72.939250606285</c:v>
                </c:pt>
                <c:pt idx="204">
                  <c:v>73.464881306606998</c:v>
                </c:pt>
                <c:pt idx="205">
                  <c:v>73.978914471367005</c:v>
                </c:pt>
                <c:pt idx="206">
                  <c:v>74.487738151111003</c:v>
                </c:pt>
                <c:pt idx="207">
                  <c:v>74.993084935050007</c:v>
                </c:pt>
                <c:pt idx="208">
                  <c:v>75.503870639929005</c:v>
                </c:pt>
                <c:pt idx="209">
                  <c:v>76.007893397366999</c:v>
                </c:pt>
                <c:pt idx="210">
                  <c:v>76.500003194813999</c:v>
                </c:pt>
                <c:pt idx="211">
                  <c:v>76.985757292016999</c:v>
                </c:pt>
                <c:pt idx="212">
                  <c:v>77.484928827934993</c:v>
                </c:pt>
                <c:pt idx="213">
                  <c:v>77.985559507532997</c:v>
                </c:pt>
                <c:pt idx="214">
                  <c:v>78.476209238221998</c:v>
                </c:pt>
                <c:pt idx="215">
                  <c:v>78.971923815191005</c:v>
                </c:pt>
                <c:pt idx="216">
                  <c:v>79.473016951526006</c:v>
                </c:pt>
                <c:pt idx="217">
                  <c:v>79.968210473529993</c:v>
                </c:pt>
                <c:pt idx="218">
                  <c:v>80.448284406409996</c:v>
                </c:pt>
                <c:pt idx="219">
                  <c:v>80.942047636965</c:v>
                </c:pt>
                <c:pt idx="220">
                  <c:v>81.439507058450005</c:v>
                </c:pt>
                <c:pt idx="221">
                  <c:v>81.931708252782997</c:v>
                </c:pt>
                <c:pt idx="222">
                  <c:v>82.420735223031002</c:v>
                </c:pt>
                <c:pt idx="223">
                  <c:v>82.905584070979998</c:v>
                </c:pt>
                <c:pt idx="224">
                  <c:v>83.402638840503997</c:v>
                </c:pt>
                <c:pt idx="225">
                  <c:v>83.901519165207006</c:v>
                </c:pt>
                <c:pt idx="226">
                  <c:v>84.396414457193003</c:v>
                </c:pt>
                <c:pt idx="227">
                  <c:v>84.890595463850005</c:v>
                </c:pt>
                <c:pt idx="228">
                  <c:v>85.373449354398005</c:v>
                </c:pt>
                <c:pt idx="229">
                  <c:v>85.856858737306993</c:v>
                </c:pt>
                <c:pt idx="230">
                  <c:v>86.343871067698004</c:v>
                </c:pt>
                <c:pt idx="231">
                  <c:v>86.836308534035993</c:v>
                </c:pt>
                <c:pt idx="232">
                  <c:v>87.315891475282001</c:v>
                </c:pt>
                <c:pt idx="233">
                  <c:v>87.801387581553001</c:v>
                </c:pt>
                <c:pt idx="234">
                  <c:v>88.295880117642</c:v>
                </c:pt>
                <c:pt idx="235">
                  <c:v>88.779492129207995</c:v>
                </c:pt>
                <c:pt idx="236">
                  <c:v>89.264099878457003</c:v>
                </c:pt>
                <c:pt idx="237">
                  <c:v>89.737656239892004</c:v>
                </c:pt>
                <c:pt idx="238">
                  <c:v>90.212600489923005</c:v>
                </c:pt>
                <c:pt idx="239">
                  <c:v>90.688752486452003</c:v>
                </c:pt>
                <c:pt idx="240">
                  <c:v>91.180793830427007</c:v>
                </c:pt>
                <c:pt idx="241">
                  <c:v>91.635718365781003</c:v>
                </c:pt>
                <c:pt idx="242">
                  <c:v>92.088137112503006</c:v>
                </c:pt>
                <c:pt idx="243">
                  <c:v>92.569377086214004</c:v>
                </c:pt>
                <c:pt idx="244">
                  <c:v>93.038892224147006</c:v>
                </c:pt>
                <c:pt idx="245">
                  <c:v>93.483387766728001</c:v>
                </c:pt>
                <c:pt idx="246">
                  <c:v>93.960655119372007</c:v>
                </c:pt>
                <c:pt idx="247">
                  <c:v>94.448481740513998</c:v>
                </c:pt>
                <c:pt idx="248">
                  <c:v>94.919679586355002</c:v>
                </c:pt>
                <c:pt idx="249">
                  <c:v>95.434413252987994</c:v>
                </c:pt>
                <c:pt idx="250">
                  <c:v>95.896805761907999</c:v>
                </c:pt>
                <c:pt idx="251">
                  <c:v>96.329207596518003</c:v>
                </c:pt>
                <c:pt idx="252">
                  <c:v>96.815116944492004</c:v>
                </c:pt>
                <c:pt idx="253">
                  <c:v>97.290067890364</c:v>
                </c:pt>
                <c:pt idx="254">
                  <c:v>97.790877358190002</c:v>
                </c:pt>
                <c:pt idx="255">
                  <c:v>98.266771595283998</c:v>
                </c:pt>
                <c:pt idx="256">
                  <c:v>98.738796918586004</c:v>
                </c:pt>
                <c:pt idx="257">
                  <c:v>99.242368020748998</c:v>
                </c:pt>
                <c:pt idx="258">
                  <c:v>99.725283017476002</c:v>
                </c:pt>
                <c:pt idx="259">
                  <c:v>100.19071699513999</c:v>
                </c:pt>
                <c:pt idx="260">
                  <c:v>100.65812347846</c:v>
                </c:pt>
                <c:pt idx="261">
                  <c:v>101.13397828127</c:v>
                </c:pt>
                <c:pt idx="262">
                  <c:v>101.62095180143</c:v>
                </c:pt>
                <c:pt idx="263">
                  <c:v>102.11151182787</c:v>
                </c:pt>
                <c:pt idx="264">
                  <c:v>102.5964990841</c:v>
                </c:pt>
                <c:pt idx="265">
                  <c:v>103.07928490523</c:v>
                </c:pt>
                <c:pt idx="266">
                  <c:v>103.56518473491001</c:v>
                </c:pt>
                <c:pt idx="267">
                  <c:v>104.05000974422001</c:v>
                </c:pt>
                <c:pt idx="268">
                  <c:v>104.53666502662</c:v>
                </c:pt>
                <c:pt idx="269">
                  <c:v>105.02300924974</c:v>
                </c:pt>
                <c:pt idx="270">
                  <c:v>105.50022775710001</c:v>
                </c:pt>
                <c:pt idx="271">
                  <c:v>105.97474345000001</c:v>
                </c:pt>
                <c:pt idx="272">
                  <c:v>106.45601922658</c:v>
                </c:pt>
                <c:pt idx="273">
                  <c:v>106.94851880479</c:v>
                </c:pt>
                <c:pt idx="274">
                  <c:v>107.43432005123999</c:v>
                </c:pt>
                <c:pt idx="275">
                  <c:v>107.92260187447</c:v>
                </c:pt>
                <c:pt idx="276">
                  <c:v>108.41501276718</c:v>
                </c:pt>
                <c:pt idx="277">
                  <c:v>108.90202962513</c:v>
                </c:pt>
                <c:pt idx="278">
                  <c:v>109.37950458956</c:v>
                </c:pt>
                <c:pt idx="279">
                  <c:v>109.85788109971</c:v>
                </c:pt>
                <c:pt idx="280">
                  <c:v>110.35154871647001</c:v>
                </c:pt>
                <c:pt idx="281">
                  <c:v>110.85242860759</c:v>
                </c:pt>
                <c:pt idx="282">
                  <c:v>111.34255808184</c:v>
                </c:pt>
                <c:pt idx="283">
                  <c:v>111.83298758356</c:v>
                </c:pt>
                <c:pt idx="284">
                  <c:v>112.31936420666</c:v>
                </c:pt>
                <c:pt idx="285">
                  <c:v>112.80230686615</c:v>
                </c:pt>
                <c:pt idx="286">
                  <c:v>113.28977440590999</c:v>
                </c:pt>
                <c:pt idx="287">
                  <c:v>113.79822207545</c:v>
                </c:pt>
                <c:pt idx="288">
                  <c:v>114.29190353228999</c:v>
                </c:pt>
                <c:pt idx="289">
                  <c:v>114.77891948697</c:v>
                </c:pt>
                <c:pt idx="290">
                  <c:v>115.26094010129999</c:v>
                </c:pt>
                <c:pt idx="291">
                  <c:v>115.75433183968001</c:v>
                </c:pt>
                <c:pt idx="292">
                  <c:v>116.24622195534</c:v>
                </c:pt>
                <c:pt idx="293">
                  <c:v>116.74909614453</c:v>
                </c:pt>
                <c:pt idx="294">
                  <c:v>117.24004716016</c:v>
                </c:pt>
                <c:pt idx="295">
                  <c:v>117.72370449525999</c:v>
                </c:pt>
                <c:pt idx="296">
                  <c:v>118.20957788027</c:v>
                </c:pt>
                <c:pt idx="297">
                  <c:v>118.71797643572999</c:v>
                </c:pt>
                <c:pt idx="298">
                  <c:v>119.20883749620999</c:v>
                </c:pt>
                <c:pt idx="299">
                  <c:v>119.69271797089</c:v>
                </c:pt>
                <c:pt idx="300">
                  <c:v>120.19501464526</c:v>
                </c:pt>
                <c:pt idx="301">
                  <c:v>120.64181333019</c:v>
                </c:pt>
                <c:pt idx="302">
                  <c:v>121.08347664816</c:v>
                </c:pt>
                <c:pt idx="303">
                  <c:v>121.60744513545001</c:v>
                </c:pt>
                <c:pt idx="304">
                  <c:v>122.15816358167</c:v>
                </c:pt>
                <c:pt idx="305">
                  <c:v>122.6114357356</c:v>
                </c:pt>
                <c:pt idx="306">
                  <c:v>123.09764051723</c:v>
                </c:pt>
                <c:pt idx="307">
                  <c:v>123.64705807202</c:v>
                </c:pt>
                <c:pt idx="308">
                  <c:v>124.14484341729001</c:v>
                </c:pt>
                <c:pt idx="309">
                  <c:v>124.65759692226</c:v>
                </c:pt>
                <c:pt idx="310">
                  <c:v>125.16377674131</c:v>
                </c:pt>
                <c:pt idx="311">
                  <c:v>125.66723564576</c:v>
                </c:pt>
                <c:pt idx="312">
                  <c:v>126.15721784090999</c:v>
                </c:pt>
                <c:pt idx="313">
                  <c:v>126.63991034937</c:v>
                </c:pt>
                <c:pt idx="314">
                  <c:v>127.13623659616999</c:v>
                </c:pt>
                <c:pt idx="315">
                  <c:v>127.64536610918999</c:v>
                </c:pt>
                <c:pt idx="316">
                  <c:v>128.13879359684</c:v>
                </c:pt>
                <c:pt idx="317">
                  <c:v>128.62444224606</c:v>
                </c:pt>
                <c:pt idx="318">
                  <c:v>129.11222323737999</c:v>
                </c:pt>
                <c:pt idx="319">
                  <c:v>129.60827265789001</c:v>
                </c:pt>
                <c:pt idx="320">
                  <c:v>130.10524128724001</c:v>
                </c:pt>
                <c:pt idx="321">
                  <c:v>130.60068168576001</c:v>
                </c:pt>
                <c:pt idx="322">
                  <c:v>131.09699270726</c:v>
                </c:pt>
                <c:pt idx="323">
                  <c:v>131.59297524743999</c:v>
                </c:pt>
                <c:pt idx="324">
                  <c:v>132.09782368947</c:v>
                </c:pt>
                <c:pt idx="325">
                  <c:v>132.59530070705</c:v>
                </c:pt>
                <c:pt idx="326">
                  <c:v>133.08683818962001</c:v>
                </c:pt>
                <c:pt idx="327">
                  <c:v>133.57637075285001</c:v>
                </c:pt>
                <c:pt idx="328">
                  <c:v>134.05060292911</c:v>
                </c:pt>
                <c:pt idx="329">
                  <c:v>134.52739497008</c:v>
                </c:pt>
                <c:pt idx="330">
                  <c:v>135.03132026788001</c:v>
                </c:pt>
                <c:pt idx="331">
                  <c:v>135.5211815479</c:v>
                </c:pt>
                <c:pt idx="332">
                  <c:v>136.01046916641999</c:v>
                </c:pt>
                <c:pt idx="333">
                  <c:v>136.51080238916001</c:v>
                </c:pt>
                <c:pt idx="334">
                  <c:v>136.98472824688</c:v>
                </c:pt>
                <c:pt idx="335">
                  <c:v>137.46295432726001</c:v>
                </c:pt>
                <c:pt idx="336">
                  <c:v>137.94793203475001</c:v>
                </c:pt>
                <c:pt idx="337">
                  <c:v>138.44543007068</c:v>
                </c:pt>
                <c:pt idx="338">
                  <c:v>138.93458103418999</c:v>
                </c:pt>
                <c:pt idx="339">
                  <c:v>139.42174750724001</c:v>
                </c:pt>
                <c:pt idx="340">
                  <c:v>139.89899336803001</c:v>
                </c:pt>
                <c:pt idx="341">
                  <c:v>140.37143741004999</c:v>
                </c:pt>
                <c:pt idx="342">
                  <c:v>140.85140487298</c:v>
                </c:pt>
                <c:pt idx="343">
                  <c:v>141.32658609053999</c:v>
                </c:pt>
                <c:pt idx="344">
                  <c:v>141.80316896132999</c:v>
                </c:pt>
                <c:pt idx="345">
                  <c:v>142.27679893844001</c:v>
                </c:pt>
                <c:pt idx="346">
                  <c:v>142.74299720798999</c:v>
                </c:pt>
                <c:pt idx="347">
                  <c:v>143.21700211377001</c:v>
                </c:pt>
                <c:pt idx="348">
                  <c:v>143.67281047532001</c:v>
                </c:pt>
                <c:pt idx="349">
                  <c:v>144.14449184452999</c:v>
                </c:pt>
                <c:pt idx="350">
                  <c:v>144.62590363667999</c:v>
                </c:pt>
                <c:pt idx="351">
                  <c:v>145.06845366477</c:v>
                </c:pt>
                <c:pt idx="352">
                  <c:v>145.525785641</c:v>
                </c:pt>
                <c:pt idx="353">
                  <c:v>146.02428473264001</c:v>
                </c:pt>
                <c:pt idx="354">
                  <c:v>146.51656156958001</c:v>
                </c:pt>
                <c:pt idx="355">
                  <c:v>146.98103106075001</c:v>
                </c:pt>
                <c:pt idx="356">
                  <c:v>147.46863297263999</c:v>
                </c:pt>
                <c:pt idx="357">
                  <c:v>147.93162584480999</c:v>
                </c:pt>
                <c:pt idx="358">
                  <c:v>148.40887878737999</c:v>
                </c:pt>
                <c:pt idx="359">
                  <c:v>148.88304596448</c:v>
                </c:pt>
                <c:pt idx="360">
                  <c:v>149.37191272562001</c:v>
                </c:pt>
                <c:pt idx="361">
                  <c:v>149.86004725135001</c:v>
                </c:pt>
                <c:pt idx="362">
                  <c:v>150.32443441519001</c:v>
                </c:pt>
                <c:pt idx="363">
                  <c:v>150.81016768283001</c:v>
                </c:pt>
                <c:pt idx="364">
                  <c:v>151.30660139692</c:v>
                </c:pt>
                <c:pt idx="365">
                  <c:v>151.80796116302</c:v>
                </c:pt>
                <c:pt idx="366">
                  <c:v>152.29084789935999</c:v>
                </c:pt>
                <c:pt idx="367">
                  <c:v>152.77512329935999</c:v>
                </c:pt>
                <c:pt idx="368">
                  <c:v>153.25742290731</c:v>
                </c:pt>
                <c:pt idx="369">
                  <c:v>153.75051021106</c:v>
                </c:pt>
                <c:pt idx="370">
                  <c:v>154.24037327073</c:v>
                </c:pt>
                <c:pt idx="371">
                  <c:v>154.72603615409</c:v>
                </c:pt>
                <c:pt idx="372">
                  <c:v>155.20809711993999</c:v>
                </c:pt>
                <c:pt idx="373">
                  <c:v>155.69573546243001</c:v>
                </c:pt>
                <c:pt idx="374">
                  <c:v>156.17753167135001</c:v>
                </c:pt>
                <c:pt idx="375">
                  <c:v>156.66857372382</c:v>
                </c:pt>
                <c:pt idx="376">
                  <c:v>157.15579286305999</c:v>
                </c:pt>
                <c:pt idx="377">
                  <c:v>157.64530165169</c:v>
                </c:pt>
                <c:pt idx="378">
                  <c:v>158.13151248174</c:v>
                </c:pt>
                <c:pt idx="379">
                  <c:v>158.61496781165999</c:v>
                </c:pt>
                <c:pt idx="380">
                  <c:v>159.09530124539</c:v>
                </c:pt>
                <c:pt idx="381">
                  <c:v>159.59776735950001</c:v>
                </c:pt>
                <c:pt idx="382">
                  <c:v>160.08234052949999</c:v>
                </c:pt>
                <c:pt idx="383">
                  <c:v>160.5709556022</c:v>
                </c:pt>
                <c:pt idx="384">
                  <c:v>161.05773108046</c:v>
                </c:pt>
                <c:pt idx="385">
                  <c:v>161.54666600674</c:v>
                </c:pt>
                <c:pt idx="386">
                  <c:v>162.03740881697999</c:v>
                </c:pt>
                <c:pt idx="387">
                  <c:v>162.53543419836001</c:v>
                </c:pt>
                <c:pt idx="388">
                  <c:v>163.03366938162</c:v>
                </c:pt>
                <c:pt idx="389">
                  <c:v>163.5210503781</c:v>
                </c:pt>
                <c:pt idx="390">
                  <c:v>164.00561192596999</c:v>
                </c:pt>
                <c:pt idx="391">
                  <c:v>164.49558373084</c:v>
                </c:pt>
                <c:pt idx="392">
                  <c:v>164.98767193683</c:v>
                </c:pt>
                <c:pt idx="393">
                  <c:v>165.48163980405999</c:v>
                </c:pt>
                <c:pt idx="394">
                  <c:v>165.97829333708</c:v>
                </c:pt>
                <c:pt idx="395">
                  <c:v>166.46370820749999</c:v>
                </c:pt>
                <c:pt idx="396">
                  <c:v>166.93290620255999</c:v>
                </c:pt>
                <c:pt idx="397">
                  <c:v>167.42478498849999</c:v>
                </c:pt>
                <c:pt idx="398">
                  <c:v>167.91989979549001</c:v>
                </c:pt>
                <c:pt idx="399">
                  <c:v>168.39976711827001</c:v>
                </c:pt>
                <c:pt idx="400">
                  <c:v>168.88150542880999</c:v>
                </c:pt>
                <c:pt idx="401">
                  <c:v>169.36067326557</c:v>
                </c:pt>
                <c:pt idx="402">
                  <c:v>169.83345601411</c:v>
                </c:pt>
                <c:pt idx="403">
                  <c:v>170.33226086449</c:v>
                </c:pt>
                <c:pt idx="404">
                  <c:v>170.85030275929</c:v>
                </c:pt>
                <c:pt idx="405">
                  <c:v>171.35861080249001</c:v>
                </c:pt>
                <c:pt idx="406">
                  <c:v>171.86257768710999</c:v>
                </c:pt>
                <c:pt idx="407">
                  <c:v>172.34274750146</c:v>
                </c:pt>
                <c:pt idx="408">
                  <c:v>172.85917347521999</c:v>
                </c:pt>
                <c:pt idx="409">
                  <c:v>173.30331601888</c:v>
                </c:pt>
                <c:pt idx="410">
                  <c:v>173.77330672049999</c:v>
                </c:pt>
                <c:pt idx="411">
                  <c:v>174.28630584096999</c:v>
                </c:pt>
                <c:pt idx="412">
                  <c:v>174.79121334932</c:v>
                </c:pt>
                <c:pt idx="413">
                  <c:v>175.31274901668999</c:v>
                </c:pt>
                <c:pt idx="414">
                  <c:v>175.83386116355001</c:v>
                </c:pt>
                <c:pt idx="415">
                  <c:v>176.32926043623999</c:v>
                </c:pt>
                <c:pt idx="416">
                  <c:v>176.82252072546001</c:v>
                </c:pt>
                <c:pt idx="417">
                  <c:v>177.31020151057001</c:v>
                </c:pt>
                <c:pt idx="418">
                  <c:v>177.79840177359</c:v>
                </c:pt>
                <c:pt idx="419">
                  <c:v>178.30122522075999</c:v>
                </c:pt>
                <c:pt idx="420">
                  <c:v>178.78080556255</c:v>
                </c:pt>
                <c:pt idx="421">
                  <c:v>179.25983204729999</c:v>
                </c:pt>
                <c:pt idx="422">
                  <c:v>179.74679721397001</c:v>
                </c:pt>
                <c:pt idx="423">
                  <c:v>180.23144956256999</c:v>
                </c:pt>
                <c:pt idx="424">
                  <c:v>180.71512261780001</c:v>
                </c:pt>
                <c:pt idx="425">
                  <c:v>181.20673094387001</c:v>
                </c:pt>
                <c:pt idx="426">
                  <c:v>181.70585699793</c:v>
                </c:pt>
                <c:pt idx="427">
                  <c:v>182.19630014436001</c:v>
                </c:pt>
                <c:pt idx="428">
                  <c:v>182.68662363025999</c:v>
                </c:pt>
                <c:pt idx="429">
                  <c:v>183.18292054955</c:v>
                </c:pt>
                <c:pt idx="430">
                  <c:v>183.66739145683999</c:v>
                </c:pt>
                <c:pt idx="431">
                  <c:v>184.18111486445</c:v>
                </c:pt>
                <c:pt idx="432">
                  <c:v>184.65665558846999</c:v>
                </c:pt>
                <c:pt idx="433">
                  <c:v>185.14991273191001</c:v>
                </c:pt>
                <c:pt idx="434">
                  <c:v>185.63463997522999</c:v>
                </c:pt>
                <c:pt idx="435">
                  <c:v>186.11848265372001</c:v>
                </c:pt>
                <c:pt idx="436">
                  <c:v>186.60283814444</c:v>
                </c:pt>
                <c:pt idx="437">
                  <c:v>187.08663627956</c:v>
                </c:pt>
                <c:pt idx="438">
                  <c:v>187.57030248875</c:v>
                </c:pt>
                <c:pt idx="439">
                  <c:v>188.05092191169999</c:v>
                </c:pt>
                <c:pt idx="440">
                  <c:v>188.53937175140001</c:v>
                </c:pt>
                <c:pt idx="441">
                  <c:v>189.01179800583</c:v>
                </c:pt>
                <c:pt idx="442">
                  <c:v>189.50148363365</c:v>
                </c:pt>
                <c:pt idx="443">
                  <c:v>189.98117028103999</c:v>
                </c:pt>
                <c:pt idx="444">
                  <c:v>190.46594983029999</c:v>
                </c:pt>
                <c:pt idx="445">
                  <c:v>190.94268628297999</c:v>
                </c:pt>
                <c:pt idx="446">
                  <c:v>191.43369345075999</c:v>
                </c:pt>
                <c:pt idx="447">
                  <c:v>191.9019410251</c:v>
                </c:pt>
                <c:pt idx="448">
                  <c:v>192.36779300929001</c:v>
                </c:pt>
                <c:pt idx="449">
                  <c:v>192.85417587545001</c:v>
                </c:pt>
                <c:pt idx="450">
                  <c:v>193.32170348875999</c:v>
                </c:pt>
                <c:pt idx="451">
                  <c:v>193.78942687739001</c:v>
                </c:pt>
                <c:pt idx="452">
                  <c:v>194.28593817635999</c:v>
                </c:pt>
                <c:pt idx="453">
                  <c:v>194.74855643766</c:v>
                </c:pt>
                <c:pt idx="454">
                  <c:v>195.20541112977</c:v>
                </c:pt>
                <c:pt idx="455">
                  <c:v>195.71082109630001</c:v>
                </c:pt>
                <c:pt idx="456">
                  <c:v>196.23826424677</c:v>
                </c:pt>
                <c:pt idx="457">
                  <c:v>196.73115840073999</c:v>
                </c:pt>
                <c:pt idx="458">
                  <c:v>197.21029962819</c:v>
                </c:pt>
                <c:pt idx="459">
                  <c:v>197.63085360418</c:v>
                </c:pt>
                <c:pt idx="460">
                  <c:v>198.08907668634001</c:v>
                </c:pt>
                <c:pt idx="461">
                  <c:v>198.58823825787999</c:v>
                </c:pt>
                <c:pt idx="462">
                  <c:v>199.06239414256001</c:v>
                </c:pt>
                <c:pt idx="463">
                  <c:v>199.55198690275</c:v>
                </c:pt>
                <c:pt idx="464">
                  <c:v>200.03609796360999</c:v>
                </c:pt>
                <c:pt idx="465">
                  <c:v>200.54101009239</c:v>
                </c:pt>
                <c:pt idx="466">
                  <c:v>201.05083380805999</c:v>
                </c:pt>
                <c:pt idx="467">
                  <c:v>201.52335385360001</c:v>
                </c:pt>
                <c:pt idx="468">
                  <c:v>202.01177875642</c:v>
                </c:pt>
                <c:pt idx="469">
                  <c:v>202.51221995897001</c:v>
                </c:pt>
                <c:pt idx="470">
                  <c:v>203.01461176756001</c:v>
                </c:pt>
                <c:pt idx="471">
                  <c:v>203.50038461706001</c:v>
                </c:pt>
                <c:pt idx="472">
                  <c:v>203.98880165428</c:v>
                </c:pt>
                <c:pt idx="473">
                  <c:v>204.47671076048999</c:v>
                </c:pt>
                <c:pt idx="474">
                  <c:v>204.96130179113999</c:v>
                </c:pt>
                <c:pt idx="475">
                  <c:v>205.44914318796</c:v>
                </c:pt>
                <c:pt idx="476">
                  <c:v>205.94068738529</c:v>
                </c:pt>
                <c:pt idx="477">
                  <c:v>206.43418274626001</c:v>
                </c:pt>
                <c:pt idx="478">
                  <c:v>206.92245197806</c:v>
                </c:pt>
                <c:pt idx="479">
                  <c:v>207.41194081606</c:v>
                </c:pt>
                <c:pt idx="480">
                  <c:v>207.89889005552999</c:v>
                </c:pt>
                <c:pt idx="481">
                  <c:v>208.39420501590999</c:v>
                </c:pt>
                <c:pt idx="482">
                  <c:v>208.89223811407001</c:v>
                </c:pt>
                <c:pt idx="483">
                  <c:v>209.38243108575</c:v>
                </c:pt>
                <c:pt idx="484">
                  <c:v>209.86853321749999</c:v>
                </c:pt>
                <c:pt idx="485">
                  <c:v>210.37219759909999</c:v>
                </c:pt>
                <c:pt idx="486">
                  <c:v>210.86054286340001</c:v>
                </c:pt>
                <c:pt idx="487">
                  <c:v>211.34394329521001</c:v>
                </c:pt>
                <c:pt idx="488">
                  <c:v>211.82722905420999</c:v>
                </c:pt>
                <c:pt idx="489">
                  <c:v>212.32018165925999</c:v>
                </c:pt>
                <c:pt idx="490">
                  <c:v>212.82459397165999</c:v>
                </c:pt>
                <c:pt idx="491">
                  <c:v>213.31314244710001</c:v>
                </c:pt>
                <c:pt idx="492">
                  <c:v>213.79844012352001</c:v>
                </c:pt>
                <c:pt idx="493">
                  <c:v>214.28909400066999</c:v>
                </c:pt>
                <c:pt idx="494">
                  <c:v>214.78374810193</c:v>
                </c:pt>
                <c:pt idx="495">
                  <c:v>215.27119255264</c:v>
                </c:pt>
                <c:pt idx="496">
                  <c:v>215.76768328265001</c:v>
                </c:pt>
                <c:pt idx="497">
                  <c:v>216.24839823611001</c:v>
                </c:pt>
                <c:pt idx="498">
                  <c:v>216.72011811704999</c:v>
                </c:pt>
                <c:pt idx="499">
                  <c:v>217.23956334261001</c:v>
                </c:pt>
                <c:pt idx="500">
                  <c:v>217.73722268838</c:v>
                </c:pt>
                <c:pt idx="501">
                  <c:v>218.19914994801999</c:v>
                </c:pt>
                <c:pt idx="502">
                  <c:v>218.69528069424001</c:v>
                </c:pt>
                <c:pt idx="503">
                  <c:v>219.20274632817001</c:v>
                </c:pt>
                <c:pt idx="504">
                  <c:v>219.68403874111999</c:v>
                </c:pt>
                <c:pt idx="505">
                  <c:v>220.16144225711</c:v>
                </c:pt>
                <c:pt idx="506">
                  <c:v>220.63944637098999</c:v>
                </c:pt>
                <c:pt idx="507">
                  <c:v>221.15349821949999</c:v>
                </c:pt>
                <c:pt idx="508">
                  <c:v>221.59037179975999</c:v>
                </c:pt>
                <c:pt idx="509">
                  <c:v>222.08754091573999</c:v>
                </c:pt>
                <c:pt idx="510">
                  <c:v>222.54321825034</c:v>
                </c:pt>
                <c:pt idx="511">
                  <c:v>223.00441116168</c:v>
                </c:pt>
                <c:pt idx="512">
                  <c:v>223.53710083582001</c:v>
                </c:pt>
                <c:pt idx="513">
                  <c:v>224.07467316365</c:v>
                </c:pt>
                <c:pt idx="514">
                  <c:v>224.55771269208</c:v>
                </c:pt>
                <c:pt idx="515">
                  <c:v>225.04631719141</c:v>
                </c:pt>
                <c:pt idx="516">
                  <c:v>225.56540239086999</c:v>
                </c:pt>
                <c:pt idx="517">
                  <c:v>226.08560200849001</c:v>
                </c:pt>
                <c:pt idx="518">
                  <c:v>226.60969764071999</c:v>
                </c:pt>
                <c:pt idx="519">
                  <c:v>227.09435600547999</c:v>
                </c:pt>
                <c:pt idx="520">
                  <c:v>227.59781032058001</c:v>
                </c:pt>
                <c:pt idx="521">
                  <c:v>228.10904603745001</c:v>
                </c:pt>
                <c:pt idx="522">
                  <c:v>228.60359836091001</c:v>
                </c:pt>
                <c:pt idx="523">
                  <c:v>229.08711327310999</c:v>
                </c:pt>
                <c:pt idx="524">
                  <c:v>229.57124677504001</c:v>
                </c:pt>
                <c:pt idx="525">
                  <c:v>230.05417666203999</c:v>
                </c:pt>
                <c:pt idx="526">
                  <c:v>230.51634483445</c:v>
                </c:pt>
                <c:pt idx="527">
                  <c:v>230.99075704824</c:v>
                </c:pt>
                <c:pt idx="528">
                  <c:v>231.45963042819</c:v>
                </c:pt>
                <c:pt idx="529">
                  <c:v>231.9505045434</c:v>
                </c:pt>
                <c:pt idx="530">
                  <c:v>232.46498571518001</c:v>
                </c:pt>
                <c:pt idx="531">
                  <c:v>232.93718986787999</c:v>
                </c:pt>
                <c:pt idx="532">
                  <c:v>233.40740950847999</c:v>
                </c:pt>
                <c:pt idx="533">
                  <c:v>233.92231379018</c:v>
                </c:pt>
                <c:pt idx="534">
                  <c:v>234.43128006831</c:v>
                </c:pt>
                <c:pt idx="535">
                  <c:v>234.89639917744</c:v>
                </c:pt>
                <c:pt idx="536">
                  <c:v>235.36028160736001</c:v>
                </c:pt>
                <c:pt idx="537">
                  <c:v>235.84100378392</c:v>
                </c:pt>
                <c:pt idx="538">
                  <c:v>236.33440131201999</c:v>
                </c:pt>
                <c:pt idx="539">
                  <c:v>236.82218460249999</c:v>
                </c:pt>
                <c:pt idx="540">
                  <c:v>237.30142835748001</c:v>
                </c:pt>
                <c:pt idx="541">
                  <c:v>237.77641592060999</c:v>
                </c:pt>
                <c:pt idx="542">
                  <c:v>238.2535494535</c:v>
                </c:pt>
                <c:pt idx="543">
                  <c:v>238.75736279629999</c:v>
                </c:pt>
                <c:pt idx="544">
                  <c:v>239.25219335765999</c:v>
                </c:pt>
                <c:pt idx="545">
                  <c:v>239.75160660156999</c:v>
                </c:pt>
                <c:pt idx="546">
                  <c:v>240.22304848751</c:v>
                </c:pt>
                <c:pt idx="547">
                  <c:v>240.69928813436999</c:v>
                </c:pt>
                <c:pt idx="548">
                  <c:v>241.18193657475001</c:v>
                </c:pt>
                <c:pt idx="549">
                  <c:v>241.66858300980999</c:v>
                </c:pt>
                <c:pt idx="550">
                  <c:v>242.16292742547</c:v>
                </c:pt>
                <c:pt idx="551">
                  <c:v>242.66586937835001</c:v>
                </c:pt>
                <c:pt idx="552">
                  <c:v>243.14044490980001</c:v>
                </c:pt>
                <c:pt idx="553">
                  <c:v>243.61102992052</c:v>
                </c:pt>
                <c:pt idx="554">
                  <c:v>244.09000296088999</c:v>
                </c:pt>
                <c:pt idx="555">
                  <c:v>244.57078677736999</c:v>
                </c:pt>
                <c:pt idx="556">
                  <c:v>245.06971464725001</c:v>
                </c:pt>
                <c:pt idx="557">
                  <c:v>245.56366961366999</c:v>
                </c:pt>
                <c:pt idx="558">
                  <c:v>246.05482719547001</c:v>
                </c:pt>
                <c:pt idx="559">
                  <c:v>246.5444004062</c:v>
                </c:pt>
                <c:pt idx="560">
                  <c:v>247.01116115738</c:v>
                </c:pt>
                <c:pt idx="561">
                  <c:v>247.47941871493001</c:v>
                </c:pt>
                <c:pt idx="562">
                  <c:v>247.96105687868001</c:v>
                </c:pt>
                <c:pt idx="563">
                  <c:v>248.42366197257999</c:v>
                </c:pt>
                <c:pt idx="564">
                  <c:v>248.92342089208</c:v>
                </c:pt>
                <c:pt idx="565">
                  <c:v>249.42302029122001</c:v>
                </c:pt>
                <c:pt idx="566">
                  <c:v>249.89841109125001</c:v>
                </c:pt>
                <c:pt idx="567">
                  <c:v>250.40202935161</c:v>
                </c:pt>
                <c:pt idx="568">
                  <c:v>250.92114474217999</c:v>
                </c:pt>
                <c:pt idx="569">
                  <c:v>251.39247430349999</c:v>
                </c:pt>
                <c:pt idx="570">
                  <c:v>251.87278548954001</c:v>
                </c:pt>
                <c:pt idx="571">
                  <c:v>252.37539431323</c:v>
                </c:pt>
                <c:pt idx="572">
                  <c:v>252.87376068770999</c:v>
                </c:pt>
                <c:pt idx="573">
                  <c:v>253.34794253288999</c:v>
                </c:pt>
                <c:pt idx="574">
                  <c:v>253.84718684930999</c:v>
                </c:pt>
                <c:pt idx="575">
                  <c:v>254.34950550510001</c:v>
                </c:pt>
                <c:pt idx="576">
                  <c:v>254.83735496220999</c:v>
                </c:pt>
                <c:pt idx="577">
                  <c:v>255.31105597321999</c:v>
                </c:pt>
                <c:pt idx="578">
                  <c:v>255.80557108415999</c:v>
                </c:pt>
                <c:pt idx="579">
                  <c:v>256.30015219389998</c:v>
                </c:pt>
                <c:pt idx="580">
                  <c:v>256.78416324790999</c:v>
                </c:pt>
                <c:pt idx="581">
                  <c:v>257.28136465115</c:v>
                </c:pt>
                <c:pt idx="582">
                  <c:v>257.7630209065</c:v>
                </c:pt>
                <c:pt idx="583">
                  <c:v>258.24533579809003</c:v>
                </c:pt>
                <c:pt idx="584">
                  <c:v>258.74330912989001</c:v>
                </c:pt>
                <c:pt idx="585">
                  <c:v>259.23135400695998</c:v>
                </c:pt>
                <c:pt idx="586">
                  <c:v>259.71340820097998</c:v>
                </c:pt>
                <c:pt idx="587">
                  <c:v>260.20502455305001</c:v>
                </c:pt>
                <c:pt idx="588">
                  <c:v>260.70624275277999</c:v>
                </c:pt>
                <c:pt idx="589">
                  <c:v>261.18455526461997</c:v>
                </c:pt>
                <c:pt idx="590">
                  <c:v>261.67375519557999</c:v>
                </c:pt>
                <c:pt idx="591">
                  <c:v>262.17031283350002</c:v>
                </c:pt>
                <c:pt idx="592">
                  <c:v>262.64968792394001</c:v>
                </c:pt>
                <c:pt idx="593">
                  <c:v>263.14457191424998</c:v>
                </c:pt>
                <c:pt idx="594">
                  <c:v>263.64242846516998</c:v>
                </c:pt>
                <c:pt idx="595">
                  <c:v>264.12433894967</c:v>
                </c:pt>
                <c:pt idx="596">
                  <c:v>264.61362971906999</c:v>
                </c:pt>
                <c:pt idx="597">
                  <c:v>265.08966614334997</c:v>
                </c:pt>
                <c:pt idx="598">
                  <c:v>265.58631211515001</c:v>
                </c:pt>
                <c:pt idx="599">
                  <c:v>266.08241630974999</c:v>
                </c:pt>
                <c:pt idx="600">
                  <c:v>266.57853128246001</c:v>
                </c:pt>
                <c:pt idx="601">
                  <c:v>267.07448420754997</c:v>
                </c:pt>
                <c:pt idx="602">
                  <c:v>267.54529434207001</c:v>
                </c:pt>
                <c:pt idx="603">
                  <c:v>268.04028423445999</c:v>
                </c:pt>
                <c:pt idx="604">
                  <c:v>268.53536217888001</c:v>
                </c:pt>
                <c:pt idx="605">
                  <c:v>269.01550607693002</c:v>
                </c:pt>
                <c:pt idx="606">
                  <c:v>269.49456096967998</c:v>
                </c:pt>
                <c:pt idx="607">
                  <c:v>269.97105883493998</c:v>
                </c:pt>
                <c:pt idx="608">
                  <c:v>270.45829785917999</c:v>
                </c:pt>
                <c:pt idx="609">
                  <c:v>271.00489231809001</c:v>
                </c:pt>
                <c:pt idx="610">
                  <c:v>271.53306444336999</c:v>
                </c:pt>
                <c:pt idx="611">
                  <c:v>271.99858220497998</c:v>
                </c:pt>
                <c:pt idx="612">
                  <c:v>272.38361715056999</c:v>
                </c:pt>
                <c:pt idx="613">
                  <c:v>272.85321726849998</c:v>
                </c:pt>
                <c:pt idx="614">
                  <c:v>273.33922714825002</c:v>
                </c:pt>
                <c:pt idx="615">
                  <c:v>273.81359503862001</c:v>
                </c:pt>
                <c:pt idx="616">
                  <c:v>274.29082088600001</c:v>
                </c:pt>
                <c:pt idx="617">
                  <c:v>274.83807915783001</c:v>
                </c:pt>
                <c:pt idx="618">
                  <c:v>275.30748413171</c:v>
                </c:pt>
                <c:pt idx="619">
                  <c:v>275.81193406718</c:v>
                </c:pt>
                <c:pt idx="620">
                  <c:v>276.3548049959</c:v>
                </c:pt>
                <c:pt idx="621">
                  <c:v>276.89052097595999</c:v>
                </c:pt>
                <c:pt idx="622">
                  <c:v>277.36237803277999</c:v>
                </c:pt>
                <c:pt idx="623">
                  <c:v>277.85938332888003</c:v>
                </c:pt>
                <c:pt idx="624">
                  <c:v>278.38504705771999</c:v>
                </c:pt>
                <c:pt idx="625">
                  <c:v>278.88971790995998</c:v>
                </c:pt>
                <c:pt idx="626">
                  <c:v>279.36013658825999</c:v>
                </c:pt>
                <c:pt idx="627">
                  <c:v>279.83600624617998</c:v>
                </c:pt>
                <c:pt idx="628">
                  <c:v>280.30748982521999</c:v>
                </c:pt>
                <c:pt idx="629">
                  <c:v>280.79081039903002</c:v>
                </c:pt>
                <c:pt idx="630">
                  <c:v>281.27590414680998</c:v>
                </c:pt>
                <c:pt idx="631">
                  <c:v>281.76237668588999</c:v>
                </c:pt>
                <c:pt idx="632">
                  <c:v>282.22868114065</c:v>
                </c:pt>
                <c:pt idx="633">
                  <c:v>282.71802288236</c:v>
                </c:pt>
                <c:pt idx="634">
                  <c:v>283.20002453263999</c:v>
                </c:pt>
                <c:pt idx="635">
                  <c:v>283.66888694419998</c:v>
                </c:pt>
                <c:pt idx="636">
                  <c:v>284.15239734161003</c:v>
                </c:pt>
                <c:pt idx="637">
                  <c:v>284.64136743630002</c:v>
                </c:pt>
                <c:pt idx="638">
                  <c:v>285.13987524473998</c:v>
                </c:pt>
                <c:pt idx="639">
                  <c:v>285.63834803112002</c:v>
                </c:pt>
                <c:pt idx="640">
                  <c:v>286.10150339782001</c:v>
                </c:pt>
                <c:pt idx="641">
                  <c:v>286.57731102711</c:v>
                </c:pt>
                <c:pt idx="642">
                  <c:v>287.05890440866</c:v>
                </c:pt>
                <c:pt idx="643">
                  <c:v>287.55129309082002</c:v>
                </c:pt>
                <c:pt idx="644">
                  <c:v>288.05225997999003</c:v>
                </c:pt>
                <c:pt idx="645">
                  <c:v>288.57398087194002</c:v>
                </c:pt>
                <c:pt idx="646">
                  <c:v>289.01393618400999</c:v>
                </c:pt>
                <c:pt idx="647">
                  <c:v>289.46620846265</c:v>
                </c:pt>
                <c:pt idx="648">
                  <c:v>289.95781553640001</c:v>
                </c:pt>
                <c:pt idx="649">
                  <c:v>290.44732294431998</c:v>
                </c:pt>
                <c:pt idx="650">
                  <c:v>290.94146946804</c:v>
                </c:pt>
                <c:pt idx="651">
                  <c:v>291.40852308474001</c:v>
                </c:pt>
                <c:pt idx="652">
                  <c:v>291.89457341405</c:v>
                </c:pt>
                <c:pt idx="653">
                  <c:v>292.37890511429998</c:v>
                </c:pt>
                <c:pt idx="654">
                  <c:v>292.87067793243</c:v>
                </c:pt>
                <c:pt idx="655">
                  <c:v>293.37403773936001</c:v>
                </c:pt>
                <c:pt idx="656">
                  <c:v>293.87252117165002</c:v>
                </c:pt>
                <c:pt idx="657">
                  <c:v>294.3556250794</c:v>
                </c:pt>
                <c:pt idx="658">
                  <c:v>294.81571853161</c:v>
                </c:pt>
                <c:pt idx="659">
                  <c:v>295.2959237101</c:v>
                </c:pt>
                <c:pt idx="660">
                  <c:v>295.76229882489997</c:v>
                </c:pt>
                <c:pt idx="661">
                  <c:v>296.25255504403998</c:v>
                </c:pt>
                <c:pt idx="662">
                  <c:v>296.74251880148</c:v>
                </c:pt>
                <c:pt idx="663">
                  <c:v>297.20498102571003</c:v>
                </c:pt>
                <c:pt idx="664">
                  <c:v>297.66193914218002</c:v>
                </c:pt>
                <c:pt idx="665">
                  <c:v>298.20198547746998</c:v>
                </c:pt>
                <c:pt idx="666">
                  <c:v>298.68344079500997</c:v>
                </c:pt>
                <c:pt idx="667">
                  <c:v>299.17998268256002</c:v>
                </c:pt>
                <c:pt idx="668">
                  <c:v>299.70247919715001</c:v>
                </c:pt>
                <c:pt idx="669">
                  <c:v>300.18937619447001</c:v>
                </c:pt>
                <c:pt idx="670">
                  <c:v>300.66371249773999</c:v>
                </c:pt>
                <c:pt idx="671">
                  <c:v>301.16853700064001</c:v>
                </c:pt>
                <c:pt idx="672">
                  <c:v>301.65661816803998</c:v>
                </c:pt>
                <c:pt idx="673">
                  <c:v>302.23283847514</c:v>
                </c:pt>
                <c:pt idx="674">
                  <c:v>302.75045999443</c:v>
                </c:pt>
                <c:pt idx="675">
                  <c:v>303.16833045329997</c:v>
                </c:pt>
                <c:pt idx="676">
                  <c:v>303.66853796663003</c:v>
                </c:pt>
                <c:pt idx="677">
                  <c:v>304.16300743989001</c:v>
                </c:pt>
                <c:pt idx="678">
                  <c:v>304.62933780395002</c:v>
                </c:pt>
                <c:pt idx="679">
                  <c:v>305.09151332522998</c:v>
                </c:pt>
                <c:pt idx="680">
                  <c:v>305.56995657451</c:v>
                </c:pt>
                <c:pt idx="681">
                  <c:v>306.03796309348002</c:v>
                </c:pt>
                <c:pt idx="682">
                  <c:v>306.53031684862998</c:v>
                </c:pt>
                <c:pt idx="683">
                  <c:v>307.04648588947998</c:v>
                </c:pt>
                <c:pt idx="684">
                  <c:v>307.55250157985</c:v>
                </c:pt>
                <c:pt idx="685">
                  <c:v>308.03021482245998</c:v>
                </c:pt>
                <c:pt idx="686">
                  <c:v>308.51755122966</c:v>
                </c:pt>
                <c:pt idx="687">
                  <c:v>309.00069964174997</c:v>
                </c:pt>
                <c:pt idx="688">
                  <c:v>309.47552767587001</c:v>
                </c:pt>
                <c:pt idx="689">
                  <c:v>309.97721116164001</c:v>
                </c:pt>
                <c:pt idx="690">
                  <c:v>310.47972040542999</c:v>
                </c:pt>
                <c:pt idx="691">
                  <c:v>310.97962419825001</c:v>
                </c:pt>
                <c:pt idx="692">
                  <c:v>311.46827589778002</c:v>
                </c:pt>
                <c:pt idx="693">
                  <c:v>311.93890227076997</c:v>
                </c:pt>
                <c:pt idx="694">
                  <c:v>312.43406567555002</c:v>
                </c:pt>
                <c:pt idx="695">
                  <c:v>312.92644339024002</c:v>
                </c:pt>
                <c:pt idx="696">
                  <c:v>313.42577300762002</c:v>
                </c:pt>
                <c:pt idx="697">
                  <c:v>313.93085031128999</c:v>
                </c:pt>
                <c:pt idx="698">
                  <c:v>314.42389516989999</c:v>
                </c:pt>
                <c:pt idx="699">
                  <c:v>314.89563614244003</c:v>
                </c:pt>
                <c:pt idx="700">
                  <c:v>315.40159897477997</c:v>
                </c:pt>
                <c:pt idx="701">
                  <c:v>315.89494910899998</c:v>
                </c:pt>
                <c:pt idx="702">
                  <c:v>316.37561530012999</c:v>
                </c:pt>
                <c:pt idx="703">
                  <c:v>316.86130878845</c:v>
                </c:pt>
                <c:pt idx="704">
                  <c:v>317.34381715371001</c:v>
                </c:pt>
                <c:pt idx="705">
                  <c:v>317.84400198638002</c:v>
                </c:pt>
                <c:pt idx="706">
                  <c:v>318.32604359709001</c:v>
                </c:pt>
                <c:pt idx="707">
                  <c:v>318.80768921855002</c:v>
                </c:pt>
                <c:pt idx="708">
                  <c:v>319.30284875129001</c:v>
                </c:pt>
                <c:pt idx="709">
                  <c:v>319.76819431652001</c:v>
                </c:pt>
                <c:pt idx="710">
                  <c:v>320.22344113371997</c:v>
                </c:pt>
                <c:pt idx="711">
                  <c:v>320.70118709024001</c:v>
                </c:pt>
                <c:pt idx="712">
                  <c:v>321.19477736726998</c:v>
                </c:pt>
                <c:pt idx="713">
                  <c:v>321.61672465577999</c:v>
                </c:pt>
                <c:pt idx="714">
                  <c:v>322.12250378816998</c:v>
                </c:pt>
                <c:pt idx="715">
                  <c:v>322.64505564481999</c:v>
                </c:pt>
                <c:pt idx="716">
                  <c:v>323.10183462808999</c:v>
                </c:pt>
                <c:pt idx="717">
                  <c:v>323.53337528496002</c:v>
                </c:pt>
                <c:pt idx="718">
                  <c:v>324.02049629931997</c:v>
                </c:pt>
                <c:pt idx="719">
                  <c:v>324.60775210306002</c:v>
                </c:pt>
                <c:pt idx="720">
                  <c:v>325.08276392511999</c:v>
                </c:pt>
                <c:pt idx="721">
                  <c:v>325.51412141076997</c:v>
                </c:pt>
                <c:pt idx="722">
                  <c:v>326.10728606852001</c:v>
                </c:pt>
                <c:pt idx="723">
                  <c:v>326.66268161231</c:v>
                </c:pt>
                <c:pt idx="724">
                  <c:v>327.16050457033998</c:v>
                </c:pt>
                <c:pt idx="725">
                  <c:v>327.64499038834998</c:v>
                </c:pt>
                <c:pt idx="726">
                  <c:v>328.13039101481002</c:v>
                </c:pt>
                <c:pt idx="727">
                  <c:v>328.59064395868</c:v>
                </c:pt>
                <c:pt idx="728">
                  <c:v>329.08096863689002</c:v>
                </c:pt>
                <c:pt idx="729">
                  <c:v>329.56689853888997</c:v>
                </c:pt>
                <c:pt idx="730">
                  <c:v>330.04574526330998</c:v>
                </c:pt>
                <c:pt idx="731">
                  <c:v>330.51123060872999</c:v>
                </c:pt>
                <c:pt idx="732">
                  <c:v>330.98087457864</c:v>
                </c:pt>
                <c:pt idx="733">
                  <c:v>331.45295583799998</c:v>
                </c:pt>
                <c:pt idx="734">
                  <c:v>331.92139302736001</c:v>
                </c:pt>
                <c:pt idx="735">
                  <c:v>332.38327552001999</c:v>
                </c:pt>
                <c:pt idx="736">
                  <c:v>332.86170239263998</c:v>
                </c:pt>
                <c:pt idx="737">
                  <c:v>333.34797942492003</c:v>
                </c:pt>
                <c:pt idx="738">
                  <c:v>333.82127994614001</c:v>
                </c:pt>
                <c:pt idx="739">
                  <c:v>334.30197587395003</c:v>
                </c:pt>
                <c:pt idx="740">
                  <c:v>334.78336240836001</c:v>
                </c:pt>
                <c:pt idx="741">
                  <c:v>335.29270892430998</c:v>
                </c:pt>
                <c:pt idx="742">
                  <c:v>335.78074651336999</c:v>
                </c:pt>
                <c:pt idx="743">
                  <c:v>336.24403353046</c:v>
                </c:pt>
                <c:pt idx="744">
                  <c:v>336.71113770967997</c:v>
                </c:pt>
                <c:pt idx="745">
                  <c:v>337.20352437904</c:v>
                </c:pt>
                <c:pt idx="746">
                  <c:v>337.70390268232001</c:v>
                </c:pt>
                <c:pt idx="747">
                  <c:v>338.19290413878002</c:v>
                </c:pt>
                <c:pt idx="748">
                  <c:v>338.66623914693997</c:v>
                </c:pt>
                <c:pt idx="749">
                  <c:v>339.15232295592</c:v>
                </c:pt>
                <c:pt idx="750">
                  <c:v>339.64325072264</c:v>
                </c:pt>
                <c:pt idx="751">
                  <c:v>340.13929180695999</c:v>
                </c:pt>
                <c:pt idx="752">
                  <c:v>340.61448633376</c:v>
                </c:pt>
                <c:pt idx="753">
                  <c:v>341.07450763573001</c:v>
                </c:pt>
                <c:pt idx="754">
                  <c:v>341.54354306301002</c:v>
                </c:pt>
                <c:pt idx="755">
                  <c:v>342.04073511476997</c:v>
                </c:pt>
                <c:pt idx="756">
                  <c:v>342.53012958703999</c:v>
                </c:pt>
                <c:pt idx="757">
                  <c:v>343.01252535792003</c:v>
                </c:pt>
                <c:pt idx="758">
                  <c:v>343.50464785164002</c:v>
                </c:pt>
                <c:pt idx="759">
                  <c:v>344.00169963255001</c:v>
                </c:pt>
                <c:pt idx="760">
                  <c:v>344.48080342921003</c:v>
                </c:pt>
                <c:pt idx="761">
                  <c:v>344.98572361944002</c:v>
                </c:pt>
                <c:pt idx="762">
                  <c:v>345.49136155159999</c:v>
                </c:pt>
                <c:pt idx="763">
                  <c:v>345.99198841289001</c:v>
                </c:pt>
                <c:pt idx="764">
                  <c:v>346.51868600812003</c:v>
                </c:pt>
                <c:pt idx="765">
                  <c:v>347.05587668405002</c:v>
                </c:pt>
                <c:pt idx="766">
                  <c:v>347.56505242146</c:v>
                </c:pt>
                <c:pt idx="767">
                  <c:v>348.05175644940999</c:v>
                </c:pt>
                <c:pt idx="768">
                  <c:v>348.57131663766</c:v>
                </c:pt>
                <c:pt idx="769">
                  <c:v>349.11414010191999</c:v>
                </c:pt>
                <c:pt idx="770">
                  <c:v>349.56542814085998</c:v>
                </c:pt>
                <c:pt idx="771">
                  <c:v>350.04713930038002</c:v>
                </c:pt>
                <c:pt idx="772">
                  <c:v>350.53001241418002</c:v>
                </c:pt>
                <c:pt idx="773">
                  <c:v>351.01038942329001</c:v>
                </c:pt>
                <c:pt idx="774">
                  <c:v>351.46737320236002</c:v>
                </c:pt>
                <c:pt idx="775">
                  <c:v>352.01652348640999</c:v>
                </c:pt>
                <c:pt idx="776">
                  <c:v>352.53355246071999</c:v>
                </c:pt>
                <c:pt idx="777">
                  <c:v>352.98482046460998</c:v>
                </c:pt>
                <c:pt idx="778">
                  <c:v>353.51629276112999</c:v>
                </c:pt>
                <c:pt idx="779">
                  <c:v>354.02157197862999</c:v>
                </c:pt>
                <c:pt idx="780">
                  <c:v>354.48176723866999</c:v>
                </c:pt>
                <c:pt idx="781">
                  <c:v>354.96949385169</c:v>
                </c:pt>
                <c:pt idx="782">
                  <c:v>355.43364790633001</c:v>
                </c:pt>
                <c:pt idx="783">
                  <c:v>355.88238716401997</c:v>
                </c:pt>
                <c:pt idx="784">
                  <c:v>356.35154639404999</c:v>
                </c:pt>
                <c:pt idx="785">
                  <c:v>356.83083171930002</c:v>
                </c:pt>
                <c:pt idx="786">
                  <c:v>357.29426428914002</c:v>
                </c:pt>
                <c:pt idx="787">
                  <c:v>357.77012137201001</c:v>
                </c:pt>
                <c:pt idx="788">
                  <c:v>358.26748518682001</c:v>
                </c:pt>
                <c:pt idx="789">
                  <c:v>358.75481390378002</c:v>
                </c:pt>
                <c:pt idx="790">
                  <c:v>359.24076320577001</c:v>
                </c:pt>
                <c:pt idx="791">
                  <c:v>359.72955727054</c:v>
                </c:pt>
                <c:pt idx="792">
                  <c:v>360.22541747922998</c:v>
                </c:pt>
                <c:pt idx="793">
                  <c:v>360.72370048683001</c:v>
                </c:pt>
                <c:pt idx="794">
                  <c:v>361.19822721345002</c:v>
                </c:pt>
                <c:pt idx="795">
                  <c:v>361.66844566941</c:v>
                </c:pt>
                <c:pt idx="796">
                  <c:v>362.13512936493998</c:v>
                </c:pt>
                <c:pt idx="797">
                  <c:v>362.61942168843001</c:v>
                </c:pt>
                <c:pt idx="798">
                  <c:v>363.12247860602997</c:v>
                </c:pt>
                <c:pt idx="799">
                  <c:v>363.64023690406998</c:v>
                </c:pt>
                <c:pt idx="800">
                  <c:v>364.11605336814</c:v>
                </c:pt>
                <c:pt idx="801">
                  <c:v>364.60735763581999</c:v>
                </c:pt>
                <c:pt idx="802">
                  <c:v>365.11267130933999</c:v>
                </c:pt>
                <c:pt idx="803">
                  <c:v>365.58173830158</c:v>
                </c:pt>
                <c:pt idx="804">
                  <c:v>366.04053112821998</c:v>
                </c:pt>
                <c:pt idx="805">
                  <c:v>366.52078882538001</c:v>
                </c:pt>
                <c:pt idx="806">
                  <c:v>367.04526819436001</c:v>
                </c:pt>
                <c:pt idx="807">
                  <c:v>367.55475079933001</c:v>
                </c:pt>
                <c:pt idx="808">
                  <c:v>368.03084225598002</c:v>
                </c:pt>
                <c:pt idx="809">
                  <c:v>368.47570966388997</c:v>
                </c:pt>
                <c:pt idx="810">
                  <c:v>369.00866386256001</c:v>
                </c:pt>
                <c:pt idx="811">
                  <c:v>369.52846470514999</c:v>
                </c:pt>
                <c:pt idx="812">
                  <c:v>370.00594622297001</c:v>
                </c:pt>
                <c:pt idx="813">
                  <c:v>370.49296630571001</c:v>
                </c:pt>
                <c:pt idx="814">
                  <c:v>370.99622075872998</c:v>
                </c:pt>
                <c:pt idx="815">
                  <c:v>371.45420492798002</c:v>
                </c:pt>
                <c:pt idx="816">
                  <c:v>371.94174642629002</c:v>
                </c:pt>
                <c:pt idx="817">
                  <c:v>372.44102557452999</c:v>
                </c:pt>
                <c:pt idx="818">
                  <c:v>372.91429673663998</c:v>
                </c:pt>
                <c:pt idx="819">
                  <c:v>373.39215825067998</c:v>
                </c:pt>
                <c:pt idx="820">
                  <c:v>373.86838496872002</c:v>
                </c:pt>
                <c:pt idx="821">
                  <c:v>374.36164680989998</c:v>
                </c:pt>
                <c:pt idx="822">
                  <c:v>374.8493598837</c:v>
                </c:pt>
                <c:pt idx="823">
                  <c:v>375.37086216618002</c:v>
                </c:pt>
                <c:pt idx="824">
                  <c:v>375.82513397509001</c:v>
                </c:pt>
                <c:pt idx="825">
                  <c:v>376.35468982602998</c:v>
                </c:pt>
                <c:pt idx="826">
                  <c:v>376.87838427812</c:v>
                </c:pt>
                <c:pt idx="827">
                  <c:v>377.40811448907999</c:v>
                </c:pt>
                <c:pt idx="828">
                  <c:v>377.91193072665999</c:v>
                </c:pt>
                <c:pt idx="829">
                  <c:v>378.38840606191002</c:v>
                </c:pt>
                <c:pt idx="830">
                  <c:v>378.83453543719003</c:v>
                </c:pt>
                <c:pt idx="831">
                  <c:v>379.38632745515002</c:v>
                </c:pt>
                <c:pt idx="832">
                  <c:v>379.89529007420998</c:v>
                </c:pt>
                <c:pt idx="833">
                  <c:v>380.38715909384001</c:v>
                </c:pt>
                <c:pt idx="834">
                  <c:v>380.86506998205999</c:v>
                </c:pt>
                <c:pt idx="835">
                  <c:v>381.33797542065003</c:v>
                </c:pt>
                <c:pt idx="836">
                  <c:v>381.82892171827001</c:v>
                </c:pt>
                <c:pt idx="837">
                  <c:v>382.29885437335997</c:v>
                </c:pt>
                <c:pt idx="838">
                  <c:v>382.75290620393997</c:v>
                </c:pt>
                <c:pt idx="839">
                  <c:v>383.22650046737999</c:v>
                </c:pt>
                <c:pt idx="840">
                  <c:v>383.70169296419999</c:v>
                </c:pt>
                <c:pt idx="841">
                  <c:v>384.17824038351</c:v>
                </c:pt>
                <c:pt idx="842">
                  <c:v>384.66452006237</c:v>
                </c:pt>
                <c:pt idx="843">
                  <c:v>385.13193906098002</c:v>
                </c:pt>
                <c:pt idx="844">
                  <c:v>385.59939876943002</c:v>
                </c:pt>
                <c:pt idx="845">
                  <c:v>386.08051425372003</c:v>
                </c:pt>
                <c:pt idx="846">
                  <c:v>386.55797301163</c:v>
                </c:pt>
                <c:pt idx="847">
                  <c:v>387.04009681036001</c:v>
                </c:pt>
                <c:pt idx="848">
                  <c:v>387.51854903040999</c:v>
                </c:pt>
                <c:pt idx="849">
                  <c:v>388.01016745196</c:v>
                </c:pt>
                <c:pt idx="850">
                  <c:v>388.49957698818002</c:v>
                </c:pt>
                <c:pt idx="851">
                  <c:v>388.99408837000999</c:v>
                </c:pt>
                <c:pt idx="852">
                  <c:v>389.49073092969002</c:v>
                </c:pt>
                <c:pt idx="853">
                  <c:v>389.96789250028002</c:v>
                </c:pt>
                <c:pt idx="854">
                  <c:v>390.46348070659002</c:v>
                </c:pt>
                <c:pt idx="855">
                  <c:v>390.93895466930002</c:v>
                </c:pt>
                <c:pt idx="856">
                  <c:v>391.43618841938002</c:v>
                </c:pt>
                <c:pt idx="857">
                  <c:v>391.91858235759997</c:v>
                </c:pt>
                <c:pt idx="858">
                  <c:v>392.40684534972002</c:v>
                </c:pt>
                <c:pt idx="859">
                  <c:v>392.91402262609</c:v>
                </c:pt>
                <c:pt idx="860">
                  <c:v>393.36509448752003</c:v>
                </c:pt>
                <c:pt idx="861">
                  <c:v>393.85033137637998</c:v>
                </c:pt>
                <c:pt idx="862">
                  <c:v>394.3357984978</c:v>
                </c:pt>
                <c:pt idx="863">
                  <c:v>394.83494514099999</c:v>
                </c:pt>
                <c:pt idx="864">
                  <c:v>395.28465763355001</c:v>
                </c:pt>
                <c:pt idx="865">
                  <c:v>395.78815758370001</c:v>
                </c:pt>
                <c:pt idx="866">
                  <c:v>396.35303837395998</c:v>
                </c:pt>
                <c:pt idx="867">
                  <c:v>396.83991622726001</c:v>
                </c:pt>
                <c:pt idx="868">
                  <c:v>397.33654480978998</c:v>
                </c:pt>
                <c:pt idx="869">
                  <c:v>397.82077944046</c:v>
                </c:pt>
                <c:pt idx="870">
                  <c:v>398.32761103474002</c:v>
                </c:pt>
                <c:pt idx="871">
                  <c:v>398.80515984228998</c:v>
                </c:pt>
                <c:pt idx="872">
                  <c:v>399.32057727759002</c:v>
                </c:pt>
                <c:pt idx="873">
                  <c:v>399.81999619573998</c:v>
                </c:pt>
                <c:pt idx="874">
                  <c:v>400.34394513887003</c:v>
                </c:pt>
                <c:pt idx="875">
                  <c:v>400.88229030649001</c:v>
                </c:pt>
                <c:pt idx="876">
                  <c:v>401.37528492160999</c:v>
                </c:pt>
                <c:pt idx="877">
                  <c:v>401.86176945233001</c:v>
                </c:pt>
                <c:pt idx="878">
                  <c:v>402.35792429809999</c:v>
                </c:pt>
                <c:pt idx="879">
                  <c:v>402.87796863710997</c:v>
                </c:pt>
                <c:pt idx="880">
                  <c:v>403.38774116855001</c:v>
                </c:pt>
                <c:pt idx="881">
                  <c:v>403.88294351999002</c:v>
                </c:pt>
                <c:pt idx="882">
                  <c:v>404.40365246610003</c:v>
                </c:pt>
                <c:pt idx="883">
                  <c:v>404.92007576387999</c:v>
                </c:pt>
                <c:pt idx="884">
                  <c:v>405.44353669027998</c:v>
                </c:pt>
                <c:pt idx="885">
                  <c:v>405.98021458818999</c:v>
                </c:pt>
                <c:pt idx="886">
                  <c:v>406.50389425297999</c:v>
                </c:pt>
                <c:pt idx="887">
                  <c:v>407.03898459227997</c:v>
                </c:pt>
                <c:pt idx="888">
                  <c:v>407.55797821174002</c:v>
                </c:pt>
                <c:pt idx="889">
                  <c:v>408.09575864419998</c:v>
                </c:pt>
                <c:pt idx="890">
                  <c:v>408.63435848121998</c:v>
                </c:pt>
                <c:pt idx="891">
                  <c:v>409.17835035782002</c:v>
                </c:pt>
                <c:pt idx="892">
                  <c:v>409.72165092652</c:v>
                </c:pt>
                <c:pt idx="893">
                  <c:v>410.27551883452998</c:v>
                </c:pt>
                <c:pt idx="894">
                  <c:v>410.82861069129001</c:v>
                </c:pt>
                <c:pt idx="895">
                  <c:v>411.36783158473997</c:v>
                </c:pt>
                <c:pt idx="896">
                  <c:v>411.92294986208998</c:v>
                </c:pt>
                <c:pt idx="897">
                  <c:v>412.49009832239</c:v>
                </c:pt>
                <c:pt idx="898">
                  <c:v>413.04326215723</c:v>
                </c:pt>
                <c:pt idx="899">
                  <c:v>413.60597242998</c:v>
                </c:pt>
                <c:pt idx="900">
                  <c:v>414.17555705264999</c:v>
                </c:pt>
                <c:pt idx="901">
                  <c:v>414.75477264927002</c:v>
                </c:pt>
                <c:pt idx="902">
                  <c:v>415.31605671261002</c:v>
                </c:pt>
                <c:pt idx="903">
                  <c:v>415.90261615098001</c:v>
                </c:pt>
                <c:pt idx="904">
                  <c:v>416.47206978585001</c:v>
                </c:pt>
                <c:pt idx="905">
                  <c:v>417.02270129396999</c:v>
                </c:pt>
                <c:pt idx="906">
                  <c:v>417.60113135130001</c:v>
                </c:pt>
                <c:pt idx="907">
                  <c:v>418.15834291413</c:v>
                </c:pt>
                <c:pt idx="908">
                  <c:v>418.71669808266</c:v>
                </c:pt>
                <c:pt idx="909">
                  <c:v>419.29968898844999</c:v>
                </c:pt>
                <c:pt idx="910">
                  <c:v>419.87202454891002</c:v>
                </c:pt>
                <c:pt idx="911">
                  <c:v>420.42640114787002</c:v>
                </c:pt>
                <c:pt idx="912">
                  <c:v>420.96515625827999</c:v>
                </c:pt>
                <c:pt idx="913">
                  <c:v>421.54296201407999</c:v>
                </c:pt>
                <c:pt idx="914">
                  <c:v>422.06815997090001</c:v>
                </c:pt>
                <c:pt idx="915">
                  <c:v>422.59952412800999</c:v>
                </c:pt>
                <c:pt idx="916">
                  <c:v>423.18464733192002</c:v>
                </c:pt>
                <c:pt idx="917">
                  <c:v>423.70038066379999</c:v>
                </c:pt>
                <c:pt idx="918">
                  <c:v>424.20101317916999</c:v>
                </c:pt>
                <c:pt idx="919">
                  <c:v>424.79607195054001</c:v>
                </c:pt>
                <c:pt idx="920">
                  <c:v>425.38157212274001</c:v>
                </c:pt>
                <c:pt idx="921">
                  <c:v>425.89466862120003</c:v>
                </c:pt>
                <c:pt idx="922">
                  <c:v>426.42800670029999</c:v>
                </c:pt>
                <c:pt idx="923">
                  <c:v>426.93954643026001</c:v>
                </c:pt>
                <c:pt idx="924">
                  <c:v>427.45545238638999</c:v>
                </c:pt>
                <c:pt idx="925">
                  <c:v>427.96666541495</c:v>
                </c:pt>
                <c:pt idx="926">
                  <c:v>428.46456276865001</c:v>
                </c:pt>
                <c:pt idx="927">
                  <c:v>428.92302029915999</c:v>
                </c:pt>
                <c:pt idx="928">
                  <c:v>429.34614022378997</c:v>
                </c:pt>
                <c:pt idx="929">
                  <c:v>429.73415384134</c:v>
                </c:pt>
                <c:pt idx="930">
                  <c:v>430.10034566565002</c:v>
                </c:pt>
                <c:pt idx="931">
                  <c:v>430.44747604998997</c:v>
                </c:pt>
                <c:pt idx="932">
                  <c:v>430.76905946430003</c:v>
                </c:pt>
                <c:pt idx="933">
                  <c:v>431.05898853243002</c:v>
                </c:pt>
                <c:pt idx="934">
                  <c:v>431.32586332653</c:v>
                </c:pt>
                <c:pt idx="935">
                  <c:v>431.57134505348</c:v>
                </c:pt>
                <c:pt idx="936">
                  <c:v>431.78408855047002</c:v>
                </c:pt>
                <c:pt idx="937">
                  <c:v>431.97472237996999</c:v>
                </c:pt>
                <c:pt idx="938">
                  <c:v>432.1457482344</c:v>
                </c:pt>
                <c:pt idx="939">
                  <c:v>432.30567167187002</c:v>
                </c:pt>
                <c:pt idx="940">
                  <c:v>432.43813208389997</c:v>
                </c:pt>
                <c:pt idx="941">
                  <c:v>432.54589649280001</c:v>
                </c:pt>
                <c:pt idx="942">
                  <c:v>432.65529863046999</c:v>
                </c:pt>
                <c:pt idx="943">
                  <c:v>432.74613751878002</c:v>
                </c:pt>
                <c:pt idx="944">
                  <c:v>432.84536804521002</c:v>
                </c:pt>
                <c:pt idx="945">
                  <c:v>432.94317247550998</c:v>
                </c:pt>
                <c:pt idx="946">
                  <c:v>433.03553898562001</c:v>
                </c:pt>
                <c:pt idx="947">
                  <c:v>433.12094950542001</c:v>
                </c:pt>
                <c:pt idx="948">
                  <c:v>433.21269081279002</c:v>
                </c:pt>
                <c:pt idx="949">
                  <c:v>433.32716088977998</c:v>
                </c:pt>
                <c:pt idx="950">
                  <c:v>433.45098390283999</c:v>
                </c:pt>
                <c:pt idx="951">
                  <c:v>433.57569488365999</c:v>
                </c:pt>
                <c:pt idx="952">
                  <c:v>433.71747020139998</c:v>
                </c:pt>
                <c:pt idx="953">
                  <c:v>433.87431639634002</c:v>
                </c:pt>
                <c:pt idx="954">
                  <c:v>434.04369936371</c:v>
                </c:pt>
                <c:pt idx="955">
                  <c:v>434.22170833403999</c:v>
                </c:pt>
                <c:pt idx="956">
                  <c:v>434.42087804838002</c:v>
                </c:pt>
                <c:pt idx="957">
                  <c:v>434.64493852822</c:v>
                </c:pt>
                <c:pt idx="958">
                  <c:v>434.94784024038</c:v>
                </c:pt>
                <c:pt idx="959">
                  <c:v>435.27968142164002</c:v>
                </c:pt>
                <c:pt idx="960">
                  <c:v>435.56675922224002</c:v>
                </c:pt>
                <c:pt idx="961">
                  <c:v>435.83266210247001</c:v>
                </c:pt>
                <c:pt idx="962">
                  <c:v>436.16492594186002</c:v>
                </c:pt>
                <c:pt idx="963">
                  <c:v>436.52881592119002</c:v>
                </c:pt>
                <c:pt idx="964">
                  <c:v>436.86818135248001</c:v>
                </c:pt>
                <c:pt idx="965">
                  <c:v>437.18347117220998</c:v>
                </c:pt>
                <c:pt idx="966">
                  <c:v>437.53507118087998</c:v>
                </c:pt>
                <c:pt idx="967">
                  <c:v>437.90756979670999</c:v>
                </c:pt>
                <c:pt idx="968">
                  <c:v>438.24846606479002</c:v>
                </c:pt>
                <c:pt idx="969">
                  <c:v>438.61117630763999</c:v>
                </c:pt>
                <c:pt idx="970">
                  <c:v>438.97053087916998</c:v>
                </c:pt>
                <c:pt idx="971">
                  <c:v>439.35954763018998</c:v>
                </c:pt>
                <c:pt idx="972">
                  <c:v>439.72529781175001</c:v>
                </c:pt>
                <c:pt idx="973">
                  <c:v>440.09380298686</c:v>
                </c:pt>
                <c:pt idx="974">
                  <c:v>440.45396665904002</c:v>
                </c:pt>
                <c:pt idx="975">
                  <c:v>440.80944593298</c:v>
                </c:pt>
                <c:pt idx="976">
                  <c:v>441.16037115571999</c:v>
                </c:pt>
                <c:pt idx="977">
                  <c:v>441.50309255214</c:v>
                </c:pt>
                <c:pt idx="978">
                  <c:v>441.81967208319998</c:v>
                </c:pt>
                <c:pt idx="979">
                  <c:v>442.12104012703998</c:v>
                </c:pt>
                <c:pt idx="980">
                  <c:v>442.43962545773002</c:v>
                </c:pt>
                <c:pt idx="981">
                  <c:v>442.74476107982002</c:v>
                </c:pt>
                <c:pt idx="982">
                  <c:v>443.01243345354999</c:v>
                </c:pt>
                <c:pt idx="983">
                  <c:v>443.27834659075</c:v>
                </c:pt>
                <c:pt idx="984">
                  <c:v>443.52397087627003</c:v>
                </c:pt>
                <c:pt idx="985">
                  <c:v>443.74051657071999</c:v>
                </c:pt>
                <c:pt idx="986">
                  <c:v>443.95571651457999</c:v>
                </c:pt>
                <c:pt idx="987">
                  <c:v>444.13713369392002</c:v>
                </c:pt>
                <c:pt idx="988">
                  <c:v>444.31577789776998</c:v>
                </c:pt>
                <c:pt idx="989">
                  <c:v>444.45747019053999</c:v>
                </c:pt>
                <c:pt idx="990">
                  <c:v>444.59135235434002</c:v>
                </c:pt>
                <c:pt idx="991">
                  <c:v>444.68914843036998</c:v>
                </c:pt>
                <c:pt idx="992">
                  <c:v>444.77422247925</c:v>
                </c:pt>
                <c:pt idx="993">
                  <c:v>444.83491593131998</c:v>
                </c:pt>
                <c:pt idx="994">
                  <c:v>444.88071104915002</c:v>
                </c:pt>
                <c:pt idx="995">
                  <c:v>444.90717989762999</c:v>
                </c:pt>
                <c:pt idx="996">
                  <c:v>444.92127005082</c:v>
                </c:pt>
                <c:pt idx="997">
                  <c:v>444.87442383001002</c:v>
                </c:pt>
                <c:pt idx="998">
                  <c:v>444.87476277651001</c:v>
                </c:pt>
                <c:pt idx="999">
                  <c:v>445.26800962999999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7680"/>
        <c:axId val="572268016"/>
      </c:scatterChart>
      <c:valAx>
        <c:axId val="57225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8016"/>
        <c:crosses val="autoZero"/>
        <c:crossBetween val="midCat"/>
      </c:valAx>
      <c:valAx>
        <c:axId val="57226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Height (mm)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'zero-1'!$W$2:$W$1001</c:f>
              <c:numCache>
                <c:formatCode>0.00_ 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24.914850183252</c:v>
                </c:pt>
                <c:pt idx="95">
                  <c:v>25.21176478844</c:v>
                </c:pt>
                <c:pt idx="96">
                  <c:v>25.648224454693999</c:v>
                </c:pt>
                <c:pt idx="97">
                  <c:v>25.912751782821999</c:v>
                </c:pt>
                <c:pt idx="98">
                  <c:v>26.086153644844998</c:v>
                </c:pt>
                <c:pt idx="99">
                  <c:v>26.294715708024999</c:v>
                </c:pt>
                <c:pt idx="100">
                  <c:v>26.522925325327002</c:v>
                </c:pt>
                <c:pt idx="101">
                  <c:v>26.711031139296999</c:v>
                </c:pt>
                <c:pt idx="102">
                  <c:v>27.014118207065998</c:v>
                </c:pt>
                <c:pt idx="103">
                  <c:v>27.299409697757998</c:v>
                </c:pt>
                <c:pt idx="104">
                  <c:v>27.501316231836</c:v>
                </c:pt>
                <c:pt idx="105">
                  <c:v>27.773973259163</c:v>
                </c:pt>
                <c:pt idx="106">
                  <c:v>28.049229460974001</c:v>
                </c:pt>
                <c:pt idx="107">
                  <c:v>28.231869348308997</c:v>
                </c:pt>
                <c:pt idx="108">
                  <c:v>28.485301732525997</c:v>
                </c:pt>
                <c:pt idx="109">
                  <c:v>28.734110350908001</c:v>
                </c:pt>
                <c:pt idx="110">
                  <c:v>29.077699210160002</c:v>
                </c:pt>
                <c:pt idx="111">
                  <c:v>29.365400071708002</c:v>
                </c:pt>
                <c:pt idx="112">
                  <c:v>29.716319839154</c:v>
                </c:pt>
                <c:pt idx="113">
                  <c:v>30.053433579223</c:v>
                </c:pt>
                <c:pt idx="114">
                  <c:v>30.524974364523999</c:v>
                </c:pt>
                <c:pt idx="115">
                  <c:v>30.861901843908001</c:v>
                </c:pt>
                <c:pt idx="116">
                  <c:v>31.231968394526</c:v>
                </c:pt>
                <c:pt idx="117">
                  <c:v>31.600189260497</c:v>
                </c:pt>
                <c:pt idx="118">
                  <c:v>31.970170002345998</c:v>
                </c:pt>
                <c:pt idx="119">
                  <c:v>32.344162525061002</c:v>
                </c:pt>
                <c:pt idx="120">
                  <c:v>32.752835236922998</c:v>
                </c:pt>
                <c:pt idx="121">
                  <c:v>33.156795933403401</c:v>
                </c:pt>
                <c:pt idx="122">
                  <c:v>33.553414705737701</c:v>
                </c:pt>
                <c:pt idx="123">
                  <c:v>33.952967115543601</c:v>
                </c:pt>
                <c:pt idx="124">
                  <c:v>34.353815183854103</c:v>
                </c:pt>
                <c:pt idx="125">
                  <c:v>34.780345321340505</c:v>
                </c:pt>
                <c:pt idx="126">
                  <c:v>35.201904905782101</c:v>
                </c:pt>
                <c:pt idx="127">
                  <c:v>35.633521568696601</c:v>
                </c:pt>
                <c:pt idx="128">
                  <c:v>36.136847519350596</c:v>
                </c:pt>
                <c:pt idx="129">
                  <c:v>36.567560138969199</c:v>
                </c:pt>
                <c:pt idx="130">
                  <c:v>36.946006057668299</c:v>
                </c:pt>
                <c:pt idx="131">
                  <c:v>37.334771737752902</c:v>
                </c:pt>
                <c:pt idx="132">
                  <c:v>37.726522701085401</c:v>
                </c:pt>
                <c:pt idx="133">
                  <c:v>38.1585231033892</c:v>
                </c:pt>
                <c:pt idx="134">
                  <c:v>38.570884452983904</c:v>
                </c:pt>
                <c:pt idx="135">
                  <c:v>38.938902664842999</c:v>
                </c:pt>
                <c:pt idx="136">
                  <c:v>39.293767890281501</c:v>
                </c:pt>
                <c:pt idx="137">
                  <c:v>39.678477009415104</c:v>
                </c:pt>
                <c:pt idx="138">
                  <c:v>40.050676132281097</c:v>
                </c:pt>
                <c:pt idx="139">
                  <c:v>40.3856214498798</c:v>
                </c:pt>
                <c:pt idx="140">
                  <c:v>40.834431150212801</c:v>
                </c:pt>
                <c:pt idx="141">
                  <c:v>41.217677420117795</c:v>
                </c:pt>
                <c:pt idx="142">
                  <c:v>41.5357349226976</c:v>
                </c:pt>
                <c:pt idx="143">
                  <c:v>41.857068143775997</c:v>
                </c:pt>
                <c:pt idx="144">
                  <c:v>42.196995714478703</c:v>
                </c:pt>
                <c:pt idx="145">
                  <c:v>42.442699643395905</c:v>
                </c:pt>
                <c:pt idx="146">
                  <c:v>42.757892067180293</c:v>
                </c:pt>
                <c:pt idx="147">
                  <c:v>43.089444271268</c:v>
                </c:pt>
                <c:pt idx="148">
                  <c:v>43.372019272689201</c:v>
                </c:pt>
                <c:pt idx="149">
                  <c:v>43.819037309080201</c:v>
                </c:pt>
                <c:pt idx="150">
                  <c:v>44.059649155690394</c:v>
                </c:pt>
                <c:pt idx="151">
                  <c:v>44.320968494293602</c:v>
                </c:pt>
                <c:pt idx="152">
                  <c:v>44.545201506825897</c:v>
                </c:pt>
                <c:pt idx="153">
                  <c:v>44.752283074686801</c:v>
                </c:pt>
                <c:pt idx="154">
                  <c:v>44.960144722595103</c:v>
                </c:pt>
                <c:pt idx="155">
                  <c:v>45.174712561929503</c:v>
                </c:pt>
                <c:pt idx="156">
                  <c:v>45.340766687928905</c:v>
                </c:pt>
                <c:pt idx="157">
                  <c:v>45.491657089540496</c:v>
                </c:pt>
                <c:pt idx="158">
                  <c:v>45.972684757162497</c:v>
                </c:pt>
                <c:pt idx="159">
                  <c:v>46.109518592948298</c:v>
                </c:pt>
                <c:pt idx="160">
                  <c:v>46.267613002301104</c:v>
                </c:pt>
                <c:pt idx="161">
                  <c:v>46.427553731613898</c:v>
                </c:pt>
                <c:pt idx="162">
                  <c:v>46.560483579999101</c:v>
                </c:pt>
                <c:pt idx="163">
                  <c:v>46.6816190523218</c:v>
                </c:pt>
                <c:pt idx="164">
                  <c:v>46.806224465188599</c:v>
                </c:pt>
                <c:pt idx="165">
                  <c:v>46.912302087406395</c:v>
                </c:pt>
                <c:pt idx="166">
                  <c:v>47.395548967916397</c:v>
                </c:pt>
                <c:pt idx="167">
                  <c:v>47.502861327604698</c:v>
                </c:pt>
                <c:pt idx="168">
                  <c:v>47.603630284504696</c:v>
                </c:pt>
                <c:pt idx="169">
                  <c:v>47.695388164693604</c:v>
                </c:pt>
                <c:pt idx="170">
                  <c:v>47.775976871982593</c:v>
                </c:pt>
                <c:pt idx="171">
                  <c:v>47.848843427306306</c:v>
                </c:pt>
                <c:pt idx="172">
                  <c:v>47.909833967679404</c:v>
                </c:pt>
                <c:pt idx="173">
                  <c:v>47.963844090998002</c:v>
                </c:pt>
                <c:pt idx="174">
                  <c:v>48.018626268800006</c:v>
                </c:pt>
                <c:pt idx="175">
                  <c:v>48.503091891745001</c:v>
                </c:pt>
                <c:pt idx="176">
                  <c:v>48.537241922344002</c:v>
                </c:pt>
                <c:pt idx="177">
                  <c:v>48.553020343767002</c:v>
                </c:pt>
                <c:pt idx="178">
                  <c:v>48.572460522588003</c:v>
                </c:pt>
                <c:pt idx="179">
                  <c:v>48.580684219867003</c:v>
                </c:pt>
                <c:pt idx="180">
                  <c:v>48.573031415643001</c:v>
                </c:pt>
                <c:pt idx="181">
                  <c:v>48.572805884361998</c:v>
                </c:pt>
                <c:pt idx="182">
                  <c:v>48.572901769635997</c:v>
                </c:pt>
                <c:pt idx="183">
                  <c:v>48.570749392137998</c:v>
                </c:pt>
                <c:pt idx="184">
                  <c:v>49.058282064536996</c:v>
                </c:pt>
                <c:pt idx="185">
                  <c:v>49.030765406219004</c:v>
                </c:pt>
                <c:pt idx="186">
                  <c:v>49.000894879400008</c:v>
                </c:pt>
                <c:pt idx="187">
                  <c:v>48.980539103717994</c:v>
                </c:pt>
                <c:pt idx="188">
                  <c:v>48.973554074158002</c:v>
                </c:pt>
                <c:pt idx="189">
                  <c:v>48.96355283234</c:v>
                </c:pt>
                <c:pt idx="190">
                  <c:v>48.960755109003003</c:v>
                </c:pt>
                <c:pt idx="191">
                  <c:v>48.967179651546004</c:v>
                </c:pt>
                <c:pt idx="192">
                  <c:v>48.978572644632997</c:v>
                </c:pt>
                <c:pt idx="193">
                  <c:v>48.976917968140008</c:v>
                </c:pt>
                <c:pt idx="194">
                  <c:v>48.993155414862997</c:v>
                </c:pt>
                <c:pt idx="195">
                  <c:v>49.005375017262999</c:v>
                </c:pt>
                <c:pt idx="196">
                  <c:v>49.545542587223004</c:v>
                </c:pt>
                <c:pt idx="197">
                  <c:v>49.537123569534998</c:v>
                </c:pt>
                <c:pt idx="198">
                  <c:v>49.504738106437003</c:v>
                </c:pt>
                <c:pt idx="199">
                  <c:v>49.56591348408999</c:v>
                </c:pt>
                <c:pt idx="200">
                  <c:v>49.664861375981999</c:v>
                </c:pt>
                <c:pt idx="201">
                  <c:v>49.736183326014</c:v>
                </c:pt>
                <c:pt idx="202">
                  <c:v>49.779863070813001</c:v>
                </c:pt>
                <c:pt idx="203">
                  <c:v>49.839657585749002</c:v>
                </c:pt>
                <c:pt idx="204">
                  <c:v>49.920922962253997</c:v>
                </c:pt>
                <c:pt idx="205">
                  <c:v>49.99038410322801</c:v>
                </c:pt>
                <c:pt idx="206">
                  <c:v>50.064408319809004</c:v>
                </c:pt>
                <c:pt idx="207">
                  <c:v>50.128192757526008</c:v>
                </c:pt>
                <c:pt idx="208">
                  <c:v>50.197182119285003</c:v>
                </c:pt>
                <c:pt idx="209">
                  <c:v>50.257033405298998</c:v>
                </c:pt>
                <c:pt idx="210">
                  <c:v>50.304258727156999</c:v>
                </c:pt>
                <c:pt idx="211">
                  <c:v>50.343396922337</c:v>
                </c:pt>
                <c:pt idx="212">
                  <c:v>50.397189080455995</c:v>
                </c:pt>
                <c:pt idx="213">
                  <c:v>50.44859810314</c:v>
                </c:pt>
                <c:pt idx="214">
                  <c:v>50.477636159805996</c:v>
                </c:pt>
                <c:pt idx="215">
                  <c:v>50.521954512527003</c:v>
                </c:pt>
                <c:pt idx="216">
                  <c:v>50.564496414509009</c:v>
                </c:pt>
                <c:pt idx="217">
                  <c:v>50.594016215900993</c:v>
                </c:pt>
                <c:pt idx="218">
                  <c:v>50.602549363479994</c:v>
                </c:pt>
                <c:pt idx="219">
                  <c:v>50.626842964982004</c:v>
                </c:pt>
                <c:pt idx="220">
                  <c:v>50.654688938404007</c:v>
                </c:pt>
                <c:pt idx="221">
                  <c:v>50.661535747609996</c:v>
                </c:pt>
                <c:pt idx="222">
                  <c:v>50.670777462102002</c:v>
                </c:pt>
                <c:pt idx="223">
                  <c:v>50.676174668763998</c:v>
                </c:pt>
                <c:pt idx="224">
                  <c:v>50.680281219927998</c:v>
                </c:pt>
                <c:pt idx="225">
                  <c:v>50.702622015812004</c:v>
                </c:pt>
                <c:pt idx="226">
                  <c:v>50.725599074580003</c:v>
                </c:pt>
                <c:pt idx="227">
                  <c:v>50.744082928209004</c:v>
                </c:pt>
                <c:pt idx="228">
                  <c:v>50.737080662014002</c:v>
                </c:pt>
                <c:pt idx="229">
                  <c:v>50.723762169236991</c:v>
                </c:pt>
                <c:pt idx="230">
                  <c:v>50.723014348908002</c:v>
                </c:pt>
                <c:pt idx="231">
                  <c:v>50.71017972872199</c:v>
                </c:pt>
                <c:pt idx="232">
                  <c:v>50.686436719314003</c:v>
                </c:pt>
                <c:pt idx="233">
                  <c:v>50.675298378956001</c:v>
                </c:pt>
                <c:pt idx="234">
                  <c:v>50.702797340849003</c:v>
                </c:pt>
                <c:pt idx="235">
                  <c:v>50.705106425158995</c:v>
                </c:pt>
                <c:pt idx="236">
                  <c:v>50.726812851059002</c:v>
                </c:pt>
                <c:pt idx="237">
                  <c:v>50.726531911453002</c:v>
                </c:pt>
                <c:pt idx="238">
                  <c:v>50.718309678274004</c:v>
                </c:pt>
                <c:pt idx="239">
                  <c:v>50.718168788627004</c:v>
                </c:pt>
                <c:pt idx="240">
                  <c:v>50.743105554502009</c:v>
                </c:pt>
                <c:pt idx="241">
                  <c:v>50.734167623905002</c:v>
                </c:pt>
                <c:pt idx="242">
                  <c:v>50.700422245078009</c:v>
                </c:pt>
                <c:pt idx="243">
                  <c:v>50.709615560307007</c:v>
                </c:pt>
                <c:pt idx="244">
                  <c:v>50.730320997907008</c:v>
                </c:pt>
                <c:pt idx="245">
                  <c:v>50.689328552619003</c:v>
                </c:pt>
                <c:pt idx="246">
                  <c:v>50.701901891733009</c:v>
                </c:pt>
                <c:pt idx="247">
                  <c:v>50.729162430237999</c:v>
                </c:pt>
                <c:pt idx="248">
                  <c:v>50.721116342373001</c:v>
                </c:pt>
                <c:pt idx="249">
                  <c:v>50.800611151216991</c:v>
                </c:pt>
                <c:pt idx="250">
                  <c:v>50.761318233433002</c:v>
                </c:pt>
                <c:pt idx="251">
                  <c:v>50.686614157638004</c:v>
                </c:pt>
                <c:pt idx="252">
                  <c:v>50.688891044098007</c:v>
                </c:pt>
                <c:pt idx="253">
                  <c:v>50.716823953579002</c:v>
                </c:pt>
                <c:pt idx="254">
                  <c:v>50.742273762511005</c:v>
                </c:pt>
                <c:pt idx="255">
                  <c:v>50.726974229970999</c:v>
                </c:pt>
                <c:pt idx="256">
                  <c:v>50.717975313436007</c:v>
                </c:pt>
                <c:pt idx="257">
                  <c:v>50.749730585163</c:v>
                </c:pt>
                <c:pt idx="258">
                  <c:v>50.752589027483999</c:v>
                </c:pt>
                <c:pt idx="259">
                  <c:v>50.724645802670992</c:v>
                </c:pt>
                <c:pt idx="260">
                  <c:v>50.713319601864995</c:v>
                </c:pt>
                <c:pt idx="261">
                  <c:v>50.729345889634004</c:v>
                </c:pt>
                <c:pt idx="262">
                  <c:v>50.735291742171995</c:v>
                </c:pt>
                <c:pt idx="263">
                  <c:v>50.750444461063005</c:v>
                </c:pt>
                <c:pt idx="264">
                  <c:v>50.75861699467</c:v>
                </c:pt>
                <c:pt idx="265">
                  <c:v>50.748290984694997</c:v>
                </c:pt>
                <c:pt idx="266">
                  <c:v>50.751187210329007</c:v>
                </c:pt>
                <c:pt idx="267">
                  <c:v>50.759179321055008</c:v>
                </c:pt>
                <c:pt idx="268">
                  <c:v>50.757608566907003</c:v>
                </c:pt>
                <c:pt idx="269">
                  <c:v>50.763215279770002</c:v>
                </c:pt>
                <c:pt idx="270">
                  <c:v>50.757186906620007</c:v>
                </c:pt>
                <c:pt idx="271">
                  <c:v>50.746967809440008</c:v>
                </c:pt>
                <c:pt idx="272">
                  <c:v>50.741817495890999</c:v>
                </c:pt>
                <c:pt idx="273">
                  <c:v>50.753003243879995</c:v>
                </c:pt>
                <c:pt idx="274">
                  <c:v>50.756543613676996</c:v>
                </c:pt>
                <c:pt idx="275">
                  <c:v>50.760636003110001</c:v>
                </c:pt>
                <c:pt idx="276">
                  <c:v>50.763750652280002</c:v>
                </c:pt>
                <c:pt idx="277">
                  <c:v>50.758921721602995</c:v>
                </c:pt>
                <c:pt idx="278">
                  <c:v>50.741014382743998</c:v>
                </c:pt>
                <c:pt idx="279">
                  <c:v>50.734925269949002</c:v>
                </c:pt>
                <c:pt idx="280">
                  <c:v>50.741161200886005</c:v>
                </c:pt>
                <c:pt idx="281">
                  <c:v>50.762547857591997</c:v>
                </c:pt>
                <c:pt idx="282">
                  <c:v>50.761572962170995</c:v>
                </c:pt>
                <c:pt idx="283">
                  <c:v>50.760375236511997</c:v>
                </c:pt>
                <c:pt idx="284">
                  <c:v>50.761917424484999</c:v>
                </c:pt>
                <c:pt idx="285">
                  <c:v>50.747765738568006</c:v>
                </c:pt>
                <c:pt idx="286">
                  <c:v>50.738643399384998</c:v>
                </c:pt>
                <c:pt idx="287">
                  <c:v>50.747690519080997</c:v>
                </c:pt>
                <c:pt idx="288">
                  <c:v>50.753839303521993</c:v>
                </c:pt>
                <c:pt idx="289">
                  <c:v>50.751373154547991</c:v>
                </c:pt>
                <c:pt idx="290">
                  <c:v>50.740677162291988</c:v>
                </c:pt>
                <c:pt idx="291">
                  <c:v>50.739481856407011</c:v>
                </c:pt>
                <c:pt idx="292">
                  <c:v>50.729027986944004</c:v>
                </c:pt>
                <c:pt idx="293">
                  <c:v>50.736615748245995</c:v>
                </c:pt>
                <c:pt idx="294">
                  <c:v>50.741741130584998</c:v>
                </c:pt>
                <c:pt idx="295">
                  <c:v>50.717464982577994</c:v>
                </c:pt>
                <c:pt idx="296">
                  <c:v>50.708638683832007</c:v>
                </c:pt>
                <c:pt idx="297">
                  <c:v>50.728147624731989</c:v>
                </c:pt>
                <c:pt idx="298">
                  <c:v>50.717718173104998</c:v>
                </c:pt>
                <c:pt idx="299">
                  <c:v>50.705369131200001</c:v>
                </c:pt>
                <c:pt idx="300">
                  <c:v>50.667498235609997</c:v>
                </c:pt>
                <c:pt idx="301">
                  <c:v>50.68522447688801</c:v>
                </c:pt>
                <c:pt idx="302">
                  <c:v>50.706515933169996</c:v>
                </c:pt>
                <c:pt idx="303">
                  <c:v>50.688760725181012</c:v>
                </c:pt>
                <c:pt idx="304">
                  <c:v>50.704071613254996</c:v>
                </c:pt>
                <c:pt idx="305">
                  <c:v>50.646239859261996</c:v>
                </c:pt>
                <c:pt idx="306">
                  <c:v>50.641338606301005</c:v>
                </c:pt>
                <c:pt idx="307">
                  <c:v>50.707807465735002</c:v>
                </c:pt>
                <c:pt idx="308">
                  <c:v>50.679962110683007</c:v>
                </c:pt>
                <c:pt idx="309">
                  <c:v>50.678682450892993</c:v>
                </c:pt>
                <c:pt idx="310">
                  <c:v>50.676038590198999</c:v>
                </c:pt>
                <c:pt idx="311">
                  <c:v>50.674150710709995</c:v>
                </c:pt>
                <c:pt idx="312">
                  <c:v>50.653347200980988</c:v>
                </c:pt>
                <c:pt idx="313">
                  <c:v>50.632016952002999</c:v>
                </c:pt>
                <c:pt idx="314">
                  <c:v>50.636233401355994</c:v>
                </c:pt>
                <c:pt idx="315">
                  <c:v>50.659608817172995</c:v>
                </c:pt>
                <c:pt idx="316">
                  <c:v>50.653864768905009</c:v>
                </c:pt>
                <c:pt idx="317">
                  <c:v>50.638882738527002</c:v>
                </c:pt>
                <c:pt idx="318">
                  <c:v>50.636013999157996</c:v>
                </c:pt>
                <c:pt idx="319">
                  <c:v>50.636348842699007</c:v>
                </c:pt>
                <c:pt idx="320">
                  <c:v>50.632224335714</c:v>
                </c:pt>
                <c:pt idx="321">
                  <c:v>50.632471212230016</c:v>
                </c:pt>
                <c:pt idx="322">
                  <c:v>50.648708300850004</c:v>
                </c:pt>
                <c:pt idx="323">
                  <c:v>50.650927610474994</c:v>
                </c:pt>
                <c:pt idx="324">
                  <c:v>50.65831663102</c:v>
                </c:pt>
                <c:pt idx="325">
                  <c:v>50.663592454267004</c:v>
                </c:pt>
                <c:pt idx="326">
                  <c:v>50.666102966589008</c:v>
                </c:pt>
                <c:pt idx="327">
                  <c:v>50.670786681870013</c:v>
                </c:pt>
                <c:pt idx="328">
                  <c:v>50.647964088606003</c:v>
                </c:pt>
                <c:pt idx="329">
                  <c:v>50.62587580487299</c:v>
                </c:pt>
                <c:pt idx="330">
                  <c:v>50.634905810687002</c:v>
                </c:pt>
                <c:pt idx="331">
                  <c:v>50.630586084049995</c:v>
                </c:pt>
                <c:pt idx="332">
                  <c:v>50.63701981202199</c:v>
                </c:pt>
                <c:pt idx="333">
                  <c:v>50.653943651853012</c:v>
                </c:pt>
                <c:pt idx="334">
                  <c:v>50.640857179181992</c:v>
                </c:pt>
                <c:pt idx="335">
                  <c:v>50.626645793224014</c:v>
                </c:pt>
                <c:pt idx="336">
                  <c:v>50.63204055946801</c:v>
                </c:pt>
                <c:pt idx="337">
                  <c:v>50.644042489127003</c:v>
                </c:pt>
                <c:pt idx="338">
                  <c:v>50.63870091654799</c:v>
                </c:pt>
                <c:pt idx="339">
                  <c:v>50.642255378032019</c:v>
                </c:pt>
                <c:pt idx="340">
                  <c:v>50.634893489573003</c:v>
                </c:pt>
                <c:pt idx="341">
                  <c:v>50.633781170157988</c:v>
                </c:pt>
                <c:pt idx="342">
                  <c:v>50.638804383056993</c:v>
                </c:pt>
                <c:pt idx="343">
                  <c:v>50.637833604087987</c:v>
                </c:pt>
                <c:pt idx="344">
                  <c:v>50.622375130902981</c:v>
                </c:pt>
                <c:pt idx="345">
                  <c:v>50.641080572659007</c:v>
                </c:pt>
                <c:pt idx="346">
                  <c:v>50.654860095486981</c:v>
                </c:pt>
                <c:pt idx="347">
                  <c:v>50.647625027556003</c:v>
                </c:pt>
                <c:pt idx="348">
                  <c:v>50.633918251173</c:v>
                </c:pt>
                <c:pt idx="349">
                  <c:v>50.661104077801994</c:v>
                </c:pt>
                <c:pt idx="350">
                  <c:v>50.665248517307987</c:v>
                </c:pt>
                <c:pt idx="351">
                  <c:v>50.619971924256006</c:v>
                </c:pt>
                <c:pt idx="352">
                  <c:v>50.606106054644997</c:v>
                </c:pt>
                <c:pt idx="353">
                  <c:v>50.589871479652018</c:v>
                </c:pt>
                <c:pt idx="354">
                  <c:v>50.619755807672007</c:v>
                </c:pt>
                <c:pt idx="355">
                  <c:v>50.65182346423201</c:v>
                </c:pt>
                <c:pt idx="356">
                  <c:v>50.65351602814799</c:v>
                </c:pt>
                <c:pt idx="357">
                  <c:v>50.641557954445986</c:v>
                </c:pt>
                <c:pt idx="358">
                  <c:v>50.618001429189988</c:v>
                </c:pt>
                <c:pt idx="359">
                  <c:v>50.616274369196006</c:v>
                </c:pt>
                <c:pt idx="360">
                  <c:v>50.633115807034002</c:v>
                </c:pt>
                <c:pt idx="361">
                  <c:v>50.617679230601013</c:v>
                </c:pt>
                <c:pt idx="362">
                  <c:v>50.59915139771401</c:v>
                </c:pt>
                <c:pt idx="363">
                  <c:v>50.619450687690019</c:v>
                </c:pt>
                <c:pt idx="364">
                  <c:v>50.648477918460003</c:v>
                </c:pt>
                <c:pt idx="365">
                  <c:v>50.673982881749993</c:v>
                </c:pt>
                <c:pt idx="366">
                  <c:v>50.669896097929993</c:v>
                </c:pt>
                <c:pt idx="367">
                  <c:v>50.663611471489986</c:v>
                </c:pt>
                <c:pt idx="368">
                  <c:v>50.660923823209998</c:v>
                </c:pt>
                <c:pt idx="369">
                  <c:v>50.671225305830006</c:v>
                </c:pt>
                <c:pt idx="370">
                  <c:v>50.675188535819998</c:v>
                </c:pt>
                <c:pt idx="371">
                  <c:v>50.676026409869991</c:v>
                </c:pt>
                <c:pt idx="372">
                  <c:v>50.671432093319993</c:v>
                </c:pt>
                <c:pt idx="373">
                  <c:v>50.672726212690009</c:v>
                </c:pt>
                <c:pt idx="374">
                  <c:v>50.677303914250004</c:v>
                </c:pt>
                <c:pt idx="375">
                  <c:v>50.693830273819998</c:v>
                </c:pt>
                <c:pt idx="376">
                  <c:v>50.699773636479989</c:v>
                </c:pt>
                <c:pt idx="377">
                  <c:v>50.696782846900007</c:v>
                </c:pt>
                <c:pt idx="378">
                  <c:v>50.69719243050001</c:v>
                </c:pt>
                <c:pt idx="379">
                  <c:v>50.69236593718999</c:v>
                </c:pt>
                <c:pt idx="380">
                  <c:v>50.680288478210002</c:v>
                </c:pt>
                <c:pt idx="381">
                  <c:v>50.695737734370013</c:v>
                </c:pt>
                <c:pt idx="382">
                  <c:v>50.702835939939987</c:v>
                </c:pt>
                <c:pt idx="383">
                  <c:v>50.713074502490002</c:v>
                </c:pt>
                <c:pt idx="384">
                  <c:v>50.706182363989996</c:v>
                </c:pt>
                <c:pt idx="385">
                  <c:v>50.694237399149998</c:v>
                </c:pt>
                <c:pt idx="386">
                  <c:v>50.694850735139994</c:v>
                </c:pt>
                <c:pt idx="387">
                  <c:v>50.70244661480001</c:v>
                </c:pt>
                <c:pt idx="388">
                  <c:v>50.714305174960003</c:v>
                </c:pt>
                <c:pt idx="389">
                  <c:v>50.718743511949995</c:v>
                </c:pt>
                <c:pt idx="390">
                  <c:v>50.715837520059992</c:v>
                </c:pt>
                <c:pt idx="391">
                  <c:v>50.697361655389997</c:v>
                </c:pt>
                <c:pt idx="392">
                  <c:v>50.695768404540004</c:v>
                </c:pt>
                <c:pt idx="393">
                  <c:v>50.702720317089998</c:v>
                </c:pt>
                <c:pt idx="394">
                  <c:v>50.71735323578001</c:v>
                </c:pt>
                <c:pt idx="395">
                  <c:v>50.709376367819985</c:v>
                </c:pt>
                <c:pt idx="396">
                  <c:v>50.686684247219986</c:v>
                </c:pt>
                <c:pt idx="397">
                  <c:v>50.675688843969994</c:v>
                </c:pt>
                <c:pt idx="398">
                  <c:v>50.679852635330008</c:v>
                </c:pt>
                <c:pt idx="399">
                  <c:v>50.676062623010012</c:v>
                </c:pt>
                <c:pt idx="400">
                  <c:v>50.671927548539983</c:v>
                </c:pt>
                <c:pt idx="401">
                  <c:v>50.642696829840006</c:v>
                </c:pt>
                <c:pt idx="402">
                  <c:v>50.624618517900004</c:v>
                </c:pt>
                <c:pt idx="403">
                  <c:v>50.639542893599994</c:v>
                </c:pt>
                <c:pt idx="404">
                  <c:v>50.65528811403</c:v>
                </c:pt>
                <c:pt idx="405">
                  <c:v>50.716797472300001</c:v>
                </c:pt>
                <c:pt idx="406">
                  <c:v>50.779101038949989</c:v>
                </c:pt>
                <c:pt idx="407">
                  <c:v>50.735302366009989</c:v>
                </c:pt>
                <c:pt idx="408">
                  <c:v>50.701009893549994</c:v>
                </c:pt>
                <c:pt idx="409">
                  <c:v>50.69188028328</c:v>
                </c:pt>
                <c:pt idx="410">
                  <c:v>50.675666203269984</c:v>
                </c:pt>
                <c:pt idx="411">
                  <c:v>50.639247768949986</c:v>
                </c:pt>
                <c:pt idx="412">
                  <c:v>50.646369932029998</c:v>
                </c:pt>
                <c:pt idx="413">
                  <c:v>50.655152094429994</c:v>
                </c:pt>
                <c:pt idx="414">
                  <c:v>50.670084422240009</c:v>
                </c:pt>
                <c:pt idx="415">
                  <c:v>50.66202479047999</c:v>
                </c:pt>
                <c:pt idx="416">
                  <c:v>50.665302884550016</c:v>
                </c:pt>
                <c:pt idx="417">
                  <c:v>50.670291161200012</c:v>
                </c:pt>
                <c:pt idx="418">
                  <c:v>50.662165177420007</c:v>
                </c:pt>
                <c:pt idx="419">
                  <c:v>50.655859111569995</c:v>
                </c:pt>
                <c:pt idx="420">
                  <c:v>50.642011965709997</c:v>
                </c:pt>
                <c:pt idx="421">
                  <c:v>50.635389801239995</c:v>
                </c:pt>
                <c:pt idx="422">
                  <c:v>50.634573976590019</c:v>
                </c:pt>
                <c:pt idx="423">
                  <c:v>50.62317690467998</c:v>
                </c:pt>
                <c:pt idx="424">
                  <c:v>50.60988133056</c:v>
                </c:pt>
                <c:pt idx="425">
                  <c:v>50.606049258110005</c:v>
                </c:pt>
                <c:pt idx="426">
                  <c:v>50.608864290669999</c:v>
                </c:pt>
                <c:pt idx="427">
                  <c:v>50.603324896920014</c:v>
                </c:pt>
                <c:pt idx="428">
                  <c:v>50.588799940789983</c:v>
                </c:pt>
                <c:pt idx="429">
                  <c:v>50.587619842500004</c:v>
                </c:pt>
                <c:pt idx="430">
                  <c:v>50.580553267219983</c:v>
                </c:pt>
                <c:pt idx="431">
                  <c:v>50.604744111599985</c:v>
                </c:pt>
                <c:pt idx="432">
                  <c:v>50.606052659359989</c:v>
                </c:pt>
                <c:pt idx="433">
                  <c:v>50.622517761830011</c:v>
                </c:pt>
                <c:pt idx="434">
                  <c:v>50.603319707349982</c:v>
                </c:pt>
                <c:pt idx="435">
                  <c:v>50.597301105820009</c:v>
                </c:pt>
                <c:pt idx="436">
                  <c:v>50.592368978020005</c:v>
                </c:pt>
                <c:pt idx="437">
                  <c:v>50.575833890399991</c:v>
                </c:pt>
                <c:pt idx="438">
                  <c:v>50.585574241870006</c:v>
                </c:pt>
                <c:pt idx="439">
                  <c:v>50.58796758443998</c:v>
                </c:pt>
                <c:pt idx="440">
                  <c:v>50.591439716650001</c:v>
                </c:pt>
                <c:pt idx="441">
                  <c:v>50.566367935149998</c:v>
                </c:pt>
                <c:pt idx="442">
                  <c:v>50.566902599460008</c:v>
                </c:pt>
                <c:pt idx="443">
                  <c:v>50.55942277379998</c:v>
                </c:pt>
                <c:pt idx="444">
                  <c:v>50.566956462269985</c:v>
                </c:pt>
                <c:pt idx="445">
                  <c:v>50.571248872929999</c:v>
                </c:pt>
                <c:pt idx="446">
                  <c:v>50.582288577779991</c:v>
                </c:pt>
                <c:pt idx="447">
                  <c:v>50.575354934560011</c:v>
                </c:pt>
                <c:pt idx="448">
                  <c:v>50.564624047960024</c:v>
                </c:pt>
                <c:pt idx="449">
                  <c:v>50.577376937010001</c:v>
                </c:pt>
                <c:pt idx="450">
                  <c:v>50.578706280770007</c:v>
                </c:pt>
                <c:pt idx="451">
                  <c:v>50.572424763620006</c:v>
                </c:pt>
                <c:pt idx="452">
                  <c:v>50.613127701039986</c:v>
                </c:pt>
                <c:pt idx="453">
                  <c:v>50.604064593130005</c:v>
                </c:pt>
                <c:pt idx="454">
                  <c:v>50.579507493090006</c:v>
                </c:pt>
                <c:pt idx="455">
                  <c:v>50.642367431530005</c:v>
                </c:pt>
                <c:pt idx="456">
                  <c:v>50.712478605770002</c:v>
                </c:pt>
                <c:pt idx="457">
                  <c:v>50.706873668099973</c:v>
                </c:pt>
                <c:pt idx="458">
                  <c:v>50.693738058609995</c:v>
                </c:pt>
                <c:pt idx="459">
                  <c:v>50.649822543429991</c:v>
                </c:pt>
                <c:pt idx="460">
                  <c:v>50.620443713700013</c:v>
                </c:pt>
                <c:pt idx="461">
                  <c:v>50.656612413070008</c:v>
                </c:pt>
                <c:pt idx="462">
                  <c:v>50.653515355180019</c:v>
                </c:pt>
                <c:pt idx="463">
                  <c:v>50.668940938269998</c:v>
                </c:pt>
                <c:pt idx="464">
                  <c:v>50.664185237989983</c:v>
                </c:pt>
                <c:pt idx="465">
                  <c:v>50.680962841039985</c:v>
                </c:pt>
                <c:pt idx="466">
                  <c:v>50.726399392869979</c:v>
                </c:pt>
                <c:pt idx="467">
                  <c:v>50.713186170770001</c:v>
                </c:pt>
                <c:pt idx="468">
                  <c:v>50.705177359499999</c:v>
                </c:pt>
                <c:pt idx="469">
                  <c:v>50.704258795950011</c:v>
                </c:pt>
                <c:pt idx="470">
                  <c:v>50.723763868200024</c:v>
                </c:pt>
                <c:pt idx="471">
                  <c:v>50.725261317700017</c:v>
                </c:pt>
                <c:pt idx="472">
                  <c:v>50.731378746969995</c:v>
                </c:pt>
                <c:pt idx="473">
                  <c:v>50.72620054942999</c:v>
                </c:pt>
                <c:pt idx="474">
                  <c:v>50.720928520409984</c:v>
                </c:pt>
                <c:pt idx="475">
                  <c:v>50.723107033870008</c:v>
                </c:pt>
                <c:pt idx="476">
                  <c:v>50.732590265350012</c:v>
                </c:pt>
                <c:pt idx="477">
                  <c:v>50.738447283829998</c:v>
                </c:pt>
                <c:pt idx="478">
                  <c:v>50.744920306709986</c:v>
                </c:pt>
                <c:pt idx="479">
                  <c:v>50.743367092239993</c:v>
                </c:pt>
                <c:pt idx="480">
                  <c:v>50.743097192470003</c:v>
                </c:pt>
                <c:pt idx="481">
                  <c:v>50.748903364219984</c:v>
                </c:pt>
                <c:pt idx="482">
                  <c:v>50.760725632330008</c:v>
                </c:pt>
                <c:pt idx="483">
                  <c:v>50.767463274090005</c:v>
                </c:pt>
                <c:pt idx="484">
                  <c:v>50.773231972109983</c:v>
                </c:pt>
                <c:pt idx="485">
                  <c:v>50.77443023959998</c:v>
                </c:pt>
                <c:pt idx="486">
                  <c:v>50.778202333900026</c:v>
                </c:pt>
                <c:pt idx="487">
                  <c:v>50.772987693010009</c:v>
                </c:pt>
                <c:pt idx="488">
                  <c:v>50.769497973749992</c:v>
                </c:pt>
                <c:pt idx="489">
                  <c:v>50.77351565251999</c:v>
                </c:pt>
                <c:pt idx="490">
                  <c:v>50.787185154680003</c:v>
                </c:pt>
                <c:pt idx="491">
                  <c:v>50.777708248739998</c:v>
                </c:pt>
                <c:pt idx="492">
                  <c:v>50.764770741900008</c:v>
                </c:pt>
                <c:pt idx="493">
                  <c:v>50.768043622569991</c:v>
                </c:pt>
                <c:pt idx="494">
                  <c:v>50.778136175960014</c:v>
                </c:pt>
                <c:pt idx="495">
                  <c:v>50.775608821800006</c:v>
                </c:pt>
                <c:pt idx="496">
                  <c:v>50.780011345820014</c:v>
                </c:pt>
                <c:pt idx="497">
                  <c:v>50.766758432050011</c:v>
                </c:pt>
                <c:pt idx="498">
                  <c:v>50.741824779969988</c:v>
                </c:pt>
                <c:pt idx="499">
                  <c:v>50.775855135110021</c:v>
                </c:pt>
                <c:pt idx="500">
                  <c:v>50.80431648582001</c:v>
                </c:pt>
                <c:pt idx="501">
                  <c:v>50.77436495952</c:v>
                </c:pt>
                <c:pt idx="502">
                  <c:v>50.775380898750001</c:v>
                </c:pt>
                <c:pt idx="503">
                  <c:v>50.802979209900002</c:v>
                </c:pt>
                <c:pt idx="504">
                  <c:v>50.802533312310004</c:v>
                </c:pt>
                <c:pt idx="505">
                  <c:v>50.800768991539996</c:v>
                </c:pt>
                <c:pt idx="506">
                  <c:v>50.805990356879988</c:v>
                </c:pt>
                <c:pt idx="507">
                  <c:v>50.821237355009998</c:v>
                </c:pt>
                <c:pt idx="508">
                  <c:v>50.74006904046999</c:v>
                </c:pt>
                <c:pt idx="509">
                  <c:v>50.728930113249987</c:v>
                </c:pt>
                <c:pt idx="510">
                  <c:v>50.680640563230014</c:v>
                </c:pt>
                <c:pt idx="511">
                  <c:v>50.66166366022</c:v>
                </c:pt>
                <c:pt idx="512">
                  <c:v>50.677927360600023</c:v>
                </c:pt>
                <c:pt idx="513">
                  <c:v>50.771357144770008</c:v>
                </c:pt>
                <c:pt idx="514">
                  <c:v>50.784405971580014</c:v>
                </c:pt>
                <c:pt idx="515">
                  <c:v>50.76001135044001</c:v>
                </c:pt>
                <c:pt idx="516">
                  <c:v>50.774189041549988</c:v>
                </c:pt>
                <c:pt idx="517">
                  <c:v>50.772852991800022</c:v>
                </c:pt>
                <c:pt idx="518">
                  <c:v>50.775836477169975</c:v>
                </c:pt>
                <c:pt idx="519">
                  <c:v>50.765095569240003</c:v>
                </c:pt>
                <c:pt idx="520">
                  <c:v>50.77528959512</c:v>
                </c:pt>
                <c:pt idx="521">
                  <c:v>50.798844526880004</c:v>
                </c:pt>
                <c:pt idx="522">
                  <c:v>50.805196587320012</c:v>
                </c:pt>
                <c:pt idx="523">
                  <c:v>50.785888052350003</c:v>
                </c:pt>
                <c:pt idx="524">
                  <c:v>50.790441212490009</c:v>
                </c:pt>
                <c:pt idx="525">
                  <c:v>50.794344614739998</c:v>
                </c:pt>
                <c:pt idx="526">
                  <c:v>50.769547620479983</c:v>
                </c:pt>
                <c:pt idx="527">
                  <c:v>50.759307485670007</c:v>
                </c:pt>
                <c:pt idx="528">
                  <c:v>50.74450781038999</c:v>
                </c:pt>
                <c:pt idx="529">
                  <c:v>50.743773599529987</c:v>
                </c:pt>
                <c:pt idx="530">
                  <c:v>50.759128717250007</c:v>
                </c:pt>
                <c:pt idx="531">
                  <c:v>50.740889723519984</c:v>
                </c:pt>
                <c:pt idx="532">
                  <c:v>50.720785878219999</c:v>
                </c:pt>
                <c:pt idx="533">
                  <c:v>50.739393240629994</c:v>
                </c:pt>
                <c:pt idx="534">
                  <c:v>50.763888611470009</c:v>
                </c:pt>
                <c:pt idx="535">
                  <c:v>50.715284312990008</c:v>
                </c:pt>
                <c:pt idx="536">
                  <c:v>50.70362601889002</c:v>
                </c:pt>
                <c:pt idx="537">
                  <c:v>50.691091052009995</c:v>
                </c:pt>
                <c:pt idx="538">
                  <c:v>50.699761336790004</c:v>
                </c:pt>
                <c:pt idx="539">
                  <c:v>50.70370194877998</c:v>
                </c:pt>
                <c:pt idx="540">
                  <c:v>50.698590213040006</c:v>
                </c:pt>
                <c:pt idx="541">
                  <c:v>50.689779641049995</c:v>
                </c:pt>
                <c:pt idx="542">
                  <c:v>50.683246964749998</c:v>
                </c:pt>
                <c:pt idx="543">
                  <c:v>50.706440884599999</c:v>
                </c:pt>
                <c:pt idx="544">
                  <c:v>50.712821606259979</c:v>
                </c:pt>
                <c:pt idx="545">
                  <c:v>50.739808595739987</c:v>
                </c:pt>
                <c:pt idx="546">
                  <c:v>50.721564853860002</c:v>
                </c:pt>
                <c:pt idx="547">
                  <c:v>50.71811785333</c:v>
                </c:pt>
                <c:pt idx="548">
                  <c:v>50.715986744450021</c:v>
                </c:pt>
                <c:pt idx="549">
                  <c:v>50.725896726830001</c:v>
                </c:pt>
                <c:pt idx="550">
                  <c:v>50.729233974710013</c:v>
                </c:pt>
                <c:pt idx="551">
                  <c:v>50.763928353250009</c:v>
                </c:pt>
                <c:pt idx="552">
                  <c:v>50.772651900509999</c:v>
                </c:pt>
                <c:pt idx="553">
                  <c:v>50.756854045069986</c:v>
                </c:pt>
                <c:pt idx="554">
                  <c:v>50.768299472129996</c:v>
                </c:pt>
                <c:pt idx="555">
                  <c:v>50.781359899979975</c:v>
                </c:pt>
                <c:pt idx="556">
                  <c:v>50.783776470890018</c:v>
                </c:pt>
                <c:pt idx="557">
                  <c:v>50.815113176009987</c:v>
                </c:pt>
                <c:pt idx="558">
                  <c:v>50.849416065700012</c:v>
                </c:pt>
                <c:pt idx="559">
                  <c:v>50.833579309899989</c:v>
                </c:pt>
                <c:pt idx="560">
                  <c:v>50.772896910610001</c:v>
                </c:pt>
                <c:pt idx="561">
                  <c:v>50.74826031419002</c:v>
                </c:pt>
                <c:pt idx="562">
                  <c:v>50.750757250490011</c:v>
                </c:pt>
                <c:pt idx="563">
                  <c:v>50.792808368399989</c:v>
                </c:pt>
                <c:pt idx="564">
                  <c:v>50.834344205739995</c:v>
                </c:pt>
                <c:pt idx="565">
                  <c:v>50.834782033340019</c:v>
                </c:pt>
                <c:pt idx="566">
                  <c:v>50.836016948690002</c:v>
                </c:pt>
                <c:pt idx="567">
                  <c:v>50.850042448859995</c:v>
                </c:pt>
                <c:pt idx="568">
                  <c:v>50.88504677857</c:v>
                </c:pt>
                <c:pt idx="569">
                  <c:v>50.851464211109999</c:v>
                </c:pt>
                <c:pt idx="570">
                  <c:v>50.821951681480016</c:v>
                </c:pt>
                <c:pt idx="571">
                  <c:v>50.85204045962999</c:v>
                </c:pt>
                <c:pt idx="572">
                  <c:v>50.861981931289989</c:v>
                </c:pt>
                <c:pt idx="573">
                  <c:v>50.835722573919981</c:v>
                </c:pt>
                <c:pt idx="574">
                  <c:v>50.83257508174998</c:v>
                </c:pt>
                <c:pt idx="575">
                  <c:v>50.849120888040005</c:v>
                </c:pt>
                <c:pt idx="576">
                  <c:v>50.84855330792999</c:v>
                </c:pt>
                <c:pt idx="577">
                  <c:v>50.83434521273</c:v>
                </c:pt>
                <c:pt idx="578">
                  <c:v>50.844269293020005</c:v>
                </c:pt>
                <c:pt idx="579">
                  <c:v>50.851009005939972</c:v>
                </c:pt>
                <c:pt idx="580">
                  <c:v>50.843475862619982</c:v>
                </c:pt>
                <c:pt idx="581">
                  <c:v>50.847181904889993</c:v>
                </c:pt>
                <c:pt idx="582">
                  <c:v>50.840568928440007</c:v>
                </c:pt>
                <c:pt idx="583">
                  <c:v>50.833394982030029</c:v>
                </c:pt>
                <c:pt idx="584">
                  <c:v>50.844419074360019</c:v>
                </c:pt>
                <c:pt idx="585">
                  <c:v>50.837148991049986</c:v>
                </c:pt>
                <c:pt idx="586">
                  <c:v>50.821170086909973</c:v>
                </c:pt>
                <c:pt idx="587">
                  <c:v>50.82259346730001</c:v>
                </c:pt>
                <c:pt idx="588">
                  <c:v>50.837709535279998</c:v>
                </c:pt>
                <c:pt idx="589">
                  <c:v>50.812357665519983</c:v>
                </c:pt>
                <c:pt idx="590">
                  <c:v>50.813212332179972</c:v>
                </c:pt>
                <c:pt idx="591">
                  <c:v>50.82636953829001</c:v>
                </c:pt>
                <c:pt idx="592">
                  <c:v>50.822458869730013</c:v>
                </c:pt>
                <c:pt idx="593">
                  <c:v>50.824390254989993</c:v>
                </c:pt>
                <c:pt idx="594">
                  <c:v>50.817834493509991</c:v>
                </c:pt>
                <c:pt idx="595">
                  <c:v>50.811196502569999</c:v>
                </c:pt>
                <c:pt idx="596">
                  <c:v>50.815189595549981</c:v>
                </c:pt>
                <c:pt idx="597">
                  <c:v>50.800572142679982</c:v>
                </c:pt>
                <c:pt idx="598">
                  <c:v>50.802564013220007</c:v>
                </c:pt>
                <c:pt idx="599">
                  <c:v>50.811223757109985</c:v>
                </c:pt>
                <c:pt idx="600">
                  <c:v>50.810847999809994</c:v>
                </c:pt>
                <c:pt idx="601">
                  <c:v>50.826085971439966</c:v>
                </c:pt>
                <c:pt idx="602">
                  <c:v>50.825176225020016</c:v>
                </c:pt>
                <c:pt idx="603">
                  <c:v>50.800720891849977</c:v>
                </c:pt>
                <c:pt idx="604">
                  <c:v>50.798139490500006</c:v>
                </c:pt>
                <c:pt idx="605">
                  <c:v>50.81635612891003</c:v>
                </c:pt>
                <c:pt idx="606">
                  <c:v>50.799280275439969</c:v>
                </c:pt>
                <c:pt idx="607">
                  <c:v>50.768312506769973</c:v>
                </c:pt>
                <c:pt idx="608">
                  <c:v>50.774259118060002</c:v>
                </c:pt>
                <c:pt idx="609">
                  <c:v>50.843450060980018</c:v>
                </c:pt>
                <c:pt idx="610">
                  <c:v>50.893618072380008</c:v>
                </c:pt>
                <c:pt idx="611">
                  <c:v>50.845083985479988</c:v>
                </c:pt>
                <c:pt idx="612">
                  <c:v>50.793245350809997</c:v>
                </c:pt>
                <c:pt idx="613">
                  <c:v>50.765676352759982</c:v>
                </c:pt>
                <c:pt idx="614">
                  <c:v>50.796008897910014</c:v>
                </c:pt>
                <c:pt idx="615">
                  <c:v>50.809183876940011</c:v>
                </c:pt>
                <c:pt idx="616">
                  <c:v>50.753720050179993</c:v>
                </c:pt>
                <c:pt idx="617">
                  <c:v>50.763405994180005</c:v>
                </c:pt>
                <c:pt idx="618">
                  <c:v>50.749771439629995</c:v>
                </c:pt>
                <c:pt idx="619">
                  <c:v>50.765616875770007</c:v>
                </c:pt>
                <c:pt idx="620">
                  <c:v>50.789402605030006</c:v>
                </c:pt>
                <c:pt idx="621">
                  <c:v>50.804918967469973</c:v>
                </c:pt>
                <c:pt idx="622">
                  <c:v>50.75268039206</c:v>
                </c:pt>
                <c:pt idx="623">
                  <c:v>50.765027323400034</c:v>
                </c:pt>
                <c:pt idx="624">
                  <c:v>50.787236737139978</c:v>
                </c:pt>
                <c:pt idx="625">
                  <c:v>50.78067187250997</c:v>
                </c:pt>
                <c:pt idx="626">
                  <c:v>50.756538227349978</c:v>
                </c:pt>
                <c:pt idx="627">
                  <c:v>50.748892973069985</c:v>
                </c:pt>
                <c:pt idx="628">
                  <c:v>50.736243050179979</c:v>
                </c:pt>
                <c:pt idx="629">
                  <c:v>50.736633736990029</c:v>
                </c:pt>
                <c:pt idx="630">
                  <c:v>50.759559312359983</c:v>
                </c:pt>
                <c:pt idx="631">
                  <c:v>50.771619637649991</c:v>
                </c:pt>
                <c:pt idx="632">
                  <c:v>50.76905071246</c:v>
                </c:pt>
                <c:pt idx="633">
                  <c:v>50.767518338960002</c:v>
                </c:pt>
                <c:pt idx="634">
                  <c:v>50.73503881745998</c:v>
                </c:pt>
                <c:pt idx="635">
                  <c:v>50.731697076319989</c:v>
                </c:pt>
                <c:pt idx="636">
                  <c:v>50.74498783313004</c:v>
                </c:pt>
                <c:pt idx="637">
                  <c:v>50.719053646120017</c:v>
                </c:pt>
                <c:pt idx="638">
                  <c:v>50.708595176429981</c:v>
                </c:pt>
                <c:pt idx="639">
                  <c:v>50.741948853680015</c:v>
                </c:pt>
                <c:pt idx="640">
                  <c:v>50.741221790460003</c:v>
                </c:pt>
                <c:pt idx="641">
                  <c:v>50.736307243189998</c:v>
                </c:pt>
                <c:pt idx="642">
                  <c:v>50.724503096640007</c:v>
                </c:pt>
                <c:pt idx="643">
                  <c:v>50.729108488320037</c:v>
                </c:pt>
                <c:pt idx="644">
                  <c:v>50.75083162251002</c:v>
                </c:pt>
                <c:pt idx="645">
                  <c:v>50.797564951330031</c:v>
                </c:pt>
                <c:pt idx="646">
                  <c:v>50.760386730509993</c:v>
                </c:pt>
                <c:pt idx="647">
                  <c:v>50.708845666350015</c:v>
                </c:pt>
                <c:pt idx="648">
                  <c:v>50.705622178740015</c:v>
                </c:pt>
                <c:pt idx="649">
                  <c:v>50.695716342749989</c:v>
                </c:pt>
                <c:pt idx="650">
                  <c:v>50.718420980529999</c:v>
                </c:pt>
                <c:pt idx="651">
                  <c:v>50.709234950370018</c:v>
                </c:pt>
                <c:pt idx="652">
                  <c:v>50.712636839299989</c:v>
                </c:pt>
                <c:pt idx="653">
                  <c:v>50.71032210448999</c:v>
                </c:pt>
                <c:pt idx="654">
                  <c:v>50.707750506959997</c:v>
                </c:pt>
                <c:pt idx="655">
                  <c:v>50.708168361009996</c:v>
                </c:pt>
                <c:pt idx="656">
                  <c:v>50.732076261850011</c:v>
                </c:pt>
                <c:pt idx="657">
                  <c:v>50.744595158880003</c:v>
                </c:pt>
                <c:pt idx="658">
                  <c:v>50.725715570720013</c:v>
                </c:pt>
                <c:pt idx="659">
                  <c:v>50.72513693273001</c:v>
                </c:pt>
                <c:pt idx="660">
                  <c:v>50.692584177649962</c:v>
                </c:pt>
                <c:pt idx="661">
                  <c:v>50.688885430369993</c:v>
                </c:pt>
                <c:pt idx="662">
                  <c:v>50.687691606009992</c:v>
                </c:pt>
                <c:pt idx="663">
                  <c:v>50.660580619510029</c:v>
                </c:pt>
                <c:pt idx="664">
                  <c:v>50.650777984800015</c:v>
                </c:pt>
                <c:pt idx="665">
                  <c:v>50.722566762539969</c:v>
                </c:pt>
                <c:pt idx="666">
                  <c:v>50.72238391632996</c:v>
                </c:pt>
                <c:pt idx="667">
                  <c:v>50.756320709980031</c:v>
                </c:pt>
                <c:pt idx="668">
                  <c:v>50.779058305070009</c:v>
                </c:pt>
                <c:pt idx="669">
                  <c:v>50.766355903250002</c:v>
                </c:pt>
                <c:pt idx="670">
                  <c:v>50.765301406489982</c:v>
                </c:pt>
                <c:pt idx="671">
                  <c:v>50.766507649030018</c:v>
                </c:pt>
                <c:pt idx="672">
                  <c:v>50.735473425859993</c:v>
                </c:pt>
                <c:pt idx="673">
                  <c:v>50.840364171640005</c:v>
                </c:pt>
                <c:pt idx="674">
                  <c:v>50.877674504889995</c:v>
                </c:pt>
                <c:pt idx="675">
                  <c:v>50.792936140069969</c:v>
                </c:pt>
                <c:pt idx="676">
                  <c:v>50.794777278920037</c:v>
                </c:pt>
                <c:pt idx="677">
                  <c:v>50.815064907000021</c:v>
                </c:pt>
                <c:pt idx="678">
                  <c:v>50.782150954640031</c:v>
                </c:pt>
                <c:pt idx="679">
                  <c:v>50.74200782012997</c:v>
                </c:pt>
                <c:pt idx="680">
                  <c:v>50.732601612300016</c:v>
                </c:pt>
                <c:pt idx="681">
                  <c:v>50.726907120260023</c:v>
                </c:pt>
                <c:pt idx="682">
                  <c:v>50.724745764469986</c:v>
                </c:pt>
                <c:pt idx="683">
                  <c:v>50.746333695580006</c:v>
                </c:pt>
                <c:pt idx="684">
                  <c:v>50.768338331940015</c:v>
                </c:pt>
                <c:pt idx="685">
                  <c:v>50.748850171309982</c:v>
                </c:pt>
                <c:pt idx="686">
                  <c:v>50.754530323159997</c:v>
                </c:pt>
                <c:pt idx="687">
                  <c:v>50.75536384365995</c:v>
                </c:pt>
                <c:pt idx="688">
                  <c:v>50.732218545980004</c:v>
                </c:pt>
                <c:pt idx="689">
                  <c:v>50.745857154680039</c:v>
                </c:pt>
                <c:pt idx="690">
                  <c:v>50.766312204450003</c:v>
                </c:pt>
                <c:pt idx="691">
                  <c:v>50.774599645199999</c:v>
                </c:pt>
                <c:pt idx="692">
                  <c:v>50.762033145000032</c:v>
                </c:pt>
                <c:pt idx="693">
                  <c:v>50.754347006149999</c:v>
                </c:pt>
                <c:pt idx="694">
                  <c:v>50.76031047997003</c:v>
                </c:pt>
                <c:pt idx="695">
                  <c:v>50.756130556740004</c:v>
                </c:pt>
                <c:pt idx="696">
                  <c:v>50.776085083680016</c:v>
                </c:pt>
                <c:pt idx="697">
                  <c:v>50.786278397040007</c:v>
                </c:pt>
                <c:pt idx="698">
                  <c:v>50.781466704730008</c:v>
                </c:pt>
                <c:pt idx="699">
                  <c:v>50.771297192770021</c:v>
                </c:pt>
                <c:pt idx="700">
                  <c:v>50.787969255709982</c:v>
                </c:pt>
                <c:pt idx="701">
                  <c:v>50.805282965650008</c:v>
                </c:pt>
                <c:pt idx="702">
                  <c:v>50.789303184979985</c:v>
                </c:pt>
                <c:pt idx="703">
                  <c:v>50.778892478700016</c:v>
                </c:pt>
                <c:pt idx="704">
                  <c:v>50.765285871250001</c:v>
                </c:pt>
                <c:pt idx="705">
                  <c:v>50.76951777883005</c:v>
                </c:pt>
                <c:pt idx="706">
                  <c:v>50.780749255019998</c:v>
                </c:pt>
                <c:pt idx="707">
                  <c:v>50.767404984090035</c:v>
                </c:pt>
                <c:pt idx="708">
                  <c:v>50.767486572410007</c:v>
                </c:pt>
                <c:pt idx="709">
                  <c:v>50.752688239589986</c:v>
                </c:pt>
                <c:pt idx="710">
                  <c:v>50.728880164039992</c:v>
                </c:pt>
                <c:pt idx="711">
                  <c:v>50.730128255300031</c:v>
                </c:pt>
                <c:pt idx="712">
                  <c:v>50.736479508089985</c:v>
                </c:pt>
                <c:pt idx="713">
                  <c:v>50.611832337689975</c:v>
                </c:pt>
                <c:pt idx="714">
                  <c:v>50.589439344799985</c:v>
                </c:pt>
                <c:pt idx="715">
                  <c:v>50.646473439840008</c:v>
                </c:pt>
                <c:pt idx="716">
                  <c:v>50.71821747752</c:v>
                </c:pt>
                <c:pt idx="717">
                  <c:v>50.680158016460041</c:v>
                </c:pt>
                <c:pt idx="718">
                  <c:v>50.681269151069955</c:v>
                </c:pt>
                <c:pt idx="719">
                  <c:v>50.794157064440014</c:v>
                </c:pt>
                <c:pt idx="720">
                  <c:v>50.791943039119985</c:v>
                </c:pt>
                <c:pt idx="721">
                  <c:v>50.676042252939965</c:v>
                </c:pt>
                <c:pt idx="722">
                  <c:v>50.799801936810013</c:v>
                </c:pt>
                <c:pt idx="723">
                  <c:v>50.850747545129991</c:v>
                </c:pt>
                <c:pt idx="724">
                  <c:v>50.805699574439984</c:v>
                </c:pt>
                <c:pt idx="725">
                  <c:v>50.754469412389994</c:v>
                </c:pt>
                <c:pt idx="726">
                  <c:v>50.768012982030029</c:v>
                </c:pt>
                <c:pt idx="727">
                  <c:v>50.731260629799976</c:v>
                </c:pt>
                <c:pt idx="728">
                  <c:v>50.695921579170033</c:v>
                </c:pt>
                <c:pt idx="729">
                  <c:v>50.677180628929989</c:v>
                </c:pt>
                <c:pt idx="730">
                  <c:v>50.685608675049991</c:v>
                </c:pt>
                <c:pt idx="731">
                  <c:v>50.675224362550011</c:v>
                </c:pt>
                <c:pt idx="732">
                  <c:v>50.673384753420009</c:v>
                </c:pt>
                <c:pt idx="733">
                  <c:v>50.662145438969958</c:v>
                </c:pt>
                <c:pt idx="734">
                  <c:v>50.645488880550033</c:v>
                </c:pt>
                <c:pt idx="735">
                  <c:v>50.620898834130003</c:v>
                </c:pt>
                <c:pt idx="736">
                  <c:v>50.633021251989987</c:v>
                </c:pt>
                <c:pt idx="737">
                  <c:v>50.629956542560024</c:v>
                </c:pt>
                <c:pt idx="738">
                  <c:v>50.621255413500023</c:v>
                </c:pt>
                <c:pt idx="739">
                  <c:v>50.633088929750045</c:v>
                </c:pt>
                <c:pt idx="740">
                  <c:v>50.63096506674998</c:v>
                </c:pt>
                <c:pt idx="741">
                  <c:v>50.651341488009962</c:v>
                </c:pt>
                <c:pt idx="742">
                  <c:v>50.640871268630008</c:v>
                </c:pt>
                <c:pt idx="743">
                  <c:v>50.605685499339984</c:v>
                </c:pt>
                <c:pt idx="744">
                  <c:v>50.609634311859963</c:v>
                </c:pt>
                <c:pt idx="745">
                  <c:v>50.626213351930005</c:v>
                </c:pt>
                <c:pt idx="746">
                  <c:v>50.644998273660008</c:v>
                </c:pt>
                <c:pt idx="747">
                  <c:v>50.641611047959998</c:v>
                </c:pt>
                <c:pt idx="748">
                  <c:v>50.613979166949946</c:v>
                </c:pt>
                <c:pt idx="749">
                  <c:v>50.578342083979976</c:v>
                </c:pt>
                <c:pt idx="750">
                  <c:v>50.629314538630013</c:v>
                </c:pt>
                <c:pt idx="751">
                  <c:v>50.673083344309987</c:v>
                </c:pt>
                <c:pt idx="752">
                  <c:v>50.656670797359993</c:v>
                </c:pt>
                <c:pt idx="753">
                  <c:v>50.627184691410037</c:v>
                </c:pt>
                <c:pt idx="754">
                  <c:v>50.602073594970022</c:v>
                </c:pt>
                <c:pt idx="755">
                  <c:v>50.632212030029962</c:v>
                </c:pt>
                <c:pt idx="756">
                  <c:v>50.635556172989993</c:v>
                </c:pt>
                <c:pt idx="757">
                  <c:v>50.633620243620044</c:v>
                </c:pt>
                <c:pt idx="758">
                  <c:v>50.633969919210017</c:v>
                </c:pt>
                <c:pt idx="759">
                  <c:v>50.627661893190009</c:v>
                </c:pt>
                <c:pt idx="760">
                  <c:v>50.608282257560006</c:v>
                </c:pt>
                <c:pt idx="761">
                  <c:v>50.630098540040024</c:v>
                </c:pt>
                <c:pt idx="762">
                  <c:v>50.675643019989991</c:v>
                </c:pt>
                <c:pt idx="763">
                  <c:v>50.696064702790011</c:v>
                </c:pt>
                <c:pt idx="764">
                  <c:v>50.756387183220056</c:v>
                </c:pt>
                <c:pt idx="765">
                  <c:v>50.80332164001004</c:v>
                </c:pt>
                <c:pt idx="766">
                  <c:v>50.822533619979993</c:v>
                </c:pt>
                <c:pt idx="767">
                  <c:v>50.846775423699967</c:v>
                </c:pt>
                <c:pt idx="768">
                  <c:v>50.909377495479987</c:v>
                </c:pt>
                <c:pt idx="769">
                  <c:v>50.912154624450011</c:v>
                </c:pt>
                <c:pt idx="770">
                  <c:v>50.881987345850007</c:v>
                </c:pt>
                <c:pt idx="771">
                  <c:v>50.867156617820001</c:v>
                </c:pt>
                <c:pt idx="772">
                  <c:v>50.827533217030009</c:v>
                </c:pt>
                <c:pt idx="773">
                  <c:v>50.821013228819993</c:v>
                </c:pt>
                <c:pt idx="774">
                  <c:v>50.803660704620029</c:v>
                </c:pt>
                <c:pt idx="775">
                  <c:v>50.847986485769979</c:v>
                </c:pt>
                <c:pt idx="776">
                  <c:v>50.876934292680005</c:v>
                </c:pt>
                <c:pt idx="777">
                  <c:v>50.751981989469982</c:v>
                </c:pt>
                <c:pt idx="778">
                  <c:v>50.765832766699987</c:v>
                </c:pt>
                <c:pt idx="779">
                  <c:v>50.85324152533002</c:v>
                </c:pt>
                <c:pt idx="780">
                  <c:v>50.813229272039962</c:v>
                </c:pt>
                <c:pt idx="781">
                  <c:v>50.806486411799995</c:v>
                </c:pt>
                <c:pt idx="782">
                  <c:v>50.804310102379986</c:v>
                </c:pt>
                <c:pt idx="783">
                  <c:v>50.790873838789992</c:v>
                </c:pt>
                <c:pt idx="784">
                  <c:v>50.781589819539988</c:v>
                </c:pt>
                <c:pt idx="785">
                  <c:v>50.792868625820006</c:v>
                </c:pt>
                <c:pt idx="786">
                  <c:v>50.763947440510037</c:v>
                </c:pt>
                <c:pt idx="787">
                  <c:v>50.723635482530028</c:v>
                </c:pt>
                <c:pt idx="788">
                  <c:v>50.714983606970009</c:v>
                </c:pt>
                <c:pt idx="789">
                  <c:v>50.724599081320036</c:v>
                </c:pt>
                <c:pt idx="790">
                  <c:v>50.723211976110008</c:v>
                </c:pt>
                <c:pt idx="791">
                  <c:v>50.728857628790024</c:v>
                </c:pt>
                <c:pt idx="792">
                  <c:v>50.749889803359963</c:v>
                </c:pt>
                <c:pt idx="793">
                  <c:v>50.746489325189998</c:v>
                </c:pt>
                <c:pt idx="794">
                  <c:v>50.718506808020038</c:v>
                </c:pt>
                <c:pt idx="795">
                  <c:v>50.688821471159997</c:v>
                </c:pt>
                <c:pt idx="796">
                  <c:v>50.666853467159967</c:v>
                </c:pt>
                <c:pt idx="797">
                  <c:v>50.680519417660037</c:v>
                </c:pt>
                <c:pt idx="798">
                  <c:v>50.688412930479956</c:v>
                </c:pt>
                <c:pt idx="799">
                  <c:v>50.713793513829955</c:v>
                </c:pt>
                <c:pt idx="800">
                  <c:v>50.690280360519978</c:v>
                </c:pt>
                <c:pt idx="801">
                  <c:v>50.676507324530007</c:v>
                </c:pt>
                <c:pt idx="802">
                  <c:v>50.688776139439994</c:v>
                </c:pt>
                <c:pt idx="803">
                  <c:v>50.686102159139978</c:v>
                </c:pt>
                <c:pt idx="804">
                  <c:v>50.63893215344001</c:v>
                </c:pt>
                <c:pt idx="805">
                  <c:v>50.625839716380028</c:v>
                </c:pt>
                <c:pt idx="806">
                  <c:v>50.669652894230012</c:v>
                </c:pt>
                <c:pt idx="807">
                  <c:v>50.693442010880005</c:v>
                </c:pt>
                <c:pt idx="808">
                  <c:v>50.687025102270013</c:v>
                </c:pt>
                <c:pt idx="809">
                  <c:v>50.631707677509951</c:v>
                </c:pt>
                <c:pt idx="810">
                  <c:v>50.682620265470007</c:v>
                </c:pt>
                <c:pt idx="811">
                  <c:v>50.720775486599962</c:v>
                </c:pt>
                <c:pt idx="812">
                  <c:v>50.703097471679996</c:v>
                </c:pt>
                <c:pt idx="813">
                  <c:v>50.724771989190003</c:v>
                </c:pt>
                <c:pt idx="814">
                  <c:v>50.772779625010003</c:v>
                </c:pt>
                <c:pt idx="815">
                  <c:v>50.753017837740003</c:v>
                </c:pt>
                <c:pt idx="816">
                  <c:v>50.746969059020046</c:v>
                </c:pt>
                <c:pt idx="817">
                  <c:v>50.824300918749998</c:v>
                </c:pt>
                <c:pt idx="818">
                  <c:v>50.791792948470004</c:v>
                </c:pt>
                <c:pt idx="819">
                  <c:v>50.747102605859993</c:v>
                </c:pt>
                <c:pt idx="820">
                  <c:v>50.766550340630033</c:v>
                </c:pt>
                <c:pt idx="821">
                  <c:v>50.828271524939964</c:v>
                </c:pt>
                <c:pt idx="822">
                  <c:v>50.828863584380031</c:v>
                </c:pt>
                <c:pt idx="823">
                  <c:v>50.763110063119996</c:v>
                </c:pt>
                <c:pt idx="824">
                  <c:v>50.74237004997002</c:v>
                </c:pt>
                <c:pt idx="825">
                  <c:v>50.840568415260009</c:v>
                </c:pt>
                <c:pt idx="826">
                  <c:v>50.771098209599984</c:v>
                </c:pt>
                <c:pt idx="827">
                  <c:v>50.745432876769996</c:v>
                </c:pt>
                <c:pt idx="828">
                  <c:v>50.751426156320008</c:v>
                </c:pt>
                <c:pt idx="829">
                  <c:v>50.743415673560037</c:v>
                </c:pt>
                <c:pt idx="830">
                  <c:v>50.704144422380011</c:v>
                </c:pt>
                <c:pt idx="831">
                  <c:v>50.795683496470019</c:v>
                </c:pt>
                <c:pt idx="832">
                  <c:v>50.814321437319961</c:v>
                </c:pt>
                <c:pt idx="833">
                  <c:v>50.820260554950039</c:v>
                </c:pt>
                <c:pt idx="834">
                  <c:v>50.819324718750011</c:v>
                </c:pt>
                <c:pt idx="835">
                  <c:v>50.826744811920037</c:v>
                </c:pt>
                <c:pt idx="836">
                  <c:v>50.848047139630012</c:v>
                </c:pt>
                <c:pt idx="837">
                  <c:v>50.845898535359993</c:v>
                </c:pt>
                <c:pt idx="838">
                  <c:v>50.831513176579961</c:v>
                </c:pt>
                <c:pt idx="839">
                  <c:v>50.84322494736</c:v>
                </c:pt>
                <c:pt idx="840">
                  <c:v>50.839990571560008</c:v>
                </c:pt>
                <c:pt idx="841">
                  <c:v>50.830260958589975</c:v>
                </c:pt>
                <c:pt idx="842">
                  <c:v>50.843240116229993</c:v>
                </c:pt>
                <c:pt idx="843">
                  <c:v>50.829963187029989</c:v>
                </c:pt>
                <c:pt idx="844">
                  <c:v>50.816036361070019</c:v>
                </c:pt>
                <c:pt idx="845">
                  <c:v>50.787805329410048</c:v>
                </c:pt>
                <c:pt idx="846">
                  <c:v>50.777226498260006</c:v>
                </c:pt>
                <c:pt idx="847">
                  <c:v>50.796063279900011</c:v>
                </c:pt>
                <c:pt idx="848">
                  <c:v>50.807411320730012</c:v>
                </c:pt>
                <c:pt idx="849">
                  <c:v>50.806643072919996</c:v>
                </c:pt>
                <c:pt idx="850">
                  <c:v>50.795674305860018</c:v>
                </c:pt>
                <c:pt idx="851">
                  <c:v>50.801184231229968</c:v>
                </c:pt>
                <c:pt idx="852">
                  <c:v>50.824491782750044</c:v>
                </c:pt>
                <c:pt idx="853">
                  <c:v>50.815569544360017</c:v>
                </c:pt>
                <c:pt idx="854">
                  <c:v>50.820229983950014</c:v>
                </c:pt>
                <c:pt idx="855">
                  <c:v>50.799662862340028</c:v>
                </c:pt>
                <c:pt idx="856">
                  <c:v>50.821702085620018</c:v>
                </c:pt>
                <c:pt idx="857">
                  <c:v>50.844074721869958</c:v>
                </c:pt>
                <c:pt idx="858">
                  <c:v>50.863302286709995</c:v>
                </c:pt>
                <c:pt idx="859">
                  <c:v>50.873287511320029</c:v>
                </c:pt>
                <c:pt idx="860">
                  <c:v>50.834964900480031</c:v>
                </c:pt>
                <c:pt idx="861">
                  <c:v>50.837806018459958</c:v>
                </c:pt>
                <c:pt idx="862">
                  <c:v>50.831150646159983</c:v>
                </c:pt>
                <c:pt idx="863">
                  <c:v>50.833245508449977</c:v>
                </c:pt>
                <c:pt idx="864">
                  <c:v>50.803854204339984</c:v>
                </c:pt>
                <c:pt idx="865">
                  <c:v>50.80243396425999</c:v>
                </c:pt>
                <c:pt idx="866">
                  <c:v>50.861676822359982</c:v>
                </c:pt>
                <c:pt idx="867">
                  <c:v>50.847927814369996</c:v>
                </c:pt>
                <c:pt idx="868">
                  <c:v>50.817858801669956</c:v>
                </c:pt>
                <c:pt idx="869">
                  <c:v>50.764902756409981</c:v>
                </c:pt>
                <c:pt idx="870">
                  <c:v>50.762558613280021</c:v>
                </c:pt>
                <c:pt idx="871">
                  <c:v>50.753403392879989</c:v>
                </c:pt>
                <c:pt idx="872">
                  <c:v>50.749260639930014</c:v>
                </c:pt>
                <c:pt idx="873">
                  <c:v>50.705856093819989</c:v>
                </c:pt>
                <c:pt idx="874">
                  <c:v>50.778516998010048</c:v>
                </c:pt>
                <c:pt idx="875">
                  <c:v>50.835151006109982</c:v>
                </c:pt>
                <c:pt idx="876">
                  <c:v>50.845272507429968</c:v>
                </c:pt>
                <c:pt idx="877">
                  <c:v>50.851380029040001</c:v>
                </c:pt>
                <c:pt idx="878">
                  <c:v>50.890551095739966</c:v>
                </c:pt>
                <c:pt idx="879">
                  <c:v>50.861445150699979</c:v>
                </c:pt>
                <c:pt idx="880">
                  <c:v>50.854188707830019</c:v>
                </c:pt>
                <c:pt idx="881">
                  <c:v>50.89812305538004</c:v>
                </c:pt>
                <c:pt idx="882">
                  <c:v>50.382080487470034</c:v>
                </c:pt>
                <c:pt idx="883">
                  <c:v>50.438308525210005</c:v>
                </c:pt>
                <c:pt idx="884">
                  <c:v>50.47404283858998</c:v>
                </c:pt>
                <c:pt idx="885">
                  <c:v>50.546566681859986</c:v>
                </c:pt>
                <c:pt idx="886">
                  <c:v>50.621507088960016</c:v>
                </c:pt>
                <c:pt idx="887">
                  <c:v>50.687438198229984</c:v>
                </c:pt>
                <c:pt idx="888">
                  <c:v>50.727146492439999</c:v>
                </c:pt>
                <c:pt idx="889">
                  <c:v>50.801494355059958</c:v>
                </c:pt>
                <c:pt idx="890">
                  <c:v>50.864237109209967</c:v>
                </c:pt>
                <c:pt idx="891">
                  <c:v>50.423536454040004</c:v>
                </c:pt>
                <c:pt idx="892">
                  <c:v>50.48088772074999</c:v>
                </c:pt>
                <c:pt idx="893">
                  <c:v>50.545961563989977</c:v>
                </c:pt>
                <c:pt idx="894">
                  <c:v>50.603193212060035</c:v>
                </c:pt>
                <c:pt idx="895">
                  <c:v>50.644131097909963</c:v>
                </c:pt>
                <c:pt idx="896">
                  <c:v>50.724722648639954</c:v>
                </c:pt>
                <c:pt idx="897">
                  <c:v>50.354968957450012</c:v>
                </c:pt>
                <c:pt idx="898">
                  <c:v>50.423840468799995</c:v>
                </c:pt>
                <c:pt idx="899">
                  <c:v>50.483493823950027</c:v>
                </c:pt>
                <c:pt idx="900">
                  <c:v>50.535320148580013</c:v>
                </c:pt>
                <c:pt idx="901">
                  <c:v>50.638719281130022</c:v>
                </c:pt>
                <c:pt idx="902">
                  <c:v>50.203385403270033</c:v>
                </c:pt>
                <c:pt idx="903">
                  <c:v>50.320877849400006</c:v>
                </c:pt>
                <c:pt idx="904">
                  <c:v>50.431538657630028</c:v>
                </c:pt>
                <c:pt idx="905">
                  <c:v>50.501912468589978</c:v>
                </c:pt>
                <c:pt idx="906">
                  <c:v>50.046380551970003</c:v>
                </c:pt>
                <c:pt idx="907">
                  <c:v>50.127500658149984</c:v>
                </c:pt>
                <c:pt idx="908">
                  <c:v>50.24098841877003</c:v>
                </c:pt>
                <c:pt idx="909">
                  <c:v>50.291025125889973</c:v>
                </c:pt>
                <c:pt idx="910">
                  <c:v>49.866078325940009</c:v>
                </c:pt>
                <c:pt idx="911">
                  <c:v>49.933434842160011</c:v>
                </c:pt>
                <c:pt idx="912">
                  <c:v>49.968935499550014</c:v>
                </c:pt>
                <c:pt idx="913">
                  <c:v>50.088757086099974</c:v>
                </c:pt>
                <c:pt idx="914">
                  <c:v>49.627134396370025</c:v>
                </c:pt>
                <c:pt idx="915">
                  <c:v>49.685227391370006</c:v>
                </c:pt>
                <c:pt idx="916">
                  <c:v>49.792489081240035</c:v>
                </c:pt>
                <c:pt idx="917">
                  <c:v>49.831995695079968</c:v>
                </c:pt>
                <c:pt idx="918">
                  <c:v>49.351653295469987</c:v>
                </c:pt>
                <c:pt idx="919">
                  <c:v>49.425209784359993</c:v>
                </c:pt>
                <c:pt idx="920">
                  <c:v>49.556438147649999</c:v>
                </c:pt>
                <c:pt idx="921">
                  <c:v>49.539978795170043</c:v>
                </c:pt>
                <c:pt idx="922">
                  <c:v>49.019892211219997</c:v>
                </c:pt>
                <c:pt idx="923">
                  <c:v>49.02761570360002</c:v>
                </c:pt>
                <c:pt idx="924">
                  <c:v>49.067046324479975</c:v>
                </c:pt>
                <c:pt idx="925">
                  <c:v>49.132129977759973</c:v>
                </c:pt>
                <c:pt idx="926">
                  <c:v>48.569272694440031</c:v>
                </c:pt>
                <c:pt idx="927">
                  <c:v>48.535861205319975</c:v>
                </c:pt>
                <c:pt idx="928">
                  <c:v>48.481070241729981</c:v>
                </c:pt>
                <c:pt idx="929">
                  <c:v>48.396178420689978</c:v>
                </c:pt>
                <c:pt idx="930">
                  <c:v>48.271423947380015</c:v>
                </c:pt>
                <c:pt idx="931">
                  <c:v>47.694569846050001</c:v>
                </c:pt>
                <c:pt idx="932">
                  <c:v>47.542558996920036</c:v>
                </c:pt>
                <c:pt idx="933">
                  <c:v>47.357295568230029</c:v>
                </c:pt>
                <c:pt idx="934">
                  <c:v>47.147622943019996</c:v>
                </c:pt>
                <c:pt idx="935">
                  <c:v>46.90682499111</c:v>
                </c:pt>
                <c:pt idx="936">
                  <c:v>46.184689781039992</c:v>
                </c:pt>
                <c:pt idx="937">
                  <c:v>45.894208126249964</c:v>
                </c:pt>
                <c:pt idx="938">
                  <c:v>45.587775222770006</c:v>
                </c:pt>
                <c:pt idx="939">
                  <c:v>45.265574861510004</c:v>
                </c:pt>
                <c:pt idx="940">
                  <c:v>44.427964631939972</c:v>
                </c:pt>
                <c:pt idx="941">
                  <c:v>44.046319504619987</c:v>
                </c:pt>
                <c:pt idx="942">
                  <c:v>43.661210260459995</c:v>
                </c:pt>
                <c:pt idx="943">
                  <c:v>43.255406589090001</c:v>
                </c:pt>
                <c:pt idx="944">
                  <c:v>42.877475544930007</c:v>
                </c:pt>
                <c:pt idx="945">
                  <c:v>42.004217806209965</c:v>
                </c:pt>
                <c:pt idx="946">
                  <c:v>41.599350566239991</c:v>
                </c:pt>
                <c:pt idx="947">
                  <c:v>41.202367147820041</c:v>
                </c:pt>
                <c:pt idx="948">
                  <c:v>40.80584546307</c:v>
                </c:pt>
                <c:pt idx="949">
                  <c:v>39.96206640225995</c:v>
                </c:pt>
                <c:pt idx="950">
                  <c:v>39.60065252646001</c:v>
                </c:pt>
                <c:pt idx="951">
                  <c:v>39.239896385859993</c:v>
                </c:pt>
                <c:pt idx="952">
                  <c:v>38.882525060399985</c:v>
                </c:pt>
                <c:pt idx="953">
                  <c:v>38.086158812640008</c:v>
                </c:pt>
                <c:pt idx="954">
                  <c:v>37.690660989750029</c:v>
                </c:pt>
                <c:pt idx="955">
                  <c:v>37.381792106779983</c:v>
                </c:pt>
                <c:pt idx="956">
                  <c:v>36.600098607920017</c:v>
                </c:pt>
                <c:pt idx="957">
                  <c:v>36.317327493479979</c:v>
                </c:pt>
                <c:pt idx="958">
                  <c:v>36.142680398090022</c:v>
                </c:pt>
                <c:pt idx="959">
                  <c:v>35.959104144050002</c:v>
                </c:pt>
                <c:pt idx="960">
                  <c:v>35.222814083369997</c:v>
                </c:pt>
                <c:pt idx="961">
                  <c:v>34.950371795980004</c:v>
                </c:pt>
                <c:pt idx="962">
                  <c:v>34.789641020250031</c:v>
                </c:pt>
                <c:pt idx="963">
                  <c:v>34.667046468860008</c:v>
                </c:pt>
                <c:pt idx="964">
                  <c:v>33.990212715370035</c:v>
                </c:pt>
                <c:pt idx="965">
                  <c:v>33.795730003659969</c:v>
                </c:pt>
                <c:pt idx="966">
                  <c:v>33.65212766088996</c:v>
                </c:pt>
                <c:pt idx="967">
                  <c:v>33.503917330609966</c:v>
                </c:pt>
                <c:pt idx="968">
                  <c:v>32.804929374510039</c:v>
                </c:pt>
                <c:pt idx="969">
                  <c:v>32.630961719449999</c:v>
                </c:pt>
                <c:pt idx="970">
                  <c:v>32.466636626189995</c:v>
                </c:pt>
                <c:pt idx="971">
                  <c:v>32.320563037910006</c:v>
                </c:pt>
                <c:pt idx="972">
                  <c:v>32.167319600009989</c:v>
                </c:pt>
                <c:pt idx="973">
                  <c:v>31.459444505640022</c:v>
                </c:pt>
                <c:pt idx="974">
                  <c:v>31.275616301219998</c:v>
                </c:pt>
                <c:pt idx="975">
                  <c:v>31.087795006459999</c:v>
                </c:pt>
                <c:pt idx="976">
                  <c:v>30.88485232119001</c:v>
                </c:pt>
                <c:pt idx="977">
                  <c:v>30.674481860849994</c:v>
                </c:pt>
                <c:pt idx="978">
                  <c:v>30.451840498460001</c:v>
                </c:pt>
                <c:pt idx="979">
                  <c:v>30.198090264949997</c:v>
                </c:pt>
                <c:pt idx="980">
                  <c:v>29.396363300500013</c:v>
                </c:pt>
                <c:pt idx="981">
                  <c:v>29.138788649840023</c:v>
                </c:pt>
                <c:pt idx="982">
                  <c:v>28.836876400899996</c:v>
                </c:pt>
                <c:pt idx="983">
                  <c:v>28.523573941479981</c:v>
                </c:pt>
                <c:pt idx="984">
                  <c:v>28.207914163660007</c:v>
                </c:pt>
                <c:pt idx="985">
                  <c:v>27.837900419739981</c:v>
                </c:pt>
                <c:pt idx="986">
                  <c:v>27.48364672872998</c:v>
                </c:pt>
                <c:pt idx="987">
                  <c:v>27.114432399950033</c:v>
                </c:pt>
                <c:pt idx="988">
                  <c:v>26.714646546469965</c:v>
                </c:pt>
                <c:pt idx="989">
                  <c:v>26.29912727640999</c:v>
                </c:pt>
                <c:pt idx="990">
                  <c:v>25.291663365890031</c:v>
                </c:pt>
                <c:pt idx="991">
                  <c:v>24.817123881459963</c:v>
                </c:pt>
                <c:pt idx="992">
                  <c:v>24.347821331379976</c:v>
                </c:pt>
                <c:pt idx="993">
                  <c:v>23.869759673039994</c:v>
                </c:pt>
                <c:pt idx="994">
                  <c:v>23.337749035070033</c:v>
                </c:pt>
                <c:pt idx="995">
                  <c:v>22.839019926729975</c:v>
                </c:pt>
                <c:pt idx="996">
                  <c:v>22.32174592281001</c:v>
                </c:pt>
                <c:pt idx="997">
                  <c:v>21.689776498089998</c:v>
                </c:pt>
                <c:pt idx="998">
                  <c:v>21.17438211271002</c:v>
                </c:pt>
                <c:pt idx="999">
                  <c:v>21.066996450830004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66928"/>
        <c:axId val="572259312"/>
      </c:scatterChart>
      <c:valAx>
        <c:axId val="5722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9312"/>
        <c:crosses val="autoZero"/>
        <c:crossBetween val="midCat"/>
      </c:valAx>
      <c:valAx>
        <c:axId val="5722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Pitch (mm)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'zero-1'!$S$2:$S$1001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92.264369317626574</c:v>
                </c:pt>
                <c:pt idx="48">
                  <c:v>92.399258619489331</c:v>
                </c:pt>
                <c:pt idx="49">
                  <c:v>92.418560805749252</c:v>
                </c:pt>
                <c:pt idx="50">
                  <c:v>92.575262433886508</c:v>
                </c:pt>
                <c:pt idx="51">
                  <c:v>92.749994031242338</c:v>
                </c:pt>
                <c:pt idx="52">
                  <c:v>92.892326297202615</c:v>
                </c:pt>
                <c:pt idx="53">
                  <c:v>93.019575386513239</c:v>
                </c:pt>
                <c:pt idx="54">
                  <c:v>93.202010307224171</c:v>
                </c:pt>
                <c:pt idx="55">
                  <c:v>93.417043462775084</c:v>
                </c:pt>
                <c:pt idx="56">
                  <c:v>93.600923893202733</c:v>
                </c:pt>
                <c:pt idx="57">
                  <c:v>93.694207629809398</c:v>
                </c:pt>
                <c:pt idx="58">
                  <c:v>93.813549962529194</c:v>
                </c:pt>
                <c:pt idx="59">
                  <c:v>93.875749386347209</c:v>
                </c:pt>
                <c:pt idx="60">
                  <c:v>93.950060131197631</c:v>
                </c:pt>
                <c:pt idx="61">
                  <c:v>94.016652432844992</c:v>
                </c:pt>
                <c:pt idx="62">
                  <c:v>94.109257764971943</c:v>
                </c:pt>
                <c:pt idx="63">
                  <c:v>94.177715138105654</c:v>
                </c:pt>
                <c:pt idx="64">
                  <c:v>94.213152281908407</c:v>
                </c:pt>
                <c:pt idx="65">
                  <c:v>94.239249605637937</c:v>
                </c:pt>
                <c:pt idx="66">
                  <c:v>94.276274774538365</c:v>
                </c:pt>
                <c:pt idx="67">
                  <c:v>94.291064218934665</c:v>
                </c:pt>
                <c:pt idx="68">
                  <c:v>94.303331780640505</c:v>
                </c:pt>
                <c:pt idx="69">
                  <c:v>94.301716988038478</c:v>
                </c:pt>
                <c:pt idx="70">
                  <c:v>94.292447936762798</c:v>
                </c:pt>
                <c:pt idx="71">
                  <c:v>94.282857522879482</c:v>
                </c:pt>
                <c:pt idx="72">
                  <c:v>94.271570319206475</c:v>
                </c:pt>
                <c:pt idx="73">
                  <c:v>94.2574763257998</c:v>
                </c:pt>
                <c:pt idx="74">
                  <c:v>94.250410883000583</c:v>
                </c:pt>
                <c:pt idx="75">
                  <c:v>94.255449102203045</c:v>
                </c:pt>
                <c:pt idx="76">
                  <c:v>94.260524500072052</c:v>
                </c:pt>
                <c:pt idx="77">
                  <c:v>94.281349624063552</c:v>
                </c:pt>
                <c:pt idx="78">
                  <c:v>94.315098899132352</c:v>
                </c:pt>
                <c:pt idx="79">
                  <c:v>94.365459028637858</c:v>
                </c:pt>
                <c:pt idx="80">
                  <c:v>94.423329724666971</c:v>
                </c:pt>
                <c:pt idx="81">
                  <c:v>94.471228114587973</c:v>
                </c:pt>
                <c:pt idx="82">
                  <c:v>94.511809524651369</c:v>
                </c:pt>
                <c:pt idx="83">
                  <c:v>94.620427198000911</c:v>
                </c:pt>
                <c:pt idx="84">
                  <c:v>94.754579997191541</c:v>
                </c:pt>
                <c:pt idx="85">
                  <c:v>94.869070949885341</c:v>
                </c:pt>
                <c:pt idx="86">
                  <c:v>94.953399557592491</c:v>
                </c:pt>
                <c:pt idx="87">
                  <c:v>95.049975158014433</c:v>
                </c:pt>
                <c:pt idx="88">
                  <c:v>95.186404430310901</c:v>
                </c:pt>
                <c:pt idx="89">
                  <c:v>95.338093595448385</c:v>
                </c:pt>
                <c:pt idx="90">
                  <c:v>95.442255477506791</c:v>
                </c:pt>
                <c:pt idx="91">
                  <c:v>95.609898228992733</c:v>
                </c:pt>
                <c:pt idx="92">
                  <c:v>95.776343034354213</c:v>
                </c:pt>
                <c:pt idx="93">
                  <c:v>95.969551213003598</c:v>
                </c:pt>
                <c:pt idx="94">
                  <c:v>96.167404285058723</c:v>
                </c:pt>
                <c:pt idx="95">
                  <c:v>96.286538530514434</c:v>
                </c:pt>
                <c:pt idx="96">
                  <c:v>96.462736693085645</c:v>
                </c:pt>
                <c:pt idx="97">
                  <c:v>96.661587318671749</c:v>
                </c:pt>
                <c:pt idx="98">
                  <c:v>96.824933347650258</c:v>
                </c:pt>
                <c:pt idx="99">
                  <c:v>97.040091405037103</c:v>
                </c:pt>
                <c:pt idx="100">
                  <c:v>97.225820410844477</c:v>
                </c:pt>
                <c:pt idx="101">
                  <c:v>97.388253262386897</c:v>
                </c:pt>
                <c:pt idx="102">
                  <c:v>97.604078274475583</c:v>
                </c:pt>
                <c:pt idx="103">
                  <c:v>97.801088814417142</c:v>
                </c:pt>
                <c:pt idx="104">
                  <c:v>97.921441456684207</c:v>
                </c:pt>
                <c:pt idx="105">
                  <c:v>98.093026779649989</c:v>
                </c:pt>
                <c:pt idx="106">
                  <c:v>98.236987317383452</c:v>
                </c:pt>
                <c:pt idx="107">
                  <c:v>98.391671087118397</c:v>
                </c:pt>
                <c:pt idx="108">
                  <c:v>98.517084066758841</c:v>
                </c:pt>
                <c:pt idx="109">
                  <c:v>98.634551756953471</c:v>
                </c:pt>
                <c:pt idx="110">
                  <c:v>98.744722899221856</c:v>
                </c:pt>
                <c:pt idx="111">
                  <c:v>98.840212423382638</c:v>
                </c:pt>
                <c:pt idx="112">
                  <c:v>98.913643707207143</c:v>
                </c:pt>
                <c:pt idx="113">
                  <c:v>98.97138631865613</c:v>
                </c:pt>
                <c:pt idx="114">
                  <c:v>99.025823617273602</c:v>
                </c:pt>
                <c:pt idx="115">
                  <c:v>99.065125517937076</c:v>
                </c:pt>
                <c:pt idx="116">
                  <c:v>99.105530172171939</c:v>
                </c:pt>
                <c:pt idx="117">
                  <c:v>99.143348798262494</c:v>
                </c:pt>
                <c:pt idx="118">
                  <c:v>99.169642226484527</c:v>
                </c:pt>
                <c:pt idx="119">
                  <c:v>99.176521083387414</c:v>
                </c:pt>
                <c:pt idx="120">
                  <c:v>99.185769247695319</c:v>
                </c:pt>
                <c:pt idx="121">
                  <c:v>99.197389593733348</c:v>
                </c:pt>
                <c:pt idx="122">
                  <c:v>99.230514662875095</c:v>
                </c:pt>
                <c:pt idx="123">
                  <c:v>99.262374315139652</c:v>
                </c:pt>
                <c:pt idx="124">
                  <c:v>99.294336887268074</c:v>
                </c:pt>
                <c:pt idx="125">
                  <c:v>99.338734189813252</c:v>
                </c:pt>
                <c:pt idx="126">
                  <c:v>99.39246412670245</c:v>
                </c:pt>
                <c:pt idx="127">
                  <c:v>99.513523765937308</c:v>
                </c:pt>
                <c:pt idx="128">
                  <c:v>99.603168649766317</c:v>
                </c:pt>
                <c:pt idx="129">
                  <c:v>99.712216244165049</c:v>
                </c:pt>
                <c:pt idx="130">
                  <c:v>99.819514185902207</c:v>
                </c:pt>
                <c:pt idx="131">
                  <c:v>99.937254116019972</c:v>
                </c:pt>
                <c:pt idx="132">
                  <c:v>100.03256659082049</c:v>
                </c:pt>
                <c:pt idx="133">
                  <c:v>100.14273639489369</c:v>
                </c:pt>
                <c:pt idx="134">
                  <c:v>100.28991820479607</c:v>
                </c:pt>
                <c:pt idx="135">
                  <c:v>100.46620182063808</c:v>
                </c:pt>
                <c:pt idx="136">
                  <c:v>100.63878609208052</c:v>
                </c:pt>
                <c:pt idx="137">
                  <c:v>100.80154557527408</c:v>
                </c:pt>
                <c:pt idx="138">
                  <c:v>100.97095911906258</c:v>
                </c:pt>
                <c:pt idx="139">
                  <c:v>101.21783738162314</c:v>
                </c:pt>
                <c:pt idx="140">
                  <c:v>101.36853519377935</c:v>
                </c:pt>
                <c:pt idx="141">
                  <c:v>101.54918858146486</c:v>
                </c:pt>
                <c:pt idx="142">
                  <c:v>101.7168144431046</c:v>
                </c:pt>
                <c:pt idx="143">
                  <c:v>101.9058657000971</c:v>
                </c:pt>
                <c:pt idx="144">
                  <c:v>102.12143734935192</c:v>
                </c:pt>
                <c:pt idx="145">
                  <c:v>102.24974134538122</c:v>
                </c:pt>
                <c:pt idx="146">
                  <c:v>102.41533135049623</c:v>
                </c:pt>
                <c:pt idx="147">
                  <c:v>102.65787939370693</c:v>
                </c:pt>
                <c:pt idx="148">
                  <c:v>102.90988094090361</c:v>
                </c:pt>
                <c:pt idx="149">
                  <c:v>103.07884481601523</c:v>
                </c:pt>
                <c:pt idx="150">
                  <c:v>103.28135674192541</c:v>
                </c:pt>
                <c:pt idx="151">
                  <c:v>103.46199945630917</c:v>
                </c:pt>
                <c:pt idx="152">
                  <c:v>103.64368705411171</c:v>
                </c:pt>
                <c:pt idx="153">
                  <c:v>103.84058604566306</c:v>
                </c:pt>
                <c:pt idx="154">
                  <c:v>104.02553845657749</c:v>
                </c:pt>
                <c:pt idx="155">
                  <c:v>104.20660900213001</c:v>
                </c:pt>
                <c:pt idx="156">
                  <c:v>104.3458446511189</c:v>
                </c:pt>
                <c:pt idx="157">
                  <c:v>104.50574807489487</c:v>
                </c:pt>
                <c:pt idx="158">
                  <c:v>104.6678978755732</c:v>
                </c:pt>
                <c:pt idx="159">
                  <c:v>104.8079438904188</c:v>
                </c:pt>
                <c:pt idx="160">
                  <c:v>104.93946100135241</c:v>
                </c:pt>
                <c:pt idx="161">
                  <c:v>105.0589666652814</c:v>
                </c:pt>
                <c:pt idx="162">
                  <c:v>105.1723920171203</c:v>
                </c:pt>
                <c:pt idx="163">
                  <c:v>105.26346693925097</c:v>
                </c:pt>
                <c:pt idx="164">
                  <c:v>105.34041591648374</c:v>
                </c:pt>
                <c:pt idx="165">
                  <c:v>105.3887909007548</c:v>
                </c:pt>
                <c:pt idx="166">
                  <c:v>105.43034713471471</c:v>
                </c:pt>
                <c:pt idx="167">
                  <c:v>105.45589424405637</c:v>
                </c:pt>
                <c:pt idx="168">
                  <c:v>105.47258986527602</c:v>
                </c:pt>
                <c:pt idx="169">
                  <c:v>105.48297896860419</c:v>
                </c:pt>
                <c:pt idx="170">
                  <c:v>105.50377396977323</c:v>
                </c:pt>
                <c:pt idx="171">
                  <c:v>105.50981124082563</c:v>
                </c:pt>
                <c:pt idx="172">
                  <c:v>105.56656205878336</c:v>
                </c:pt>
                <c:pt idx="173">
                  <c:v>105.54782698121575</c:v>
                </c:pt>
                <c:pt idx="174">
                  <c:v>105.55026279397916</c:v>
                </c:pt>
                <c:pt idx="175">
                  <c:v>105.57234551794255</c:v>
                </c:pt>
                <c:pt idx="176">
                  <c:v>105.5803005225754</c:v>
                </c:pt>
                <c:pt idx="177">
                  <c:v>105.57270821582425</c:v>
                </c:pt>
                <c:pt idx="178">
                  <c:v>105.55611211048091</c:v>
                </c:pt>
                <c:pt idx="179">
                  <c:v>105.56116717131442</c:v>
                </c:pt>
                <c:pt idx="180">
                  <c:v>105.5545585093279</c:v>
                </c:pt>
                <c:pt idx="181">
                  <c:v>105.54790354351321</c:v>
                </c:pt>
                <c:pt idx="182">
                  <c:v>105.54086750926166</c:v>
                </c:pt>
                <c:pt idx="183">
                  <c:v>105.55905908346514</c:v>
                </c:pt>
                <c:pt idx="184">
                  <c:v>105.58242030593907</c:v>
                </c:pt>
                <c:pt idx="185">
                  <c:v>105.58131075384303</c:v>
                </c:pt>
                <c:pt idx="186">
                  <c:v>105.56376350258816</c:v>
                </c:pt>
                <c:pt idx="187">
                  <c:v>105.56194618424961</c:v>
                </c:pt>
                <c:pt idx="188">
                  <c:v>105.52038741181134</c:v>
                </c:pt>
                <c:pt idx="189">
                  <c:v>105.53634088823637</c:v>
                </c:pt>
                <c:pt idx="190">
                  <c:v>105.57935366224596</c:v>
                </c:pt>
                <c:pt idx="191">
                  <c:v>105.58115482127417</c:v>
                </c:pt>
                <c:pt idx="192">
                  <c:v>105.59026489974336</c:v>
                </c:pt>
                <c:pt idx="193">
                  <c:v>105.63091824639531</c:v>
                </c:pt>
                <c:pt idx="194">
                  <c:v>105.66285340808213</c:v>
                </c:pt>
                <c:pt idx="195">
                  <c:v>105.68773723330705</c:v>
                </c:pt>
                <c:pt idx="196">
                  <c:v>105.63746235736266</c:v>
                </c:pt>
                <c:pt idx="197">
                  <c:v>105.66720261477266</c:v>
                </c:pt>
                <c:pt idx="198">
                  <c:v>105.71271260914232</c:v>
                </c:pt>
                <c:pt idx="199">
                  <c:v>105.64122683664642</c:v>
                </c:pt>
                <c:pt idx="200">
                  <c:v>105.62126213599477</c:v>
                </c:pt>
                <c:pt idx="201">
                  <c:v>105.64120119157819</c:v>
                </c:pt>
                <c:pt idx="202">
                  <c:v>105.71789317906753</c:v>
                </c:pt>
                <c:pt idx="203">
                  <c:v>105.74900064025609</c:v>
                </c:pt>
                <c:pt idx="204">
                  <c:v>105.72302394777766</c:v>
                </c:pt>
                <c:pt idx="205">
                  <c:v>105.695211197888</c:v>
                </c:pt>
                <c:pt idx="206">
                  <c:v>105.70765730651388</c:v>
                </c:pt>
                <c:pt idx="207">
                  <c:v>105.69257708973635</c:v>
                </c:pt>
                <c:pt idx="208">
                  <c:v>105.69111560876935</c:v>
                </c:pt>
                <c:pt idx="209">
                  <c:v>105.67663042281876</c:v>
                </c:pt>
                <c:pt idx="210">
                  <c:v>105.67011440959949</c:v>
                </c:pt>
                <c:pt idx="211">
                  <c:v>105.67075140386935</c:v>
                </c:pt>
                <c:pt idx="212">
                  <c:v>105.66245186134981</c:v>
                </c:pt>
                <c:pt idx="213">
                  <c:v>105.65504729715141</c:v>
                </c:pt>
                <c:pt idx="214">
                  <c:v>105.64642736485033</c:v>
                </c:pt>
                <c:pt idx="215">
                  <c:v>105.65276821411813</c:v>
                </c:pt>
                <c:pt idx="216">
                  <c:v>105.65842290133797</c:v>
                </c:pt>
                <c:pt idx="217">
                  <c:v>105.65579323344811</c:v>
                </c:pt>
                <c:pt idx="218">
                  <c:v>105.64108186939714</c:v>
                </c:pt>
                <c:pt idx="219">
                  <c:v>105.63155944416457</c:v>
                </c:pt>
                <c:pt idx="220">
                  <c:v>105.5581231892768</c:v>
                </c:pt>
                <c:pt idx="221">
                  <c:v>105.54750603230717</c:v>
                </c:pt>
                <c:pt idx="222">
                  <c:v>105.54062082881948</c:v>
                </c:pt>
                <c:pt idx="223">
                  <c:v>105.54209305514595</c:v>
                </c:pt>
                <c:pt idx="224">
                  <c:v>105.53478466000453</c:v>
                </c:pt>
                <c:pt idx="225">
                  <c:v>105.51809846733865</c:v>
                </c:pt>
                <c:pt idx="226">
                  <c:v>105.51667423662067</c:v>
                </c:pt>
                <c:pt idx="227">
                  <c:v>105.52526603369277</c:v>
                </c:pt>
                <c:pt idx="228">
                  <c:v>105.53103146970656</c:v>
                </c:pt>
                <c:pt idx="229">
                  <c:v>105.54307840171498</c:v>
                </c:pt>
                <c:pt idx="230">
                  <c:v>105.51134873539657</c:v>
                </c:pt>
                <c:pt idx="231">
                  <c:v>105.51135472636018</c:v>
                </c:pt>
                <c:pt idx="232">
                  <c:v>105.36868293654577</c:v>
                </c:pt>
                <c:pt idx="233">
                  <c:v>105.37162270230334</c:v>
                </c:pt>
                <c:pt idx="234">
                  <c:v>105.37816300358583</c:v>
                </c:pt>
                <c:pt idx="235">
                  <c:v>105.40025950400228</c:v>
                </c:pt>
                <c:pt idx="236">
                  <c:v>105.40860140765434</c:v>
                </c:pt>
                <c:pt idx="237">
                  <c:v>105.43083854123678</c:v>
                </c:pt>
                <c:pt idx="238">
                  <c:v>105.43539964010949</c:v>
                </c:pt>
                <c:pt idx="239">
                  <c:v>105.40967231338736</c:v>
                </c:pt>
                <c:pt idx="240">
                  <c:v>105.38928589929883</c:v>
                </c:pt>
                <c:pt idx="241">
                  <c:v>105.42738515803967</c:v>
                </c:pt>
                <c:pt idx="242">
                  <c:v>105.43157212178409</c:v>
                </c:pt>
                <c:pt idx="243">
                  <c:v>105.42678579080571</c:v>
                </c:pt>
                <c:pt idx="244">
                  <c:v>105.43083164583376</c:v>
                </c:pt>
                <c:pt idx="245">
                  <c:v>105.4302342819432</c:v>
                </c:pt>
                <c:pt idx="246">
                  <c:v>105.41257258302299</c:v>
                </c:pt>
                <c:pt idx="247">
                  <c:v>105.31925606069591</c:v>
                </c:pt>
                <c:pt idx="248">
                  <c:v>105.3355486273184</c:v>
                </c:pt>
                <c:pt idx="249">
                  <c:v>105.38593843532105</c:v>
                </c:pt>
                <c:pt idx="250">
                  <c:v>105.35359526478511</c:v>
                </c:pt>
                <c:pt idx="251">
                  <c:v>105.38675122506255</c:v>
                </c:pt>
                <c:pt idx="252">
                  <c:v>105.40591554387373</c:v>
                </c:pt>
                <c:pt idx="253">
                  <c:v>105.49564949758313</c:v>
                </c:pt>
                <c:pt idx="254">
                  <c:v>105.53369421861674</c:v>
                </c:pt>
                <c:pt idx="255">
                  <c:v>105.47571987512198</c:v>
                </c:pt>
                <c:pt idx="256">
                  <c:v>105.47064151023257</c:v>
                </c:pt>
                <c:pt idx="257">
                  <c:v>105.48656108169708</c:v>
                </c:pt>
                <c:pt idx="258">
                  <c:v>105.46806045520529</c:v>
                </c:pt>
                <c:pt idx="259">
                  <c:v>105.47063322815231</c:v>
                </c:pt>
                <c:pt idx="260">
                  <c:v>105.47379179899752</c:v>
                </c:pt>
                <c:pt idx="261">
                  <c:v>105.46082731965708</c:v>
                </c:pt>
                <c:pt idx="262">
                  <c:v>105.47729838598713</c:v>
                </c:pt>
                <c:pt idx="263">
                  <c:v>105.62523184030944</c:v>
                </c:pt>
                <c:pt idx="264">
                  <c:v>105.6062151741625</c:v>
                </c:pt>
                <c:pt idx="265">
                  <c:v>105.59469659209051</c:v>
                </c:pt>
                <c:pt idx="266">
                  <c:v>105.5924539058074</c:v>
                </c:pt>
                <c:pt idx="267">
                  <c:v>105.59611520333902</c:v>
                </c:pt>
                <c:pt idx="268">
                  <c:v>105.59881525428582</c:v>
                </c:pt>
                <c:pt idx="269">
                  <c:v>105.59573922429365</c:v>
                </c:pt>
                <c:pt idx="270">
                  <c:v>105.59002831933817</c:v>
                </c:pt>
                <c:pt idx="271">
                  <c:v>105.57920980531087</c:v>
                </c:pt>
                <c:pt idx="272">
                  <c:v>105.57642869248053</c:v>
                </c:pt>
                <c:pt idx="273">
                  <c:v>105.58281944949206</c:v>
                </c:pt>
                <c:pt idx="274">
                  <c:v>105.57551116422836</c:v>
                </c:pt>
                <c:pt idx="275">
                  <c:v>105.56614574626209</c:v>
                </c:pt>
                <c:pt idx="276">
                  <c:v>105.62382969502104</c:v>
                </c:pt>
                <c:pt idx="277">
                  <c:v>105.61400891788628</c:v>
                </c:pt>
                <c:pt idx="278">
                  <c:v>105.60130379514585</c:v>
                </c:pt>
                <c:pt idx="279">
                  <c:v>105.60320258057739</c:v>
                </c:pt>
                <c:pt idx="280">
                  <c:v>105.61086749735912</c:v>
                </c:pt>
                <c:pt idx="281">
                  <c:v>105.59698777637907</c:v>
                </c:pt>
                <c:pt idx="282">
                  <c:v>105.59385659619868</c:v>
                </c:pt>
                <c:pt idx="283">
                  <c:v>105.57385031654985</c:v>
                </c:pt>
                <c:pt idx="284">
                  <c:v>105.57715937931017</c:v>
                </c:pt>
                <c:pt idx="285">
                  <c:v>105.57295002886102</c:v>
                </c:pt>
                <c:pt idx="286">
                  <c:v>105.57400456859072</c:v>
                </c:pt>
                <c:pt idx="287">
                  <c:v>105.57753651662958</c:v>
                </c:pt>
                <c:pt idx="288">
                  <c:v>105.57935427835112</c:v>
                </c:pt>
                <c:pt idx="289">
                  <c:v>105.59368296239005</c:v>
                </c:pt>
                <c:pt idx="290">
                  <c:v>105.56341742233256</c:v>
                </c:pt>
                <c:pt idx="291">
                  <c:v>105.58361983687624</c:v>
                </c:pt>
                <c:pt idx="292">
                  <c:v>105.57629690614205</c:v>
                </c:pt>
                <c:pt idx="293">
                  <c:v>105.56510229726419</c:v>
                </c:pt>
                <c:pt idx="294">
                  <c:v>105.54889725886571</c:v>
                </c:pt>
                <c:pt idx="295">
                  <c:v>105.59731761468389</c:v>
                </c:pt>
                <c:pt idx="296">
                  <c:v>105.61820417077817</c:v>
                </c:pt>
                <c:pt idx="297">
                  <c:v>105.60024732607141</c:v>
                </c:pt>
                <c:pt idx="298">
                  <c:v>105.61727838751021</c:v>
                </c:pt>
                <c:pt idx="299">
                  <c:v>105.58585306485389</c:v>
                </c:pt>
                <c:pt idx="300">
                  <c:v>105.58741309608081</c:v>
                </c:pt>
                <c:pt idx="301">
                  <c:v>105.59254541413753</c:v>
                </c:pt>
                <c:pt idx="302">
                  <c:v>105.5691615433941</c:v>
                </c:pt>
                <c:pt idx="303">
                  <c:v>105.53129720247088</c:v>
                </c:pt>
                <c:pt idx="304">
                  <c:v>105.55806092307994</c:v>
                </c:pt>
                <c:pt idx="305">
                  <c:v>105.68442162315822</c:v>
                </c:pt>
                <c:pt idx="306">
                  <c:v>105.72923570468964</c:v>
                </c:pt>
                <c:pt idx="307">
                  <c:v>105.74411845392726</c:v>
                </c:pt>
                <c:pt idx="308">
                  <c:v>105.71368810700083</c:v>
                </c:pt>
                <c:pt idx="309">
                  <c:v>105.67750022716248</c:v>
                </c:pt>
                <c:pt idx="310">
                  <c:v>105.65733824913194</c:v>
                </c:pt>
                <c:pt idx="311">
                  <c:v>105.637415360277</c:v>
                </c:pt>
                <c:pt idx="312">
                  <c:v>105.66108028306654</c:v>
                </c:pt>
                <c:pt idx="313">
                  <c:v>105.67436437540515</c:v>
                </c:pt>
                <c:pt idx="314">
                  <c:v>105.71025745997439</c:v>
                </c:pt>
                <c:pt idx="315">
                  <c:v>105.73085753936193</c:v>
                </c:pt>
                <c:pt idx="316">
                  <c:v>105.71606273401461</c:v>
                </c:pt>
                <c:pt idx="317">
                  <c:v>105.69727995885592</c:v>
                </c:pt>
                <c:pt idx="318">
                  <c:v>105.68365462575707</c:v>
                </c:pt>
                <c:pt idx="319">
                  <c:v>105.66801202633137</c:v>
                </c:pt>
                <c:pt idx="320">
                  <c:v>105.66322713154457</c:v>
                </c:pt>
                <c:pt idx="321">
                  <c:v>105.66487496032657</c:v>
                </c:pt>
                <c:pt idx="322">
                  <c:v>105.66439105323398</c:v>
                </c:pt>
                <c:pt idx="323">
                  <c:v>105.65233897954023</c:v>
                </c:pt>
                <c:pt idx="324">
                  <c:v>105.6398664355205</c:v>
                </c:pt>
                <c:pt idx="325">
                  <c:v>105.57722136113763</c:v>
                </c:pt>
                <c:pt idx="326">
                  <c:v>105.57667562740609</c:v>
                </c:pt>
                <c:pt idx="327">
                  <c:v>105.56057847507314</c:v>
                </c:pt>
                <c:pt idx="328">
                  <c:v>105.55051313784114</c:v>
                </c:pt>
                <c:pt idx="329">
                  <c:v>105.53264694016096</c:v>
                </c:pt>
                <c:pt idx="330">
                  <c:v>105.52310107276142</c:v>
                </c:pt>
                <c:pt idx="331">
                  <c:v>105.52141738378519</c:v>
                </c:pt>
                <c:pt idx="332">
                  <c:v>105.51603612666266</c:v>
                </c:pt>
                <c:pt idx="333">
                  <c:v>105.50123800241239</c:v>
                </c:pt>
                <c:pt idx="334">
                  <c:v>105.49541857304183</c:v>
                </c:pt>
                <c:pt idx="335">
                  <c:v>105.47758538767226</c:v>
                </c:pt>
                <c:pt idx="336">
                  <c:v>105.32031611934168</c:v>
                </c:pt>
                <c:pt idx="337">
                  <c:v>105.32699812257061</c:v>
                </c:pt>
                <c:pt idx="338">
                  <c:v>105.33744733965695</c:v>
                </c:pt>
                <c:pt idx="339">
                  <c:v>105.32339868198888</c:v>
                </c:pt>
                <c:pt idx="340">
                  <c:v>105.35264166084184</c:v>
                </c:pt>
                <c:pt idx="341">
                  <c:v>105.38237517947827</c:v>
                </c:pt>
                <c:pt idx="342">
                  <c:v>105.36538874188722</c:v>
                </c:pt>
                <c:pt idx="343">
                  <c:v>105.36011945585192</c:v>
                </c:pt>
                <c:pt idx="344">
                  <c:v>105.33782539631719</c:v>
                </c:pt>
                <c:pt idx="345">
                  <c:v>105.36164701837748</c:v>
                </c:pt>
                <c:pt idx="346">
                  <c:v>105.37879713812482</c:v>
                </c:pt>
                <c:pt idx="347">
                  <c:v>105.37689421816182</c:v>
                </c:pt>
                <c:pt idx="348">
                  <c:v>105.34507263346531</c:v>
                </c:pt>
                <c:pt idx="349">
                  <c:v>105.35035134849828</c:v>
                </c:pt>
                <c:pt idx="350">
                  <c:v>105.35594786677595</c:v>
                </c:pt>
                <c:pt idx="351">
                  <c:v>105.34883661967773</c:v>
                </c:pt>
                <c:pt idx="352">
                  <c:v>105.34348644407612</c:v>
                </c:pt>
                <c:pt idx="353">
                  <c:v>105.39572190793416</c:v>
                </c:pt>
                <c:pt idx="354">
                  <c:v>105.40081185105721</c:v>
                </c:pt>
                <c:pt idx="355">
                  <c:v>105.41241728735849</c:v>
                </c:pt>
                <c:pt idx="356">
                  <c:v>105.49941221083816</c:v>
                </c:pt>
                <c:pt idx="357">
                  <c:v>105.51017562505783</c:v>
                </c:pt>
                <c:pt idx="358">
                  <c:v>105.47014426478336</c:v>
                </c:pt>
                <c:pt idx="359">
                  <c:v>105.47381935076014</c:v>
                </c:pt>
                <c:pt idx="360">
                  <c:v>105.44248574059915</c:v>
                </c:pt>
                <c:pt idx="361">
                  <c:v>105.39781472058807</c:v>
                </c:pt>
                <c:pt idx="362">
                  <c:v>105.38160965130724</c:v>
                </c:pt>
                <c:pt idx="363">
                  <c:v>105.40570221802371</c:v>
                </c:pt>
                <c:pt idx="364">
                  <c:v>105.4181952545685</c:v>
                </c:pt>
                <c:pt idx="365">
                  <c:v>105.45330692176289</c:v>
                </c:pt>
                <c:pt idx="366">
                  <c:v>105.46684209337552</c:v>
                </c:pt>
                <c:pt idx="367">
                  <c:v>105.46968305418707</c:v>
                </c:pt>
                <c:pt idx="368">
                  <c:v>105.60148078280261</c:v>
                </c:pt>
                <c:pt idx="369">
                  <c:v>105.59448977688032</c:v>
                </c:pt>
                <c:pt idx="370">
                  <c:v>105.59688157691755</c:v>
                </c:pt>
                <c:pt idx="371">
                  <c:v>105.58823894130623</c:v>
                </c:pt>
                <c:pt idx="372">
                  <c:v>105.59172831027546</c:v>
                </c:pt>
                <c:pt idx="373">
                  <c:v>105.60783251964776</c:v>
                </c:pt>
                <c:pt idx="374">
                  <c:v>105.6129292722066</c:v>
                </c:pt>
                <c:pt idx="375">
                  <c:v>105.60901561519465</c:v>
                </c:pt>
                <c:pt idx="376">
                  <c:v>105.59110145794703</c:v>
                </c:pt>
                <c:pt idx="377">
                  <c:v>105.57631207139667</c:v>
                </c:pt>
                <c:pt idx="378">
                  <c:v>105.57186687227968</c:v>
                </c:pt>
                <c:pt idx="379">
                  <c:v>105.56742845982974</c:v>
                </c:pt>
                <c:pt idx="380">
                  <c:v>105.62994733498012</c:v>
                </c:pt>
                <c:pt idx="381">
                  <c:v>105.63582455260403</c:v>
                </c:pt>
                <c:pt idx="382">
                  <c:v>105.61863365398546</c:v>
                </c:pt>
                <c:pt idx="383">
                  <c:v>105.58925425718513</c:v>
                </c:pt>
                <c:pt idx="384">
                  <c:v>105.5850251550786</c:v>
                </c:pt>
                <c:pt idx="385">
                  <c:v>105.57238055552844</c:v>
                </c:pt>
                <c:pt idx="386">
                  <c:v>105.56779953491274</c:v>
                </c:pt>
                <c:pt idx="387">
                  <c:v>105.5674084051782</c:v>
                </c:pt>
                <c:pt idx="388">
                  <c:v>105.5333110194441</c:v>
                </c:pt>
                <c:pt idx="389">
                  <c:v>105.50341169895464</c:v>
                </c:pt>
                <c:pt idx="390">
                  <c:v>105.5046847908315</c:v>
                </c:pt>
                <c:pt idx="391">
                  <c:v>105.50914253636738</c:v>
                </c:pt>
                <c:pt idx="392">
                  <c:v>105.50404390817782</c:v>
                </c:pt>
                <c:pt idx="393">
                  <c:v>105.4670912900319</c:v>
                </c:pt>
                <c:pt idx="394">
                  <c:v>105.47674209778295</c:v>
                </c:pt>
                <c:pt idx="395">
                  <c:v>105.51247502478924</c:v>
                </c:pt>
                <c:pt idx="396">
                  <c:v>105.51580287854797</c:v>
                </c:pt>
                <c:pt idx="397">
                  <c:v>105.53413424290547</c:v>
                </c:pt>
                <c:pt idx="398">
                  <c:v>105.49477731918341</c:v>
                </c:pt>
                <c:pt idx="399">
                  <c:v>105.50578036844328</c:v>
                </c:pt>
                <c:pt idx="400">
                  <c:v>105.54792834763106</c:v>
                </c:pt>
                <c:pt idx="401">
                  <c:v>105.58732486627757</c:v>
                </c:pt>
                <c:pt idx="402">
                  <c:v>105.57981773451887</c:v>
                </c:pt>
                <c:pt idx="403">
                  <c:v>105.57508109729841</c:v>
                </c:pt>
                <c:pt idx="404">
                  <c:v>105.58708778916711</c:v>
                </c:pt>
                <c:pt idx="405">
                  <c:v>105.5152855955504</c:v>
                </c:pt>
                <c:pt idx="406">
                  <c:v>105.47595755442397</c:v>
                </c:pt>
                <c:pt idx="407">
                  <c:v>105.47945150242731</c:v>
                </c:pt>
                <c:pt idx="408">
                  <c:v>105.4912539612568</c:v>
                </c:pt>
                <c:pt idx="409">
                  <c:v>105.57283637033737</c:v>
                </c:pt>
                <c:pt idx="410">
                  <c:v>105.59040578517039</c:v>
                </c:pt>
                <c:pt idx="411">
                  <c:v>105.54868358424477</c:v>
                </c:pt>
                <c:pt idx="412">
                  <c:v>105.53747174377654</c:v>
                </c:pt>
                <c:pt idx="413">
                  <c:v>105.58316109530561</c:v>
                </c:pt>
                <c:pt idx="414">
                  <c:v>105.57189330763633</c:v>
                </c:pt>
                <c:pt idx="415">
                  <c:v>105.5603124375087</c:v>
                </c:pt>
                <c:pt idx="416">
                  <c:v>105.59741193088477</c:v>
                </c:pt>
                <c:pt idx="417">
                  <c:v>105.62130256341096</c:v>
                </c:pt>
                <c:pt idx="418">
                  <c:v>105.63675925228507</c:v>
                </c:pt>
                <c:pt idx="419">
                  <c:v>105.66380961276067</c:v>
                </c:pt>
                <c:pt idx="420">
                  <c:v>105.65290056384075</c:v>
                </c:pt>
                <c:pt idx="421">
                  <c:v>105.61916469472142</c:v>
                </c:pt>
                <c:pt idx="422">
                  <c:v>105.59577017859355</c:v>
                </c:pt>
                <c:pt idx="423">
                  <c:v>105.59097351460397</c:v>
                </c:pt>
                <c:pt idx="424">
                  <c:v>105.58391679950405</c:v>
                </c:pt>
                <c:pt idx="425">
                  <c:v>105.58157768570216</c:v>
                </c:pt>
                <c:pt idx="426">
                  <c:v>105.59545323641835</c:v>
                </c:pt>
                <c:pt idx="427">
                  <c:v>105.59487018192871</c:v>
                </c:pt>
                <c:pt idx="428">
                  <c:v>105.52952242910781</c:v>
                </c:pt>
                <c:pt idx="429">
                  <c:v>105.5247037603452</c:v>
                </c:pt>
                <c:pt idx="430">
                  <c:v>105.50993278821068</c:v>
                </c:pt>
                <c:pt idx="431">
                  <c:v>105.51400938519903</c:v>
                </c:pt>
                <c:pt idx="432">
                  <c:v>105.52000467892402</c:v>
                </c:pt>
                <c:pt idx="433">
                  <c:v>105.51207143136851</c:v>
                </c:pt>
                <c:pt idx="434">
                  <c:v>105.50915654600568</c:v>
                </c:pt>
                <c:pt idx="435">
                  <c:v>105.49712593733705</c:v>
                </c:pt>
                <c:pt idx="436">
                  <c:v>105.50520425692748</c:v>
                </c:pt>
                <c:pt idx="437">
                  <c:v>105.50516633447856</c:v>
                </c:pt>
                <c:pt idx="438">
                  <c:v>105.50958546177486</c:v>
                </c:pt>
                <c:pt idx="439">
                  <c:v>105.31936094087574</c:v>
                </c:pt>
                <c:pt idx="440">
                  <c:v>105.31808861255851</c:v>
                </c:pt>
                <c:pt idx="441">
                  <c:v>105.31384791543321</c:v>
                </c:pt>
                <c:pt idx="442">
                  <c:v>105.32555574554334</c:v>
                </c:pt>
                <c:pt idx="443">
                  <c:v>105.34384348061694</c:v>
                </c:pt>
                <c:pt idx="444">
                  <c:v>105.33620336076039</c:v>
                </c:pt>
                <c:pt idx="445">
                  <c:v>105.32584763155292</c:v>
                </c:pt>
                <c:pt idx="446">
                  <c:v>105.34067479235033</c:v>
                </c:pt>
                <c:pt idx="447">
                  <c:v>105.38438314591291</c:v>
                </c:pt>
                <c:pt idx="448">
                  <c:v>105.41826861920363</c:v>
                </c:pt>
                <c:pt idx="449">
                  <c:v>105.40263266995302</c:v>
                </c:pt>
                <c:pt idx="450">
                  <c:v>105.40138864475993</c:v>
                </c:pt>
                <c:pt idx="451">
                  <c:v>105.43569670847504</c:v>
                </c:pt>
                <c:pt idx="452">
                  <c:v>105.47785009727389</c:v>
                </c:pt>
                <c:pt idx="453">
                  <c:v>105.45793986955054</c:v>
                </c:pt>
                <c:pt idx="454">
                  <c:v>105.38536873837796</c:v>
                </c:pt>
                <c:pt idx="455">
                  <c:v>105.30404926009066</c:v>
                </c:pt>
                <c:pt idx="456">
                  <c:v>105.24892341550614</c:v>
                </c:pt>
                <c:pt idx="457">
                  <c:v>105.29296768087985</c:v>
                </c:pt>
                <c:pt idx="458">
                  <c:v>105.31730931456468</c:v>
                </c:pt>
                <c:pt idx="459">
                  <c:v>105.37640696601173</c:v>
                </c:pt>
                <c:pt idx="460">
                  <c:v>105.54259439055883</c:v>
                </c:pt>
                <c:pt idx="461">
                  <c:v>105.54830125258023</c:v>
                </c:pt>
                <c:pt idx="462">
                  <c:v>105.46784751323673</c:v>
                </c:pt>
                <c:pt idx="463">
                  <c:v>105.42929501690709</c:v>
                </c:pt>
                <c:pt idx="464">
                  <c:v>105.48814288066397</c:v>
                </c:pt>
                <c:pt idx="465">
                  <c:v>105.44673871420856</c:v>
                </c:pt>
                <c:pt idx="466">
                  <c:v>105.39382423204788</c:v>
                </c:pt>
                <c:pt idx="467">
                  <c:v>105.42987317545732</c:v>
                </c:pt>
                <c:pt idx="468">
                  <c:v>105.43094354183151</c:v>
                </c:pt>
                <c:pt idx="469">
                  <c:v>105.45175065511542</c:v>
                </c:pt>
                <c:pt idx="470">
                  <c:v>105.46754558237086</c:v>
                </c:pt>
                <c:pt idx="471">
                  <c:v>105.45010159081231</c:v>
                </c:pt>
                <c:pt idx="472">
                  <c:v>105.43569070923309</c:v>
                </c:pt>
                <c:pt idx="473">
                  <c:v>105.58212548103158</c:v>
                </c:pt>
                <c:pt idx="474">
                  <c:v>105.56271678938076</c:v>
                </c:pt>
                <c:pt idx="475">
                  <c:v>105.55098349233016</c:v>
                </c:pt>
                <c:pt idx="476">
                  <c:v>105.53931032995403</c:v>
                </c:pt>
                <c:pt idx="477">
                  <c:v>105.53672952805752</c:v>
                </c:pt>
                <c:pt idx="478">
                  <c:v>105.54641066371056</c:v>
                </c:pt>
                <c:pt idx="479">
                  <c:v>105.54611577769242</c:v>
                </c:pt>
                <c:pt idx="480">
                  <c:v>105.54570666396305</c:v>
                </c:pt>
                <c:pt idx="481">
                  <c:v>105.54114485657918</c:v>
                </c:pt>
                <c:pt idx="482">
                  <c:v>105.53133919285078</c:v>
                </c:pt>
                <c:pt idx="483">
                  <c:v>105.51842345251971</c:v>
                </c:pt>
                <c:pt idx="484">
                  <c:v>105.58245843363515</c:v>
                </c:pt>
                <c:pt idx="485">
                  <c:v>105.59648899612269</c:v>
                </c:pt>
                <c:pt idx="486">
                  <c:v>105.58262912410594</c:v>
                </c:pt>
                <c:pt idx="487">
                  <c:v>105.57584671665491</c:v>
                </c:pt>
                <c:pt idx="488">
                  <c:v>105.56584499912701</c:v>
                </c:pt>
                <c:pt idx="489">
                  <c:v>105.5630227601123</c:v>
                </c:pt>
                <c:pt idx="490">
                  <c:v>105.55676057820011</c:v>
                </c:pt>
                <c:pt idx="491">
                  <c:v>105.54865824217411</c:v>
                </c:pt>
                <c:pt idx="492">
                  <c:v>105.52962447510674</c:v>
                </c:pt>
                <c:pt idx="493">
                  <c:v>105.52650721568685</c:v>
                </c:pt>
                <c:pt idx="494">
                  <c:v>105.52640569861063</c:v>
                </c:pt>
                <c:pt idx="495">
                  <c:v>105.53340137702709</c:v>
                </c:pt>
                <c:pt idx="496">
                  <c:v>105.48382051489334</c:v>
                </c:pt>
                <c:pt idx="497">
                  <c:v>105.47351542631576</c:v>
                </c:pt>
                <c:pt idx="498">
                  <c:v>105.4525605229281</c:v>
                </c:pt>
                <c:pt idx="499">
                  <c:v>105.43625347490685</c:v>
                </c:pt>
                <c:pt idx="500">
                  <c:v>105.453988442523</c:v>
                </c:pt>
                <c:pt idx="501">
                  <c:v>105.48571702909892</c:v>
                </c:pt>
                <c:pt idx="502">
                  <c:v>105.52234583363969</c:v>
                </c:pt>
                <c:pt idx="503">
                  <c:v>105.5114567402418</c:v>
                </c:pt>
                <c:pt idx="504">
                  <c:v>105.54050879930935</c:v>
                </c:pt>
                <c:pt idx="505">
                  <c:v>105.57825959997166</c:v>
                </c:pt>
                <c:pt idx="506">
                  <c:v>105.58168336212111</c:v>
                </c:pt>
                <c:pt idx="507">
                  <c:v>105.62006648741571</c:v>
                </c:pt>
                <c:pt idx="508">
                  <c:v>105.49820547927777</c:v>
                </c:pt>
                <c:pt idx="509">
                  <c:v>105.36347837548331</c:v>
                </c:pt>
                <c:pt idx="510">
                  <c:v>105.35224556753838</c:v>
                </c:pt>
                <c:pt idx="511">
                  <c:v>105.43477375803124</c:v>
                </c:pt>
                <c:pt idx="512">
                  <c:v>105.47489057352026</c:v>
                </c:pt>
                <c:pt idx="513">
                  <c:v>105.63217857374617</c:v>
                </c:pt>
                <c:pt idx="514">
                  <c:v>105.72226082903936</c:v>
                </c:pt>
                <c:pt idx="515">
                  <c:v>105.73446597205587</c:v>
                </c:pt>
                <c:pt idx="516">
                  <c:v>105.72924215344838</c:v>
                </c:pt>
                <c:pt idx="517">
                  <c:v>105.69184065160822</c:v>
                </c:pt>
                <c:pt idx="518">
                  <c:v>105.74000508082216</c:v>
                </c:pt>
                <c:pt idx="519">
                  <c:v>105.68022448951014</c:v>
                </c:pt>
                <c:pt idx="520">
                  <c:v>105.60113061596377</c:v>
                </c:pt>
                <c:pt idx="521">
                  <c:v>105.67289971461902</c:v>
                </c:pt>
                <c:pt idx="522">
                  <c:v>105.69176187666787</c:v>
                </c:pt>
                <c:pt idx="523">
                  <c:v>105.67054857260493</c:v>
                </c:pt>
                <c:pt idx="524">
                  <c:v>105.64380333235889</c:v>
                </c:pt>
                <c:pt idx="525">
                  <c:v>105.64847225963094</c:v>
                </c:pt>
                <c:pt idx="526">
                  <c:v>105.62243101942239</c:v>
                </c:pt>
                <c:pt idx="527">
                  <c:v>105.60620798234353</c:v>
                </c:pt>
                <c:pt idx="528">
                  <c:v>105.57340240172502</c:v>
                </c:pt>
                <c:pt idx="529">
                  <c:v>105.58034808827693</c:v>
                </c:pt>
                <c:pt idx="530">
                  <c:v>105.60155253422433</c:v>
                </c:pt>
                <c:pt idx="531">
                  <c:v>105.59731354340347</c:v>
                </c:pt>
                <c:pt idx="532">
                  <c:v>105.550812992299</c:v>
                </c:pt>
                <c:pt idx="533">
                  <c:v>105.57270671886232</c:v>
                </c:pt>
                <c:pt idx="534">
                  <c:v>105.57161605138711</c:v>
                </c:pt>
                <c:pt idx="535">
                  <c:v>105.54491690804771</c:v>
                </c:pt>
                <c:pt idx="536">
                  <c:v>105.5352657482491</c:v>
                </c:pt>
                <c:pt idx="537">
                  <c:v>105.54567211979284</c:v>
                </c:pt>
                <c:pt idx="538">
                  <c:v>105.54930628545992</c:v>
                </c:pt>
                <c:pt idx="539">
                  <c:v>105.56449930139792</c:v>
                </c:pt>
                <c:pt idx="540">
                  <c:v>105.56099210450601</c:v>
                </c:pt>
                <c:pt idx="541">
                  <c:v>105.54171529954527</c:v>
                </c:pt>
                <c:pt idx="542">
                  <c:v>105.35354986262639</c:v>
                </c:pt>
                <c:pt idx="543">
                  <c:v>105.35224408837765</c:v>
                </c:pt>
                <c:pt idx="544">
                  <c:v>105.3555946050888</c:v>
                </c:pt>
                <c:pt idx="545">
                  <c:v>105.36064654522248</c:v>
                </c:pt>
                <c:pt idx="546">
                  <c:v>105.36932898932046</c:v>
                </c:pt>
                <c:pt idx="547">
                  <c:v>105.35271680825664</c:v>
                </c:pt>
                <c:pt idx="548">
                  <c:v>105.34482013340305</c:v>
                </c:pt>
                <c:pt idx="549">
                  <c:v>105.33483456852018</c:v>
                </c:pt>
                <c:pt idx="550">
                  <c:v>105.31231383266197</c:v>
                </c:pt>
                <c:pt idx="551">
                  <c:v>105.32013618959813</c:v>
                </c:pt>
                <c:pt idx="552">
                  <c:v>105.35325359566831</c:v>
                </c:pt>
                <c:pt idx="553">
                  <c:v>105.38214079299941</c:v>
                </c:pt>
                <c:pt idx="554">
                  <c:v>105.38482957821977</c:v>
                </c:pt>
                <c:pt idx="555">
                  <c:v>105.4109601578226</c:v>
                </c:pt>
                <c:pt idx="556">
                  <c:v>105.46969495015071</c:v>
                </c:pt>
                <c:pt idx="557">
                  <c:v>105.51145785396152</c:v>
                </c:pt>
                <c:pt idx="558">
                  <c:v>105.56485633317367</c:v>
                </c:pt>
                <c:pt idx="559">
                  <c:v>105.5311443937218</c:v>
                </c:pt>
                <c:pt idx="560">
                  <c:v>105.38681414034572</c:v>
                </c:pt>
                <c:pt idx="561">
                  <c:v>105.32788287255028</c:v>
                </c:pt>
                <c:pt idx="562">
                  <c:v>105.37225517764348</c:v>
                </c:pt>
                <c:pt idx="563">
                  <c:v>105.46055912062987</c:v>
                </c:pt>
                <c:pt idx="564">
                  <c:v>105.54992020200972</c:v>
                </c:pt>
                <c:pt idx="565">
                  <c:v>105.46377989392101</c:v>
                </c:pt>
                <c:pt idx="566">
                  <c:v>105.4800173610498</c:v>
                </c:pt>
                <c:pt idx="567">
                  <c:v>105.51698924830247</c:v>
                </c:pt>
                <c:pt idx="568">
                  <c:v>105.47497211460286</c:v>
                </c:pt>
                <c:pt idx="569">
                  <c:v>105.41677273039113</c:v>
                </c:pt>
                <c:pt idx="570">
                  <c:v>105.38305690876052</c:v>
                </c:pt>
                <c:pt idx="571">
                  <c:v>105.36215615144582</c:v>
                </c:pt>
                <c:pt idx="572">
                  <c:v>105.35829093071831</c:v>
                </c:pt>
                <c:pt idx="573">
                  <c:v>105.39299606543663</c:v>
                </c:pt>
                <c:pt idx="574">
                  <c:v>105.37128349747181</c:v>
                </c:pt>
                <c:pt idx="575">
                  <c:v>105.33449737151153</c:v>
                </c:pt>
                <c:pt idx="576">
                  <c:v>105.48125531032281</c:v>
                </c:pt>
                <c:pt idx="577">
                  <c:v>105.48416159499172</c:v>
                </c:pt>
                <c:pt idx="578">
                  <c:v>105.46489063724904</c:v>
                </c:pt>
                <c:pt idx="579">
                  <c:v>105.45802144263595</c:v>
                </c:pt>
                <c:pt idx="580">
                  <c:v>105.44537594279399</c:v>
                </c:pt>
                <c:pt idx="581">
                  <c:v>105.47006279257789</c:v>
                </c:pt>
                <c:pt idx="582">
                  <c:v>105.47665668291459</c:v>
                </c:pt>
                <c:pt idx="583">
                  <c:v>105.48684713799967</c:v>
                </c:pt>
                <c:pt idx="584">
                  <c:v>105.51672012019181</c:v>
                </c:pt>
                <c:pt idx="585">
                  <c:v>105.53292348086853</c:v>
                </c:pt>
                <c:pt idx="586">
                  <c:v>105.51315563755547</c:v>
                </c:pt>
                <c:pt idx="587">
                  <c:v>105.57358350334084</c:v>
                </c:pt>
                <c:pt idx="588">
                  <c:v>105.56280203477159</c:v>
                </c:pt>
                <c:pt idx="589">
                  <c:v>105.55475658473436</c:v>
                </c:pt>
                <c:pt idx="590">
                  <c:v>105.55752275753531</c:v>
                </c:pt>
                <c:pt idx="591">
                  <c:v>105.55562773295438</c:v>
                </c:pt>
                <c:pt idx="592">
                  <c:v>105.57048472683817</c:v>
                </c:pt>
                <c:pt idx="593">
                  <c:v>105.56796148156238</c:v>
                </c:pt>
                <c:pt idx="594">
                  <c:v>105.55227766802292</c:v>
                </c:pt>
                <c:pt idx="595">
                  <c:v>105.50849459948581</c:v>
                </c:pt>
                <c:pt idx="596">
                  <c:v>105.50346017381402</c:v>
                </c:pt>
                <c:pt idx="597">
                  <c:v>105.52059865349952</c:v>
                </c:pt>
                <c:pt idx="598">
                  <c:v>105.51896776198119</c:v>
                </c:pt>
                <c:pt idx="599">
                  <c:v>105.47060380669275</c:v>
                </c:pt>
                <c:pt idx="600">
                  <c:v>105.49332339398592</c:v>
                </c:pt>
                <c:pt idx="601">
                  <c:v>105.49510937018219</c:v>
                </c:pt>
                <c:pt idx="602">
                  <c:v>105.47661176345009</c:v>
                </c:pt>
                <c:pt idx="603">
                  <c:v>105.44262919518854</c:v>
                </c:pt>
                <c:pt idx="604">
                  <c:v>105.4432104098682</c:v>
                </c:pt>
                <c:pt idx="605">
                  <c:v>105.45352714846422</c:v>
                </c:pt>
                <c:pt idx="606">
                  <c:v>105.49225510941672</c:v>
                </c:pt>
                <c:pt idx="607">
                  <c:v>105.54059412058501</c:v>
                </c:pt>
                <c:pt idx="608">
                  <c:v>105.6011249648586</c:v>
                </c:pt>
                <c:pt idx="609">
                  <c:v>105.5767524278336</c:v>
                </c:pt>
                <c:pt idx="610">
                  <c:v>105.61454820300044</c:v>
                </c:pt>
                <c:pt idx="611">
                  <c:v>105.71480290530334</c:v>
                </c:pt>
                <c:pt idx="612">
                  <c:v>105.78545364903236</c:v>
                </c:pt>
                <c:pt idx="613">
                  <c:v>105.81025024881109</c:v>
                </c:pt>
                <c:pt idx="614">
                  <c:v>105.72420456825822</c:v>
                </c:pt>
                <c:pt idx="615">
                  <c:v>105.6399214629317</c:v>
                </c:pt>
                <c:pt idx="616">
                  <c:v>105.61809976249249</c:v>
                </c:pt>
                <c:pt idx="617">
                  <c:v>105.65990833493589</c:v>
                </c:pt>
                <c:pt idx="618">
                  <c:v>105.72782076529725</c:v>
                </c:pt>
                <c:pt idx="619">
                  <c:v>105.71738736926902</c:v>
                </c:pt>
                <c:pt idx="620">
                  <c:v>105.75016096873446</c:v>
                </c:pt>
                <c:pt idx="621">
                  <c:v>105.73573605715541</c:v>
                </c:pt>
                <c:pt idx="622">
                  <c:v>105.71291087446532</c:v>
                </c:pt>
                <c:pt idx="623">
                  <c:v>105.67751155388738</c:v>
                </c:pt>
                <c:pt idx="624">
                  <c:v>105.66424208559184</c:v>
                </c:pt>
                <c:pt idx="625">
                  <c:v>105.68131134404634</c:v>
                </c:pt>
                <c:pt idx="626">
                  <c:v>105.69483153936989</c:v>
                </c:pt>
                <c:pt idx="627">
                  <c:v>105.63499059983124</c:v>
                </c:pt>
                <c:pt idx="628">
                  <c:v>105.61364306290534</c:v>
                </c:pt>
                <c:pt idx="629">
                  <c:v>105.63737100049458</c:v>
                </c:pt>
                <c:pt idx="630">
                  <c:v>105.61354177590238</c:v>
                </c:pt>
                <c:pt idx="631">
                  <c:v>105.58296219078478</c:v>
                </c:pt>
                <c:pt idx="632">
                  <c:v>105.56267838807241</c:v>
                </c:pt>
                <c:pt idx="633">
                  <c:v>105.58603524222227</c:v>
                </c:pt>
                <c:pt idx="634">
                  <c:v>105.58210866869091</c:v>
                </c:pt>
                <c:pt idx="635">
                  <c:v>105.58613308481667</c:v>
                </c:pt>
                <c:pt idx="636">
                  <c:v>105.59065417854757</c:v>
                </c:pt>
                <c:pt idx="637">
                  <c:v>105.59558365560106</c:v>
                </c:pt>
                <c:pt idx="638">
                  <c:v>105.58443596925484</c:v>
                </c:pt>
                <c:pt idx="639">
                  <c:v>105.60371109084848</c:v>
                </c:pt>
                <c:pt idx="640">
                  <c:v>105.59773725331573</c:v>
                </c:pt>
                <c:pt idx="641">
                  <c:v>105.59777011992986</c:v>
                </c:pt>
                <c:pt idx="642">
                  <c:v>105.61462520833005</c:v>
                </c:pt>
                <c:pt idx="643">
                  <c:v>105.61284280196229</c:v>
                </c:pt>
                <c:pt idx="644">
                  <c:v>105.62529535933531</c:v>
                </c:pt>
                <c:pt idx="645">
                  <c:v>105.63264233378371</c:v>
                </c:pt>
                <c:pt idx="646">
                  <c:v>105.39511447496675</c:v>
                </c:pt>
                <c:pt idx="647">
                  <c:v>105.36921295582688</c:v>
                </c:pt>
                <c:pt idx="648">
                  <c:v>105.38867087398843</c:v>
                </c:pt>
                <c:pt idx="649">
                  <c:v>105.3979292673633</c:v>
                </c:pt>
                <c:pt idx="650">
                  <c:v>105.37069224774338</c:v>
                </c:pt>
                <c:pt idx="651">
                  <c:v>105.35304025756518</c:v>
                </c:pt>
                <c:pt idx="652">
                  <c:v>105.35244546910387</c:v>
                </c:pt>
                <c:pt idx="653">
                  <c:v>105.33067231235482</c:v>
                </c:pt>
                <c:pt idx="654">
                  <c:v>105.28013229679641</c:v>
                </c:pt>
                <c:pt idx="655">
                  <c:v>105.29309222362664</c:v>
                </c:pt>
                <c:pt idx="656">
                  <c:v>105.29038818886804</c:v>
                </c:pt>
                <c:pt idx="657">
                  <c:v>105.31564313010612</c:v>
                </c:pt>
                <c:pt idx="658">
                  <c:v>105.43142144164881</c:v>
                </c:pt>
                <c:pt idx="659">
                  <c:v>105.47499503247717</c:v>
                </c:pt>
                <c:pt idx="660">
                  <c:v>105.35172009791604</c:v>
                </c:pt>
                <c:pt idx="661">
                  <c:v>105.36786344488746</c:v>
                </c:pt>
                <c:pt idx="662">
                  <c:v>105.44499240452815</c:v>
                </c:pt>
                <c:pt idx="663">
                  <c:v>105.44237756863508</c:v>
                </c:pt>
                <c:pt idx="664">
                  <c:v>105.45232230888831</c:v>
                </c:pt>
                <c:pt idx="665">
                  <c:v>105.49326339405133</c:v>
                </c:pt>
                <c:pt idx="666">
                  <c:v>105.41586758628361</c:v>
                </c:pt>
                <c:pt idx="667">
                  <c:v>105.44148720904194</c:v>
                </c:pt>
                <c:pt idx="668">
                  <c:v>105.38957500077819</c:v>
                </c:pt>
                <c:pt idx="669">
                  <c:v>105.3918378958862</c:v>
                </c:pt>
                <c:pt idx="670">
                  <c:v>105.44727073805835</c:v>
                </c:pt>
                <c:pt idx="671">
                  <c:v>105.45102842480962</c:v>
                </c:pt>
                <c:pt idx="672">
                  <c:v>105.40980265827629</c:v>
                </c:pt>
                <c:pt idx="673">
                  <c:v>105.46498829010373</c:v>
                </c:pt>
                <c:pt idx="674">
                  <c:v>105.47860314481994</c:v>
                </c:pt>
                <c:pt idx="675">
                  <c:v>105.40000360954208</c:v>
                </c:pt>
                <c:pt idx="676">
                  <c:v>105.38694326829832</c:v>
                </c:pt>
                <c:pt idx="677">
                  <c:v>105.38499307307799</c:v>
                </c:pt>
                <c:pt idx="678">
                  <c:v>105.30822886442301</c:v>
                </c:pt>
                <c:pt idx="679">
                  <c:v>105.27736964252561</c:v>
                </c:pt>
                <c:pt idx="680">
                  <c:v>105.40446877858875</c:v>
                </c:pt>
                <c:pt idx="681">
                  <c:v>105.42556275092511</c:v>
                </c:pt>
                <c:pt idx="682">
                  <c:v>105.42044564606866</c:v>
                </c:pt>
                <c:pt idx="683">
                  <c:v>105.40435954474101</c:v>
                </c:pt>
                <c:pt idx="684">
                  <c:v>105.40776760768065</c:v>
                </c:pt>
                <c:pt idx="685">
                  <c:v>105.43196658422821</c:v>
                </c:pt>
                <c:pt idx="686">
                  <c:v>105.41907751268302</c:v>
                </c:pt>
                <c:pt idx="687">
                  <c:v>105.442058885991</c:v>
                </c:pt>
                <c:pt idx="688">
                  <c:v>105.47579576214737</c:v>
                </c:pt>
                <c:pt idx="689">
                  <c:v>105.47363037974083</c:v>
                </c:pt>
                <c:pt idx="690">
                  <c:v>105.46341963483592</c:v>
                </c:pt>
                <c:pt idx="691">
                  <c:v>105.52789994615547</c:v>
                </c:pt>
                <c:pt idx="692">
                  <c:v>105.53348182549578</c:v>
                </c:pt>
                <c:pt idx="693">
                  <c:v>105.54715426372852</c:v>
                </c:pt>
                <c:pt idx="694">
                  <c:v>105.56066331141676</c:v>
                </c:pt>
                <c:pt idx="695">
                  <c:v>105.58414556133606</c:v>
                </c:pt>
                <c:pt idx="696">
                  <c:v>105.60123460040309</c:v>
                </c:pt>
                <c:pt idx="697">
                  <c:v>105.61183998750842</c:v>
                </c:pt>
                <c:pt idx="698">
                  <c:v>105.60580100683576</c:v>
                </c:pt>
                <c:pt idx="699">
                  <c:v>105.56517461634893</c:v>
                </c:pt>
                <c:pt idx="700">
                  <c:v>105.53695118885258</c:v>
                </c:pt>
                <c:pt idx="701">
                  <c:v>105.52850454830234</c:v>
                </c:pt>
                <c:pt idx="702">
                  <c:v>105.53519040346487</c:v>
                </c:pt>
                <c:pt idx="703">
                  <c:v>105.491713900406</c:v>
                </c:pt>
                <c:pt idx="704">
                  <c:v>105.48663336738159</c:v>
                </c:pt>
                <c:pt idx="705">
                  <c:v>105.4763830435535</c:v>
                </c:pt>
                <c:pt idx="706">
                  <c:v>105.47337574810352</c:v>
                </c:pt>
                <c:pt idx="707">
                  <c:v>105.46397506448102</c:v>
                </c:pt>
                <c:pt idx="708">
                  <c:v>105.45126648404708</c:v>
                </c:pt>
                <c:pt idx="709">
                  <c:v>105.47087786299964</c:v>
                </c:pt>
                <c:pt idx="710">
                  <c:v>105.42961141615432</c:v>
                </c:pt>
                <c:pt idx="711">
                  <c:v>105.4424491346643</c:v>
                </c:pt>
                <c:pt idx="712">
                  <c:v>105.51995639661995</c:v>
                </c:pt>
                <c:pt idx="713">
                  <c:v>105.58261250887534</c:v>
                </c:pt>
                <c:pt idx="714">
                  <c:v>105.60194002434008</c:v>
                </c:pt>
                <c:pt idx="715">
                  <c:v>105.60749840289176</c:v>
                </c:pt>
                <c:pt idx="716">
                  <c:v>105.64825794003997</c:v>
                </c:pt>
                <c:pt idx="717">
                  <c:v>105.56221162887387</c:v>
                </c:pt>
                <c:pt idx="718">
                  <c:v>105.58185044835398</c:v>
                </c:pt>
                <c:pt idx="719">
                  <c:v>105.61581901139252</c:v>
                </c:pt>
                <c:pt idx="720">
                  <c:v>105.57708456931907</c:v>
                </c:pt>
                <c:pt idx="721">
                  <c:v>105.65026838670833</c:v>
                </c:pt>
                <c:pt idx="722">
                  <c:v>105.69633448231635</c:v>
                </c:pt>
                <c:pt idx="723">
                  <c:v>105.62046986816658</c:v>
                </c:pt>
                <c:pt idx="724">
                  <c:v>105.60325540645124</c:v>
                </c:pt>
                <c:pt idx="725">
                  <c:v>105.60612575542329</c:v>
                </c:pt>
                <c:pt idx="726">
                  <c:v>105.63428577023231</c:v>
                </c:pt>
                <c:pt idx="727">
                  <c:v>105.73275869645812</c:v>
                </c:pt>
                <c:pt idx="728">
                  <c:v>105.70773666755005</c:v>
                </c:pt>
                <c:pt idx="729">
                  <c:v>105.65076488701017</c:v>
                </c:pt>
                <c:pt idx="730">
                  <c:v>105.64064842427001</c:v>
                </c:pt>
                <c:pt idx="731">
                  <c:v>105.5819930442419</c:v>
                </c:pt>
                <c:pt idx="732">
                  <c:v>105.50177647841177</c:v>
                </c:pt>
                <c:pt idx="733">
                  <c:v>105.5197248652216</c:v>
                </c:pt>
                <c:pt idx="734">
                  <c:v>105.55207834141474</c:v>
                </c:pt>
                <c:pt idx="735">
                  <c:v>105.58758281249013</c:v>
                </c:pt>
                <c:pt idx="736">
                  <c:v>105.58408118765269</c:v>
                </c:pt>
                <c:pt idx="737">
                  <c:v>105.57261937934547</c:v>
                </c:pt>
                <c:pt idx="738">
                  <c:v>105.55476980078586</c:v>
                </c:pt>
                <c:pt idx="739">
                  <c:v>105.52009685683761</c:v>
                </c:pt>
                <c:pt idx="740">
                  <c:v>105.5377635318264</c:v>
                </c:pt>
                <c:pt idx="741">
                  <c:v>105.53561591897348</c:v>
                </c:pt>
                <c:pt idx="742">
                  <c:v>105.52774315741637</c:v>
                </c:pt>
                <c:pt idx="743">
                  <c:v>105.5201877118625</c:v>
                </c:pt>
                <c:pt idx="744">
                  <c:v>105.51446908688092</c:v>
                </c:pt>
                <c:pt idx="745">
                  <c:v>105.53825162874848</c:v>
                </c:pt>
                <c:pt idx="746">
                  <c:v>105.56546877797545</c:v>
                </c:pt>
                <c:pt idx="747">
                  <c:v>105.56599828989786</c:v>
                </c:pt>
                <c:pt idx="748">
                  <c:v>105.56624870823447</c:v>
                </c:pt>
                <c:pt idx="749">
                  <c:v>105.56878198492211</c:v>
                </c:pt>
                <c:pt idx="750">
                  <c:v>105.40025619896544</c:v>
                </c:pt>
                <c:pt idx="751">
                  <c:v>105.36681445639805</c:v>
                </c:pt>
                <c:pt idx="752">
                  <c:v>105.38147568152442</c:v>
                </c:pt>
                <c:pt idx="753">
                  <c:v>105.39160802466961</c:v>
                </c:pt>
                <c:pt idx="754">
                  <c:v>105.38037847470912</c:v>
                </c:pt>
                <c:pt idx="755">
                  <c:v>105.38890416746548</c:v>
                </c:pt>
                <c:pt idx="756">
                  <c:v>105.37733171348323</c:v>
                </c:pt>
                <c:pt idx="757">
                  <c:v>105.36235551742797</c:v>
                </c:pt>
                <c:pt idx="758">
                  <c:v>105.35323827115242</c:v>
                </c:pt>
                <c:pt idx="759">
                  <c:v>105.39285332188564</c:v>
                </c:pt>
                <c:pt idx="760">
                  <c:v>105.43375008375472</c:v>
                </c:pt>
                <c:pt idx="761">
                  <c:v>105.46970501090972</c:v>
                </c:pt>
                <c:pt idx="762">
                  <c:v>105.48120559689048</c:v>
                </c:pt>
                <c:pt idx="763">
                  <c:v>105.38896229574529</c:v>
                </c:pt>
                <c:pt idx="764">
                  <c:v>105.42835017280204</c:v>
                </c:pt>
                <c:pt idx="765">
                  <c:v>105.46013077611654</c:v>
                </c:pt>
                <c:pt idx="766">
                  <c:v>105.39679205379139</c:v>
                </c:pt>
                <c:pt idx="767">
                  <c:v>105.47674325834971</c:v>
                </c:pt>
                <c:pt idx="768">
                  <c:v>105.50822791364388</c:v>
                </c:pt>
                <c:pt idx="769">
                  <c:v>105.53121345518302</c:v>
                </c:pt>
                <c:pt idx="770">
                  <c:v>105.47180002801143</c:v>
                </c:pt>
                <c:pt idx="771">
                  <c:v>105.50189980725358</c:v>
                </c:pt>
                <c:pt idx="772">
                  <c:v>105.54940914380762</c:v>
                </c:pt>
                <c:pt idx="773">
                  <c:v>105.54151966554912</c:v>
                </c:pt>
                <c:pt idx="774">
                  <c:v>105.46468604755164</c:v>
                </c:pt>
                <c:pt idx="775">
                  <c:v>105.43836657763531</c:v>
                </c:pt>
                <c:pt idx="776">
                  <c:v>105.44947154525971</c:v>
                </c:pt>
                <c:pt idx="777">
                  <c:v>105.4448640789107</c:v>
                </c:pt>
                <c:pt idx="778">
                  <c:v>105.47467899490303</c:v>
                </c:pt>
                <c:pt idx="779">
                  <c:v>105.47025002080322</c:v>
                </c:pt>
                <c:pt idx="780">
                  <c:v>105.43664003693863</c:v>
                </c:pt>
                <c:pt idx="781">
                  <c:v>105.43831202642932</c:v>
                </c:pt>
                <c:pt idx="782">
                  <c:v>105.39127684718281</c:v>
                </c:pt>
                <c:pt idx="783">
                  <c:v>105.53786770494956</c:v>
                </c:pt>
                <c:pt idx="784">
                  <c:v>105.47799766980452</c:v>
                </c:pt>
                <c:pt idx="785">
                  <c:v>105.50790365906605</c:v>
                </c:pt>
                <c:pt idx="786">
                  <c:v>105.52108228197646</c:v>
                </c:pt>
                <c:pt idx="787">
                  <c:v>105.54620467198863</c:v>
                </c:pt>
                <c:pt idx="788">
                  <c:v>105.55643225115513</c:v>
                </c:pt>
                <c:pt idx="789">
                  <c:v>105.54895342790614</c:v>
                </c:pt>
                <c:pt idx="790">
                  <c:v>105.53132213737456</c:v>
                </c:pt>
                <c:pt idx="791">
                  <c:v>105.55339133444204</c:v>
                </c:pt>
                <c:pt idx="792">
                  <c:v>105.55350020260495</c:v>
                </c:pt>
                <c:pt idx="793">
                  <c:v>105.54182361794959</c:v>
                </c:pt>
                <c:pt idx="794">
                  <c:v>105.60960174073931</c:v>
                </c:pt>
                <c:pt idx="795">
                  <c:v>105.60868983168834</c:v>
                </c:pt>
                <c:pt idx="796">
                  <c:v>105.60595463801161</c:v>
                </c:pt>
                <c:pt idx="797">
                  <c:v>105.62097585101401</c:v>
                </c:pt>
                <c:pt idx="798">
                  <c:v>105.63316307109181</c:v>
                </c:pt>
                <c:pt idx="799">
                  <c:v>105.63925707509895</c:v>
                </c:pt>
                <c:pt idx="800">
                  <c:v>105.64680091745181</c:v>
                </c:pt>
                <c:pt idx="801">
                  <c:v>105.64223238838274</c:v>
                </c:pt>
                <c:pt idx="802">
                  <c:v>105.65360656912623</c:v>
                </c:pt>
                <c:pt idx="803">
                  <c:v>105.66197736456056</c:v>
                </c:pt>
                <c:pt idx="804">
                  <c:v>105.65326717154743</c:v>
                </c:pt>
                <c:pt idx="805">
                  <c:v>105.6795793677947</c:v>
                </c:pt>
                <c:pt idx="806">
                  <c:v>105.73521668357424</c:v>
                </c:pt>
                <c:pt idx="807">
                  <c:v>105.73615727520614</c:v>
                </c:pt>
                <c:pt idx="808">
                  <c:v>105.76222981010515</c:v>
                </c:pt>
                <c:pt idx="809">
                  <c:v>105.76000700527277</c:v>
                </c:pt>
                <c:pt idx="810">
                  <c:v>105.79525187236725</c:v>
                </c:pt>
                <c:pt idx="811">
                  <c:v>105.79784813292942</c:v>
                </c:pt>
                <c:pt idx="812">
                  <c:v>105.81436606608447</c:v>
                </c:pt>
                <c:pt idx="813">
                  <c:v>105.84500806022143</c:v>
                </c:pt>
                <c:pt idx="814">
                  <c:v>105.86700886950219</c:v>
                </c:pt>
                <c:pt idx="815">
                  <c:v>105.84589744042597</c:v>
                </c:pt>
                <c:pt idx="816">
                  <c:v>105.83953582941493</c:v>
                </c:pt>
                <c:pt idx="817">
                  <c:v>105.7791943666039</c:v>
                </c:pt>
                <c:pt idx="818">
                  <c:v>105.76882790171248</c:v>
                </c:pt>
                <c:pt idx="819">
                  <c:v>105.74998574696791</c:v>
                </c:pt>
                <c:pt idx="820">
                  <c:v>105.70493953864879</c:v>
                </c:pt>
                <c:pt idx="821">
                  <c:v>105.72892783755238</c:v>
                </c:pt>
                <c:pt idx="822">
                  <c:v>105.72079116900152</c:v>
                </c:pt>
                <c:pt idx="823">
                  <c:v>105.73387819406705</c:v>
                </c:pt>
                <c:pt idx="824">
                  <c:v>105.77969803358016</c:v>
                </c:pt>
                <c:pt idx="825">
                  <c:v>105.8102576160547</c:v>
                </c:pt>
                <c:pt idx="826">
                  <c:v>105.73695587109466</c:v>
                </c:pt>
                <c:pt idx="827">
                  <c:v>105.7159655700459</c:v>
                </c:pt>
                <c:pt idx="828">
                  <c:v>105.6752670834733</c:v>
                </c:pt>
                <c:pt idx="829">
                  <c:v>105.66176142580248</c:v>
                </c:pt>
                <c:pt idx="830">
                  <c:v>105.72728395850194</c:v>
                </c:pt>
                <c:pt idx="831">
                  <c:v>105.65756289917292</c:v>
                </c:pt>
                <c:pt idx="832">
                  <c:v>105.61791632484268</c:v>
                </c:pt>
                <c:pt idx="833">
                  <c:v>105.60191087711101</c:v>
                </c:pt>
                <c:pt idx="834">
                  <c:v>105.56474678196106</c:v>
                </c:pt>
                <c:pt idx="835">
                  <c:v>105.58700939072676</c:v>
                </c:pt>
                <c:pt idx="836">
                  <c:v>105.60763484865296</c:v>
                </c:pt>
                <c:pt idx="837">
                  <c:v>105.56788928443851</c:v>
                </c:pt>
                <c:pt idx="838">
                  <c:v>105.5447767343539</c:v>
                </c:pt>
                <c:pt idx="839">
                  <c:v>105.52864890098347</c:v>
                </c:pt>
                <c:pt idx="840">
                  <c:v>105.55125325051668</c:v>
                </c:pt>
                <c:pt idx="841">
                  <c:v>105.56205570813393</c:v>
                </c:pt>
                <c:pt idx="842">
                  <c:v>105.58933731579053</c:v>
                </c:pt>
                <c:pt idx="843">
                  <c:v>105.54645373539581</c:v>
                </c:pt>
                <c:pt idx="844">
                  <c:v>105.53606709167087</c:v>
                </c:pt>
                <c:pt idx="845">
                  <c:v>105.54167362770588</c:v>
                </c:pt>
                <c:pt idx="846">
                  <c:v>105.57211262201561</c:v>
                </c:pt>
                <c:pt idx="847">
                  <c:v>105.59019466464626</c:v>
                </c:pt>
                <c:pt idx="848">
                  <c:v>105.6022148976231</c:v>
                </c:pt>
                <c:pt idx="849">
                  <c:v>105.61274877042301</c:v>
                </c:pt>
                <c:pt idx="850">
                  <c:v>105.61097387884521</c:v>
                </c:pt>
                <c:pt idx="851">
                  <c:v>105.5918684581388</c:v>
                </c:pt>
                <c:pt idx="852">
                  <c:v>105.60265376188936</c:v>
                </c:pt>
                <c:pt idx="853">
                  <c:v>105.59064281689875</c:v>
                </c:pt>
                <c:pt idx="854">
                  <c:v>105.46182791468351</c:v>
                </c:pt>
                <c:pt idx="855">
                  <c:v>105.44718287377333</c:v>
                </c:pt>
                <c:pt idx="856">
                  <c:v>105.42220270818591</c:v>
                </c:pt>
                <c:pt idx="857">
                  <c:v>105.40175222785882</c:v>
                </c:pt>
                <c:pt idx="858">
                  <c:v>105.40843254510396</c:v>
                </c:pt>
                <c:pt idx="859">
                  <c:v>105.46401917265673</c:v>
                </c:pt>
                <c:pt idx="860">
                  <c:v>105.42642683827192</c:v>
                </c:pt>
                <c:pt idx="861">
                  <c:v>105.3770896824402</c:v>
                </c:pt>
                <c:pt idx="862">
                  <c:v>105.28820113583787</c:v>
                </c:pt>
                <c:pt idx="863">
                  <c:v>105.2443740514919</c:v>
                </c:pt>
                <c:pt idx="864">
                  <c:v>105.14003467435687</c:v>
                </c:pt>
                <c:pt idx="865">
                  <c:v>104.97755088975937</c:v>
                </c:pt>
                <c:pt idx="866">
                  <c:v>104.83220744740042</c:v>
                </c:pt>
                <c:pt idx="867">
                  <c:v>104.63220812608085</c:v>
                </c:pt>
                <c:pt idx="868">
                  <c:v>104.49741470964973</c:v>
                </c:pt>
                <c:pt idx="869">
                  <c:v>104.34538948092235</c:v>
                </c:pt>
                <c:pt idx="870">
                  <c:v>104.13932539922637</c:v>
                </c:pt>
                <c:pt idx="871">
                  <c:v>103.97553424616012</c:v>
                </c:pt>
                <c:pt idx="872">
                  <c:v>103.80616101321375</c:v>
                </c:pt>
                <c:pt idx="873">
                  <c:v>103.64282953911982</c:v>
                </c:pt>
                <c:pt idx="874">
                  <c:v>103.44435855659654</c:v>
                </c:pt>
                <c:pt idx="875">
                  <c:v>103.27413771319829</c:v>
                </c:pt>
                <c:pt idx="876">
                  <c:v>103.04494823662243</c:v>
                </c:pt>
                <c:pt idx="877">
                  <c:v>102.71300405101923</c:v>
                </c:pt>
                <c:pt idx="878">
                  <c:v>102.39771413653794</c:v>
                </c:pt>
                <c:pt idx="879">
                  <c:v>102.04462631922713</c:v>
                </c:pt>
                <c:pt idx="880">
                  <c:v>101.67851398082013</c:v>
                </c:pt>
                <c:pt idx="881">
                  <c:v>101.31036350589137</c:v>
                </c:pt>
                <c:pt idx="882">
                  <c:v>101.00359048413905</c:v>
                </c:pt>
                <c:pt idx="883">
                  <c:v>100.70817625649893</c:v>
                </c:pt>
                <c:pt idx="884">
                  <c:v>100.41371660142822</c:v>
                </c:pt>
                <c:pt idx="885">
                  <c:v>100.16472224554308</c:v>
                </c:pt>
                <c:pt idx="886">
                  <c:v>99.893499775423706</c:v>
                </c:pt>
                <c:pt idx="887">
                  <c:v>99.590971146430789</c:v>
                </c:pt>
                <c:pt idx="888">
                  <c:v>99.313659915217329</c:v>
                </c:pt>
                <c:pt idx="889">
                  <c:v>99.038950233099101</c:v>
                </c:pt>
                <c:pt idx="890">
                  <c:v>98.78710443982412</c:v>
                </c:pt>
                <c:pt idx="891">
                  <c:v>98.532751334176453</c:v>
                </c:pt>
                <c:pt idx="892">
                  <c:v>98.286793033650852</c:v>
                </c:pt>
                <c:pt idx="893">
                  <c:v>98.023274740828725</c:v>
                </c:pt>
                <c:pt idx="894">
                  <c:v>97.759428945451916</c:v>
                </c:pt>
                <c:pt idx="895">
                  <c:v>97.503060989517365</c:v>
                </c:pt>
                <c:pt idx="896">
                  <c:v>97.24918180033545</c:v>
                </c:pt>
                <c:pt idx="897">
                  <c:v>96.992456394618102</c:v>
                </c:pt>
                <c:pt idx="898">
                  <c:v>96.751521418342463</c:v>
                </c:pt>
                <c:pt idx="899">
                  <c:v>96.515168060568939</c:v>
                </c:pt>
                <c:pt idx="900">
                  <c:v>96.276821753189253</c:v>
                </c:pt>
                <c:pt idx="901">
                  <c:v>96.015344611201925</c:v>
                </c:pt>
                <c:pt idx="902">
                  <c:v>95.802322668610032</c:v>
                </c:pt>
                <c:pt idx="903">
                  <c:v>95.634103002843588</c:v>
                </c:pt>
                <c:pt idx="904">
                  <c:v>95.443419160487522</c:v>
                </c:pt>
                <c:pt idx="905">
                  <c:v>95.260987367333868</c:v>
                </c:pt>
                <c:pt idx="906">
                  <c:v>95.106467738956454</c:v>
                </c:pt>
                <c:pt idx="907">
                  <c:v>95.002616004623434</c:v>
                </c:pt>
                <c:pt idx="908">
                  <c:v>94.918709616066067</c:v>
                </c:pt>
                <c:pt idx="909">
                  <c:v>94.796991896612084</c:v>
                </c:pt>
                <c:pt idx="910">
                  <c:v>94.70035876906816</c:v>
                </c:pt>
                <c:pt idx="911">
                  <c:v>94.632756282568522</c:v>
                </c:pt>
                <c:pt idx="912">
                  <c:v>94.561765984801198</c:v>
                </c:pt>
                <c:pt idx="913">
                  <c:v>94.345150789581311</c:v>
                </c:pt>
                <c:pt idx="914">
                  <c:v>94.253626213764051</c:v>
                </c:pt>
                <c:pt idx="915">
                  <c:v>94.210094718123941</c:v>
                </c:pt>
                <c:pt idx="916">
                  <c:v>94.112301941777702</c:v>
                </c:pt>
                <c:pt idx="917">
                  <c:v>93.923227115641055</c:v>
                </c:pt>
                <c:pt idx="918">
                  <c:v>93.907912479520505</c:v>
                </c:pt>
                <c:pt idx="919">
                  <c:v>93.861502731318836</c:v>
                </c:pt>
                <c:pt idx="920">
                  <c:v>93.743319901548816</c:v>
                </c:pt>
                <c:pt idx="921">
                  <c:v>93.612995067613198</c:v>
                </c:pt>
                <c:pt idx="922">
                  <c:v>93.27642172983073</c:v>
                </c:pt>
                <c:pt idx="923">
                  <c:v>93.142849964017458</c:v>
                </c:pt>
                <c:pt idx="924">
                  <c:v>92.978007982720825</c:v>
                </c:pt>
                <c:pt idx="925">
                  <c:v>92.796457222584152</c:v>
                </c:pt>
                <c:pt idx="926">
                  <c:v>92.602256399122751</c:v>
                </c:pt>
                <c:pt idx="927">
                  <c:v>92.121856591689422</c:v>
                </c:pt>
                <c:pt idx="928">
                  <c:v>91.882145127271428</c:v>
                </c:pt>
                <c:pt idx="929">
                  <c:v>91.623539854132162</c:v>
                </c:pt>
                <c:pt idx="930">
                  <c:v>91.368678536067648</c:v>
                </c:pt>
                <c:pt idx="931">
                  <c:v>91.086386489839526</c:v>
                </c:pt>
                <c:pt idx="932">
                  <c:v>90.464931806495386</c:v>
                </c:pt>
                <c:pt idx="933">
                  <c:v>90.144335147546045</c:v>
                </c:pt>
                <c:pt idx="934">
                  <c:v>89.808077119121322</c:v>
                </c:pt>
                <c:pt idx="935">
                  <c:v>89.448610223665042</c:v>
                </c:pt>
                <c:pt idx="936">
                  <c:v>89.052715578547208</c:v>
                </c:pt>
                <c:pt idx="937">
                  <c:v>88.652442047167597</c:v>
                </c:pt>
                <c:pt idx="938">
                  <c:v>87.855061961540656</c:v>
                </c:pt>
                <c:pt idx="939">
                  <c:v>87.427953121425489</c:v>
                </c:pt>
                <c:pt idx="940">
                  <c:v>87.009590312056957</c:v>
                </c:pt>
                <c:pt idx="941">
                  <c:v>86.578488879055143</c:v>
                </c:pt>
                <c:pt idx="942">
                  <c:v>86.16136087153204</c:v>
                </c:pt>
                <c:pt idx="943">
                  <c:v>85.723891972254307</c:v>
                </c:pt>
                <c:pt idx="944">
                  <c:v>85.290572414883485</c:v>
                </c:pt>
                <c:pt idx="945">
                  <c:v>84.8904198327415</c:v>
                </c:pt>
                <c:pt idx="946">
                  <c:v>84.497825393093919</c:v>
                </c:pt>
                <c:pt idx="947">
                  <c:v>84.115318731007648</c:v>
                </c:pt>
                <c:pt idx="948">
                  <c:v>83.485093124827145</c:v>
                </c:pt>
                <c:pt idx="949">
                  <c:v>83.168610968163179</c:v>
                </c:pt>
                <c:pt idx="950">
                  <c:v>82.849276044372104</c:v>
                </c:pt>
                <c:pt idx="951">
                  <c:v>82.568143663488584</c:v>
                </c:pt>
                <c:pt idx="952">
                  <c:v>82.344434083816466</c:v>
                </c:pt>
                <c:pt idx="953">
                  <c:v>82.141057872388529</c:v>
                </c:pt>
                <c:pt idx="954">
                  <c:v>81.932482500653975</c:v>
                </c:pt>
                <c:pt idx="955">
                  <c:v>81.790248906929321</c:v>
                </c:pt>
                <c:pt idx="956">
                  <c:v>81.622500122347589</c:v>
                </c:pt>
                <c:pt idx="957">
                  <c:v>81.404507490338304</c:v>
                </c:pt>
                <c:pt idx="958">
                  <c:v>81.333418356225039</c:v>
                </c:pt>
                <c:pt idx="959">
                  <c:v>81.327767401805744</c:v>
                </c:pt>
                <c:pt idx="960">
                  <c:v>81.251111079995724</c:v>
                </c:pt>
                <c:pt idx="961">
                  <c:v>81.101226015861855</c:v>
                </c:pt>
                <c:pt idx="962">
                  <c:v>81.048492406743065</c:v>
                </c:pt>
                <c:pt idx="963">
                  <c:v>81.001964347732539</c:v>
                </c:pt>
                <c:pt idx="964">
                  <c:v>80.970165129210628</c:v>
                </c:pt>
                <c:pt idx="965">
                  <c:v>80.940290207857771</c:v>
                </c:pt>
                <c:pt idx="966">
                  <c:v>80.918981147917052</c:v>
                </c:pt>
                <c:pt idx="967">
                  <c:v>80.90222883388229</c:v>
                </c:pt>
                <c:pt idx="968">
                  <c:v>80.873675361464578</c:v>
                </c:pt>
                <c:pt idx="969">
                  <c:v>80.852691215634366</c:v>
                </c:pt>
                <c:pt idx="970">
                  <c:v>80.899016655031943</c:v>
                </c:pt>
                <c:pt idx="971">
                  <c:v>80.962827310371836</c:v>
                </c:pt>
                <c:pt idx="972">
                  <c:v>81.006132239347693</c:v>
                </c:pt>
                <c:pt idx="973">
                  <c:v>81.041583967837269</c:v>
                </c:pt>
                <c:pt idx="974">
                  <c:v>81.101806392856773</c:v>
                </c:pt>
                <c:pt idx="975">
                  <c:v>81.153520687674487</c:v>
                </c:pt>
                <c:pt idx="976">
                  <c:v>81.184390723531465</c:v>
                </c:pt>
                <c:pt idx="977">
                  <c:v>81.196316269471865</c:v>
                </c:pt>
                <c:pt idx="978">
                  <c:v>81.202250725758319</c:v>
                </c:pt>
                <c:pt idx="979">
                  <c:v>81.190588202329963</c:v>
                </c:pt>
                <c:pt idx="980">
                  <c:v>81.157072097616876</c:v>
                </c:pt>
                <c:pt idx="981">
                  <c:v>81.110561794330835</c:v>
                </c:pt>
                <c:pt idx="982">
                  <c:v>81.053714350342375</c:v>
                </c:pt>
                <c:pt idx="983">
                  <c:v>80.994414849362258</c:v>
                </c:pt>
                <c:pt idx="984">
                  <c:v>80.937610337450707</c:v>
                </c:pt>
                <c:pt idx="985">
                  <c:v>80.876055346093651</c:v>
                </c:pt>
                <c:pt idx="986">
                  <c:v>80.811685673397776</c:v>
                </c:pt>
                <c:pt idx="987">
                  <c:v>80.78125618222748</c:v>
                </c:pt>
                <c:pt idx="988">
                  <c:v>80.754596588341954</c:v>
                </c:pt>
                <c:pt idx="989">
                  <c:v>80.743800684667903</c:v>
                </c:pt>
                <c:pt idx="990">
                  <c:v>80.770649121648773</c:v>
                </c:pt>
                <c:pt idx="991">
                  <c:v>80.812539911847693</c:v>
                </c:pt>
                <c:pt idx="992">
                  <c:v>80.865991204971422</c:v>
                </c:pt>
                <c:pt idx="993">
                  <c:v>80.953074642079969</c:v>
                </c:pt>
                <c:pt idx="994">
                  <c:v>81.069008390407177</c:v>
                </c:pt>
                <c:pt idx="995">
                  <c:v>81.204071978973971</c:v>
                </c:pt>
                <c:pt idx="996">
                  <c:v>81.295517416567918</c:v>
                </c:pt>
                <c:pt idx="997">
                  <c:v>81.376954706843051</c:v>
                </c:pt>
                <c:pt idx="998">
                  <c:v>81.550225561415871</c:v>
                </c:pt>
                <c:pt idx="999">
                  <c:v>82.030042646685459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8224"/>
        <c:axId val="572258768"/>
      </c:scatterChart>
      <c:valAx>
        <c:axId val="57225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768"/>
        <c:crosses val="autoZero"/>
        <c:crossBetween val="midCat"/>
      </c:valAx>
      <c:valAx>
        <c:axId val="5722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Diameter-Vectorial (mm)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7225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'zero-1'!$AD$1</c:f>
              <c:strCache>
                <c:ptCount val="1"/>
                <c:pt idx="0">
                  <c:v>zero-1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'zero-1'!$N$2:$N$1001</c:f>
              <c:numCache>
                <c:formatCode>General</c:formatCode>
                <c:ptCount val="1000"/>
                <c:pt idx="0">
                  <c:v>0</c:v>
                </c:pt>
                <c:pt idx="1">
                  <c:v>1.0900096075623056E-2</c:v>
                </c:pt>
                <c:pt idx="2">
                  <c:v>2.1800921951260554E-2</c:v>
                </c:pt>
                <c:pt idx="3">
                  <c:v>3.2666115100488891E-2</c:v>
                </c:pt>
                <c:pt idx="4">
                  <c:v>4.353098777416111E-2</c:v>
                </c:pt>
                <c:pt idx="5">
                  <c:v>5.4377006007074999E-2</c:v>
                </c:pt>
                <c:pt idx="6">
                  <c:v>6.5194651638525003E-2</c:v>
                </c:pt>
                <c:pt idx="7">
                  <c:v>7.6017639366727771E-2</c:v>
                </c:pt>
                <c:pt idx="8">
                  <c:v>8.6805214121002783E-2</c:v>
                </c:pt>
                <c:pt idx="9">
                  <c:v>9.7546399170538894E-2</c:v>
                </c:pt>
                <c:pt idx="10">
                  <c:v>0.10829091572358611</c:v>
                </c:pt>
                <c:pt idx="11">
                  <c:v>0.11902801097721388</c:v>
                </c:pt>
                <c:pt idx="12">
                  <c:v>0.12973708182497223</c:v>
                </c:pt>
                <c:pt idx="13">
                  <c:v>0.14045902178863889</c:v>
                </c:pt>
                <c:pt idx="14">
                  <c:v>0.15117370843629721</c:v>
                </c:pt>
                <c:pt idx="15">
                  <c:v>0.16189592744050557</c:v>
                </c:pt>
                <c:pt idx="16">
                  <c:v>0.17260423229046665</c:v>
                </c:pt>
                <c:pt idx="17">
                  <c:v>0.18331901414822221</c:v>
                </c:pt>
                <c:pt idx="18">
                  <c:v>0.19403399215287501</c:v>
                </c:pt>
                <c:pt idx="19">
                  <c:v>0.20474991914202501</c:v>
                </c:pt>
                <c:pt idx="20">
                  <c:v>0.2154742670372139</c:v>
                </c:pt>
                <c:pt idx="21">
                  <c:v>0.22620125803054444</c:v>
                </c:pt>
                <c:pt idx="22">
                  <c:v>0.23693406021998886</c:v>
                </c:pt>
                <c:pt idx="23">
                  <c:v>0.2476735067506361</c:v>
                </c:pt>
                <c:pt idx="24">
                  <c:v>0.25842229694434166</c:v>
                </c:pt>
                <c:pt idx="25">
                  <c:v>0.26917992947060554</c:v>
                </c:pt>
                <c:pt idx="26">
                  <c:v>0.27994501645569442</c:v>
                </c:pt>
                <c:pt idx="27">
                  <c:v>0.2907189767679722</c:v>
                </c:pt>
                <c:pt idx="28">
                  <c:v>0.3015014388886389</c:v>
                </c:pt>
                <c:pt idx="29">
                  <c:v>0.31229359164280557</c:v>
                </c:pt>
                <c:pt idx="30">
                  <c:v>0.32309523147280556</c:v>
                </c:pt>
                <c:pt idx="31">
                  <c:v>0.33390399056858333</c:v>
                </c:pt>
                <c:pt idx="32">
                  <c:v>0.34472139172650001</c:v>
                </c:pt>
                <c:pt idx="33">
                  <c:v>0.35554517640755556</c:v>
                </c:pt>
                <c:pt idx="34">
                  <c:v>0.36637466669877777</c:v>
                </c:pt>
                <c:pt idx="35">
                  <c:v>0.37721462015425</c:v>
                </c:pt>
                <c:pt idx="36">
                  <c:v>0.38805591821416668</c:v>
                </c:pt>
                <c:pt idx="37">
                  <c:v>0.39889685409686115</c:v>
                </c:pt>
                <c:pt idx="38">
                  <c:v>0.4097377643893611</c:v>
                </c:pt>
                <c:pt idx="39">
                  <c:v>0.42058269657055553</c:v>
                </c:pt>
                <c:pt idx="40">
                  <c:v>0.43143148092375</c:v>
                </c:pt>
                <c:pt idx="41">
                  <c:v>0.4422744570993889</c:v>
                </c:pt>
                <c:pt idx="42">
                  <c:v>0.45311566787919444</c:v>
                </c:pt>
                <c:pt idx="43">
                  <c:v>0.46395711124727779</c:v>
                </c:pt>
                <c:pt idx="44">
                  <c:v>0.47478410122994447</c:v>
                </c:pt>
                <c:pt idx="45">
                  <c:v>0.4856006662309445</c:v>
                </c:pt>
                <c:pt idx="46">
                  <c:v>0.49640241493661108</c:v>
                </c:pt>
                <c:pt idx="47">
                  <c:v>0.50720416364227772</c:v>
                </c:pt>
                <c:pt idx="48">
                  <c:v>0.51797710185866652</c:v>
                </c:pt>
                <c:pt idx="49">
                  <c:v>0.52873814277977771</c:v>
                </c:pt>
                <c:pt idx="50">
                  <c:v>0.53947986909922208</c:v>
                </c:pt>
                <c:pt idx="51">
                  <c:v>0.55019001422922209</c:v>
                </c:pt>
                <c:pt idx="52">
                  <c:v>0.56088634416005534</c:v>
                </c:pt>
                <c:pt idx="53">
                  <c:v>0.57156326798366652</c:v>
                </c:pt>
                <c:pt idx="54">
                  <c:v>0.58222114808977765</c:v>
                </c:pt>
                <c:pt idx="55">
                  <c:v>0.59285949466172205</c:v>
                </c:pt>
                <c:pt idx="56">
                  <c:v>0.60348017974033319</c:v>
                </c:pt>
                <c:pt idx="57">
                  <c:v>0.6140790759975554</c:v>
                </c:pt>
                <c:pt idx="58">
                  <c:v>0.62466815399311104</c:v>
                </c:pt>
                <c:pt idx="59">
                  <c:v>0.6352356399636665</c:v>
                </c:pt>
                <c:pt idx="60">
                  <c:v>0.64580035101116651</c:v>
                </c:pt>
                <c:pt idx="61">
                  <c:v>0.65635195446588868</c:v>
                </c:pt>
                <c:pt idx="62">
                  <c:v>0.6668893824258888</c:v>
                </c:pt>
                <c:pt idx="63">
                  <c:v>0.67741722257644432</c:v>
                </c:pt>
                <c:pt idx="64">
                  <c:v>0.68793678346811094</c:v>
                </c:pt>
                <c:pt idx="65">
                  <c:v>0.69844804161283314</c:v>
                </c:pt>
                <c:pt idx="66">
                  <c:v>0.70895363562727765</c:v>
                </c:pt>
                <c:pt idx="67">
                  <c:v>0.71945184447894428</c:v>
                </c:pt>
                <c:pt idx="68">
                  <c:v>0.72994589522652753</c:v>
                </c:pt>
                <c:pt idx="69">
                  <c:v>0.74043491183399979</c:v>
                </c:pt>
                <c:pt idx="70">
                  <c:v>0.75092200862511094</c:v>
                </c:pt>
                <c:pt idx="71">
                  <c:v>0.76140384221905544</c:v>
                </c:pt>
                <c:pt idx="72">
                  <c:v>0.7718842143379443</c:v>
                </c:pt>
                <c:pt idx="73">
                  <c:v>0.7823673825102776</c:v>
                </c:pt>
                <c:pt idx="74">
                  <c:v>0.79284759255327764</c:v>
                </c:pt>
                <c:pt idx="75">
                  <c:v>0.80332421236736107</c:v>
                </c:pt>
                <c:pt idx="76">
                  <c:v>0.81379722023766654</c:v>
                </c:pt>
                <c:pt idx="77">
                  <c:v>0.82426467097844425</c:v>
                </c:pt>
                <c:pt idx="78">
                  <c:v>0.83472569606241653</c:v>
                </c:pt>
                <c:pt idx="79">
                  <c:v>0.84517904899694429</c:v>
                </c:pt>
                <c:pt idx="80">
                  <c:v>0.85562750991116654</c:v>
                </c:pt>
                <c:pt idx="81">
                  <c:v>0.8660679485059164</c:v>
                </c:pt>
                <c:pt idx="82">
                  <c:v>0.87649452420102747</c:v>
                </c:pt>
                <c:pt idx="83">
                  <c:v>0.88691028021691654</c:v>
                </c:pt>
                <c:pt idx="84">
                  <c:v>0.89731930064463872</c:v>
                </c:pt>
                <c:pt idx="85">
                  <c:v>0.90771946021163885</c:v>
                </c:pt>
                <c:pt idx="86">
                  <c:v>0.91811348857066655</c:v>
                </c:pt>
                <c:pt idx="87">
                  <c:v>0.92850648065069441</c:v>
                </c:pt>
                <c:pt idx="88">
                  <c:v>0.93888323014672215</c:v>
                </c:pt>
                <c:pt idx="89">
                  <c:v>0.94925250290966656</c:v>
                </c:pt>
                <c:pt idx="90">
                  <c:v>0.95960696330611106</c:v>
                </c:pt>
                <c:pt idx="91">
                  <c:v>0.96995150790552775</c:v>
                </c:pt>
                <c:pt idx="92">
                  <c:v>0.98028378565669161</c:v>
                </c:pt>
                <c:pt idx="93">
                  <c:v>0.99062108802574445</c:v>
                </c:pt>
                <c:pt idx="94">
                  <c:v>1.000934893599255</c:v>
                </c:pt>
                <c:pt idx="95">
                  <c:v>1.0112270973238835</c:v>
                </c:pt>
                <c:pt idx="96">
                  <c:v>1.021526187655619</c:v>
                </c:pt>
                <c:pt idx="97">
                  <c:v>1.0318059787906499</c:v>
                </c:pt>
                <c:pt idx="98">
                  <c:v>1.0420711068344195</c:v>
                </c:pt>
                <c:pt idx="99">
                  <c:v>1.0523317809171251</c:v>
                </c:pt>
                <c:pt idx="100">
                  <c:v>1.0625653477772112</c:v>
                </c:pt>
                <c:pt idx="101">
                  <c:v>1.0727830179405835</c:v>
                </c:pt>
                <c:pt idx="102">
                  <c:v>1.0829831847063278</c:v>
                </c:pt>
                <c:pt idx="103">
                  <c:v>1.0931623708997751</c:v>
                </c:pt>
                <c:pt idx="104">
                  <c:v>1.103324822645275</c:v>
                </c:pt>
                <c:pt idx="105">
                  <c:v>1.1134721707276778</c:v>
                </c:pt>
                <c:pt idx="106">
                  <c:v>1.1236046017197501</c:v>
                </c:pt>
                <c:pt idx="107">
                  <c:v>1.1337223554930917</c:v>
                </c:pt>
                <c:pt idx="108">
                  <c:v>1.1438284389214419</c:v>
                </c:pt>
                <c:pt idx="109">
                  <c:v>1.1539230414745252</c:v>
                </c:pt>
                <c:pt idx="110">
                  <c:v>1.164002096599114</c:v>
                </c:pt>
                <c:pt idx="111">
                  <c:v>1.1740780256423167</c:v>
                </c:pt>
                <c:pt idx="112">
                  <c:v>1.1841455628544306</c:v>
                </c:pt>
                <c:pt idx="113">
                  <c:v>1.1942067458133308</c:v>
                </c:pt>
                <c:pt idx="114">
                  <c:v>1.2042623861693502</c:v>
                </c:pt>
                <c:pt idx="115">
                  <c:v>1.2143181152875671</c:v>
                </c:pt>
                <c:pt idx="116">
                  <c:v>1.2243737796530447</c:v>
                </c:pt>
                <c:pt idx="117">
                  <c:v>1.2344202930969976</c:v>
                </c:pt>
                <c:pt idx="118">
                  <c:v>1.2444676245242141</c:v>
                </c:pt>
                <c:pt idx="119">
                  <c:v>1.2545134687570669</c:v>
                </c:pt>
                <c:pt idx="120">
                  <c:v>1.2645519689317586</c:v>
                </c:pt>
                <c:pt idx="121">
                  <c:v>1.2745961796994254</c:v>
                </c:pt>
                <c:pt idx="122">
                  <c:v>1.2846355494788892</c:v>
                </c:pt>
                <c:pt idx="123">
                  <c:v>1.2946654953689447</c:v>
                </c:pt>
                <c:pt idx="124">
                  <c:v>1.304681727620167</c:v>
                </c:pt>
                <c:pt idx="125">
                  <c:v>1.3146866216467781</c:v>
                </c:pt>
                <c:pt idx="126">
                  <c:v>1.3246856933054725</c:v>
                </c:pt>
                <c:pt idx="127">
                  <c:v>1.3346647201474169</c:v>
                </c:pt>
                <c:pt idx="128">
                  <c:v>1.3446312276081114</c:v>
                </c:pt>
                <c:pt idx="129">
                  <c:v>1.3545856997788892</c:v>
                </c:pt>
                <c:pt idx="130">
                  <c:v>1.3645365674343335</c:v>
                </c:pt>
                <c:pt idx="131">
                  <c:v>1.3744610082263613</c:v>
                </c:pt>
                <c:pt idx="132">
                  <c:v>1.384378062285639</c:v>
                </c:pt>
                <c:pt idx="133">
                  <c:v>1.3942735568261668</c:v>
                </c:pt>
                <c:pt idx="134">
                  <c:v>1.4041444451472778</c:v>
                </c:pt>
                <c:pt idx="135">
                  <c:v>1.4139923391940834</c:v>
                </c:pt>
                <c:pt idx="136">
                  <c:v>1.4238139558486946</c:v>
                </c:pt>
                <c:pt idx="137">
                  <c:v>1.4336143947652222</c:v>
                </c:pt>
                <c:pt idx="138">
                  <c:v>1.4433790586976389</c:v>
                </c:pt>
                <c:pt idx="139">
                  <c:v>1.45311607418025</c:v>
                </c:pt>
                <c:pt idx="140">
                  <c:v>1.4628440751739169</c:v>
                </c:pt>
                <c:pt idx="141">
                  <c:v>1.4725312408612223</c:v>
                </c:pt>
                <c:pt idx="142">
                  <c:v>1.4822056038727225</c:v>
                </c:pt>
                <c:pt idx="143">
                  <c:v>1.4918637796933893</c:v>
                </c:pt>
                <c:pt idx="144">
                  <c:v>1.5015219555140562</c:v>
                </c:pt>
                <c:pt idx="145">
                  <c:v>1.5111501787060004</c:v>
                </c:pt>
                <c:pt idx="146">
                  <c:v>1.520720846361556</c:v>
                </c:pt>
                <c:pt idx="147">
                  <c:v>1.5302610426648895</c:v>
                </c:pt>
                <c:pt idx="148">
                  <c:v>1.5397838236068337</c:v>
                </c:pt>
                <c:pt idx="149">
                  <c:v>1.549302488915445</c:v>
                </c:pt>
                <c:pt idx="150">
                  <c:v>1.5587878212648896</c:v>
                </c:pt>
                <c:pt idx="151">
                  <c:v>1.5682494598404448</c:v>
                </c:pt>
                <c:pt idx="152">
                  <c:v>1.577697753886556</c:v>
                </c:pt>
                <c:pt idx="153">
                  <c:v>1.5871350399237782</c:v>
                </c:pt>
                <c:pt idx="154">
                  <c:v>1.5965520224082228</c:v>
                </c:pt>
                <c:pt idx="155">
                  <c:v>1.6059463729407228</c:v>
                </c:pt>
                <c:pt idx="156">
                  <c:v>1.6153348354573895</c:v>
                </c:pt>
                <c:pt idx="157">
                  <c:v>1.6247172649546118</c:v>
                </c:pt>
                <c:pt idx="158">
                  <c:v>1.6340741049601673</c:v>
                </c:pt>
                <c:pt idx="159">
                  <c:v>1.643420135920723</c:v>
                </c:pt>
                <c:pt idx="160">
                  <c:v>1.6527535094546117</c:v>
                </c:pt>
                <c:pt idx="161">
                  <c:v>1.6620679545504453</c:v>
                </c:pt>
                <c:pt idx="162">
                  <c:v>1.6713769490246118</c:v>
                </c:pt>
                <c:pt idx="163">
                  <c:v>1.6806799499848897</c:v>
                </c:pt>
                <c:pt idx="164">
                  <c:v>1.6899694142685007</c:v>
                </c:pt>
                <c:pt idx="165">
                  <c:v>1.6992562518473897</c:v>
                </c:pt>
                <c:pt idx="166">
                  <c:v>1.7085372336568343</c:v>
                </c:pt>
                <c:pt idx="167">
                  <c:v>1.717813478629612</c:v>
                </c:pt>
                <c:pt idx="168">
                  <c:v>1.7270866147615285</c:v>
                </c:pt>
                <c:pt idx="169">
                  <c:v>1.7363614057156118</c:v>
                </c:pt>
                <c:pt idx="170">
                  <c:v>1.745635138711306</c:v>
                </c:pt>
                <c:pt idx="171">
                  <c:v>1.7549070681069727</c:v>
                </c:pt>
                <c:pt idx="172">
                  <c:v>1.7641776862333336</c:v>
                </c:pt>
                <c:pt idx="173">
                  <c:v>1.7734507832667503</c:v>
                </c:pt>
                <c:pt idx="174">
                  <c:v>1.782727451999417</c:v>
                </c:pt>
                <c:pt idx="175">
                  <c:v>1.7920141356273338</c:v>
                </c:pt>
                <c:pt idx="176">
                  <c:v>1.8013049062221118</c:v>
                </c:pt>
                <c:pt idx="177">
                  <c:v>1.8106054224924173</c:v>
                </c:pt>
                <c:pt idx="178">
                  <c:v>1.8199086983328616</c:v>
                </c:pt>
                <c:pt idx="179">
                  <c:v>1.8292222360336672</c:v>
                </c:pt>
                <c:pt idx="180">
                  <c:v>1.8385484466773894</c:v>
                </c:pt>
                <c:pt idx="181">
                  <c:v>1.8478799424891394</c:v>
                </c:pt>
                <c:pt idx="182">
                  <c:v>1.8572250555502225</c:v>
                </c:pt>
                <c:pt idx="183">
                  <c:v>1.8665845540841948</c:v>
                </c:pt>
                <c:pt idx="184">
                  <c:v>1.8759645969840004</c:v>
                </c:pt>
                <c:pt idx="185">
                  <c:v>1.8853564587661114</c:v>
                </c:pt>
                <c:pt idx="186">
                  <c:v>1.894764068388417</c:v>
                </c:pt>
                <c:pt idx="187">
                  <c:v>1.9041890510160282</c:v>
                </c:pt>
                <c:pt idx="188">
                  <c:v>1.9136280112674171</c:v>
                </c:pt>
                <c:pt idx="189">
                  <c:v>1.9230936683949171</c:v>
                </c:pt>
                <c:pt idx="190">
                  <c:v>1.9325873316603617</c:v>
                </c:pt>
                <c:pt idx="191">
                  <c:v>1.9420888048816951</c:v>
                </c:pt>
                <c:pt idx="192">
                  <c:v>1.951623242791084</c:v>
                </c:pt>
                <c:pt idx="193">
                  <c:v>1.9611835177190007</c:v>
                </c:pt>
                <c:pt idx="194">
                  <c:v>1.9707626279178341</c:v>
                </c:pt>
                <c:pt idx="195">
                  <c:v>1.9803632904591173</c:v>
                </c:pt>
                <c:pt idx="196">
                  <c:v>1.9899543585581394</c:v>
                </c:pt>
                <c:pt idx="197">
                  <c:v>1.9996388638009812</c:v>
                </c:pt>
                <c:pt idx="198">
                  <c:v>2.0093394552436399</c:v>
                </c:pt>
                <c:pt idx="199">
                  <c:v>2.0189943640273329</c:v>
                </c:pt>
                <c:pt idx="200">
                  <c:v>2.0286864080139204</c:v>
                </c:pt>
                <c:pt idx="201">
                  <c:v>2.0384245236423117</c:v>
                </c:pt>
                <c:pt idx="202">
                  <c:v>2.0481976029333007</c:v>
                </c:pt>
                <c:pt idx="203">
                  <c:v>2.057989613734009</c:v>
                </c:pt>
                <c:pt idx="204">
                  <c:v>2.0677769273344984</c:v>
                </c:pt>
                <c:pt idx="205">
                  <c:v>2.0776011835218564</c:v>
                </c:pt>
                <c:pt idx="206">
                  <c:v>2.087452095480359</c:v>
                </c:pt>
                <c:pt idx="207">
                  <c:v>2.0973253012118871</c:v>
                </c:pt>
                <c:pt idx="208">
                  <c:v>2.1072171977488234</c:v>
                </c:pt>
                <c:pt idx="209">
                  <c:v>2.1171323526445063</c:v>
                </c:pt>
                <c:pt idx="210">
                  <c:v>2.127071281027662</c:v>
                </c:pt>
                <c:pt idx="211">
                  <c:v>2.1370343186546537</c:v>
                </c:pt>
                <c:pt idx="212">
                  <c:v>2.1470072969677481</c:v>
                </c:pt>
                <c:pt idx="213">
                  <c:v>2.1569974003919232</c:v>
                </c:pt>
                <c:pt idx="214">
                  <c:v>2.1670082103923844</c:v>
                </c:pt>
                <c:pt idx="215">
                  <c:v>2.1770293242980676</c:v>
                </c:pt>
                <c:pt idx="216">
                  <c:v>2.1870578966505843</c:v>
                </c:pt>
                <c:pt idx="217">
                  <c:v>2.1970987040975123</c:v>
                </c:pt>
                <c:pt idx="218">
                  <c:v>2.2071564033924069</c:v>
                </c:pt>
                <c:pt idx="219">
                  <c:v>2.2172145327816013</c:v>
                </c:pt>
                <c:pt idx="220">
                  <c:v>2.2272760449838347</c:v>
                </c:pt>
                <c:pt idx="221">
                  <c:v>2.2373445576470345</c:v>
                </c:pt>
                <c:pt idx="222">
                  <c:v>2.2474177237766955</c:v>
                </c:pt>
                <c:pt idx="223">
                  <c:v>2.2574944192990234</c:v>
                </c:pt>
                <c:pt idx="224">
                  <c:v>2.2675635645490648</c:v>
                </c:pt>
                <c:pt idx="225">
                  <c:v>2.2776299420393205</c:v>
                </c:pt>
                <c:pt idx="226">
                  <c:v>2.2876929863551676</c:v>
                </c:pt>
                <c:pt idx="227">
                  <c:v>2.2977493701516121</c:v>
                </c:pt>
                <c:pt idx="228">
                  <c:v>2.3078022219284176</c:v>
                </c:pt>
                <c:pt idx="229">
                  <c:v>2.3178436616678066</c:v>
                </c:pt>
                <c:pt idx="230">
                  <c:v>2.327875518091501</c:v>
                </c:pt>
                <c:pt idx="231">
                  <c:v>2.3378931487575008</c:v>
                </c:pt>
                <c:pt idx="232">
                  <c:v>2.3479018390535562</c:v>
                </c:pt>
                <c:pt idx="233">
                  <c:v>2.3578884529742785</c:v>
                </c:pt>
                <c:pt idx="234">
                  <c:v>2.3678526583178341</c:v>
                </c:pt>
                <c:pt idx="235">
                  <c:v>2.377801907676834</c:v>
                </c:pt>
                <c:pt idx="236">
                  <c:v>2.3877306957112507</c:v>
                </c:pt>
                <c:pt idx="237">
                  <c:v>2.3976377358554175</c:v>
                </c:pt>
                <c:pt idx="238">
                  <c:v>2.4075207701056121</c:v>
                </c:pt>
                <c:pt idx="239">
                  <c:v>2.4173834117911674</c:v>
                </c:pt>
                <c:pt idx="240">
                  <c:v>2.4272163249702228</c:v>
                </c:pt>
                <c:pt idx="241">
                  <c:v>2.4370346341423894</c:v>
                </c:pt>
                <c:pt idx="242">
                  <c:v>2.4468234845136951</c:v>
                </c:pt>
                <c:pt idx="243">
                  <c:v>2.4565769048405008</c:v>
                </c:pt>
                <c:pt idx="244">
                  <c:v>2.4663079141377233</c:v>
                </c:pt>
                <c:pt idx="245">
                  <c:v>2.4760299952293066</c:v>
                </c:pt>
                <c:pt idx="246">
                  <c:v>2.4857192294234736</c:v>
                </c:pt>
                <c:pt idx="247">
                  <c:v>2.4953846499518901</c:v>
                </c:pt>
                <c:pt idx="248">
                  <c:v>2.5050500704803067</c:v>
                </c:pt>
                <c:pt idx="249">
                  <c:v>2.514668546083362</c:v>
                </c:pt>
                <c:pt idx="250">
                  <c:v>2.5242787705297509</c:v>
                </c:pt>
                <c:pt idx="251">
                  <c:v>2.5338560807428063</c:v>
                </c:pt>
                <c:pt idx="252">
                  <c:v>2.5433879265314174</c:v>
                </c:pt>
                <c:pt idx="253">
                  <c:v>2.5528907939905841</c:v>
                </c:pt>
                <c:pt idx="254">
                  <c:v>2.5623608553761397</c:v>
                </c:pt>
                <c:pt idx="255">
                  <c:v>2.5718244732678062</c:v>
                </c:pt>
                <c:pt idx="256">
                  <c:v>2.581267517184473</c:v>
                </c:pt>
                <c:pt idx="257">
                  <c:v>2.5906736580119727</c:v>
                </c:pt>
                <c:pt idx="258">
                  <c:v>2.6000736382414171</c:v>
                </c:pt>
                <c:pt idx="259">
                  <c:v>2.6094610183475284</c:v>
                </c:pt>
                <c:pt idx="260">
                  <c:v>2.6188304251019727</c:v>
                </c:pt>
                <c:pt idx="261">
                  <c:v>2.628179646365306</c:v>
                </c:pt>
                <c:pt idx="262">
                  <c:v>2.637505726753639</c:v>
                </c:pt>
                <c:pt idx="263">
                  <c:v>2.6468155800391946</c:v>
                </c:pt>
                <c:pt idx="264">
                  <c:v>2.6561164380005833</c:v>
                </c:pt>
                <c:pt idx="265">
                  <c:v>2.6654070406039168</c:v>
                </c:pt>
                <c:pt idx="266">
                  <c:v>2.6746857153730836</c:v>
                </c:pt>
                <c:pt idx="267">
                  <c:v>2.6839549088366947</c:v>
                </c:pt>
                <c:pt idx="268">
                  <c:v>2.6932152600016952</c:v>
                </c:pt>
                <c:pt idx="269">
                  <c:v>2.7024683335030839</c:v>
                </c:pt>
                <c:pt idx="270">
                  <c:v>2.7117202108072505</c:v>
                </c:pt>
                <c:pt idx="271">
                  <c:v>2.7209691636500284</c:v>
                </c:pt>
                <c:pt idx="272">
                  <c:v>2.7302113744153065</c:v>
                </c:pt>
                <c:pt idx="273">
                  <c:v>2.7394449812738619</c:v>
                </c:pt>
                <c:pt idx="274">
                  <c:v>2.7486793701218062</c:v>
                </c:pt>
                <c:pt idx="275">
                  <c:v>2.7579131068502782</c:v>
                </c:pt>
                <c:pt idx="276">
                  <c:v>2.7671475900450004</c:v>
                </c:pt>
                <c:pt idx="277">
                  <c:v>2.7763877114931392</c:v>
                </c:pt>
                <c:pt idx="278">
                  <c:v>2.7856362901976115</c:v>
                </c:pt>
                <c:pt idx="279">
                  <c:v>2.7948897324816393</c:v>
                </c:pt>
                <c:pt idx="280">
                  <c:v>2.8041419099205283</c:v>
                </c:pt>
                <c:pt idx="281">
                  <c:v>2.8133975828093338</c:v>
                </c:pt>
                <c:pt idx="282">
                  <c:v>2.8226710361960281</c:v>
                </c:pt>
                <c:pt idx="283">
                  <c:v>2.831955714142639</c:v>
                </c:pt>
                <c:pt idx="284">
                  <c:v>2.841252517709389</c:v>
                </c:pt>
                <c:pt idx="285">
                  <c:v>2.8505617945732777</c:v>
                </c:pt>
                <c:pt idx="286">
                  <c:v>2.8598834067001389</c:v>
                </c:pt>
                <c:pt idx="287">
                  <c:v>2.8692114492172776</c:v>
                </c:pt>
                <c:pt idx="288">
                  <c:v>2.8785632832795001</c:v>
                </c:pt>
                <c:pt idx="289">
                  <c:v>2.8879359587987778</c:v>
                </c:pt>
                <c:pt idx="290">
                  <c:v>2.8973267594518615</c:v>
                </c:pt>
                <c:pt idx="291">
                  <c:v>2.906730816319028</c:v>
                </c:pt>
                <c:pt idx="292">
                  <c:v>2.9161574743406389</c:v>
                </c:pt>
                <c:pt idx="293">
                  <c:v>2.9256025908555556</c:v>
                </c:pt>
                <c:pt idx="294">
                  <c:v>2.9350770432036666</c:v>
                </c:pt>
                <c:pt idx="295">
                  <c:v>2.9445778574828334</c:v>
                </c:pt>
                <c:pt idx="296">
                  <c:v>2.9540988774702774</c:v>
                </c:pt>
                <c:pt idx="297">
                  <c:v>2.9636349609935273</c:v>
                </c:pt>
                <c:pt idx="298">
                  <c:v>2.9732086716716166</c:v>
                </c:pt>
                <c:pt idx="299">
                  <c:v>2.9828086196159416</c:v>
                </c:pt>
                <c:pt idx="300">
                  <c:v>2.9924306833571666</c:v>
                </c:pt>
                <c:pt idx="301">
                  <c:v>3.0020971266957033</c:v>
                </c:pt>
                <c:pt idx="302">
                  <c:v>3.0117822487057033</c:v>
                </c:pt>
                <c:pt idx="303">
                  <c:v>3.0214419524763692</c:v>
                </c:pt>
                <c:pt idx="304">
                  <c:v>3.0311148183690269</c:v>
                </c:pt>
                <c:pt idx="305">
                  <c:v>3.0408705277925772</c:v>
                </c:pt>
                <c:pt idx="306">
                  <c:v>3.0506275942221825</c:v>
                </c:pt>
                <c:pt idx="307">
                  <c:v>3.0603678842061544</c:v>
                </c:pt>
                <c:pt idx="308">
                  <c:v>3.0701723199028876</c:v>
                </c:pt>
                <c:pt idx="309">
                  <c:v>3.0799994981637129</c:v>
                </c:pt>
                <c:pt idx="310">
                  <c:v>3.0898590452635655</c:v>
                </c:pt>
                <c:pt idx="311">
                  <c:v>3.0997502784063542</c:v>
                </c:pt>
                <c:pt idx="312">
                  <c:v>3.1096758003281102</c:v>
                </c:pt>
                <c:pt idx="313">
                  <c:v>3.1196265311169991</c:v>
                </c:pt>
                <c:pt idx="314">
                  <c:v>3.1295873925870099</c:v>
                </c:pt>
                <c:pt idx="315">
                  <c:v>3.1395538819177711</c:v>
                </c:pt>
                <c:pt idx="316">
                  <c:v>3.1495462992139878</c:v>
                </c:pt>
                <c:pt idx="317">
                  <c:v>3.1595615962635821</c:v>
                </c:pt>
                <c:pt idx="318">
                  <c:v>3.1695930804657904</c:v>
                </c:pt>
                <c:pt idx="319">
                  <c:v>3.1796357408230072</c:v>
                </c:pt>
                <c:pt idx="320">
                  <c:v>3.1896929416344011</c:v>
                </c:pt>
                <c:pt idx="321">
                  <c:v>3.1997612788052625</c:v>
                </c:pt>
                <c:pt idx="322">
                  <c:v>3.2098377493725567</c:v>
                </c:pt>
                <c:pt idx="323">
                  <c:v>3.2199227505048542</c:v>
                </c:pt>
                <c:pt idx="324">
                  <c:v>3.2300103288874711</c:v>
                </c:pt>
                <c:pt idx="325">
                  <c:v>3.2401081420519517</c:v>
                </c:pt>
                <c:pt idx="326">
                  <c:v>3.2502131075100293</c:v>
                </c:pt>
                <c:pt idx="327">
                  <c:v>3.2603199250718129</c:v>
                </c:pt>
                <c:pt idx="328">
                  <c:v>3.2704337631885325</c:v>
                </c:pt>
                <c:pt idx="329">
                  <c:v>3.2805438049436102</c:v>
                </c:pt>
                <c:pt idx="330">
                  <c:v>3.290637203965971</c:v>
                </c:pt>
                <c:pt idx="331">
                  <c:v>3.3007326658356937</c:v>
                </c:pt>
                <c:pt idx="332">
                  <c:v>3.3108210768014437</c:v>
                </c:pt>
                <c:pt idx="333">
                  <c:v>3.3208924626289718</c:v>
                </c:pt>
                <c:pt idx="334">
                  <c:v>3.3309629231164717</c:v>
                </c:pt>
                <c:pt idx="335">
                  <c:v>3.3410199131796663</c:v>
                </c:pt>
                <c:pt idx="336">
                  <c:v>3.3510622574907489</c:v>
                </c:pt>
                <c:pt idx="337">
                  <c:v>3.361078777040277</c:v>
                </c:pt>
                <c:pt idx="338">
                  <c:v>3.3710767648955269</c:v>
                </c:pt>
                <c:pt idx="339">
                  <c:v>3.3810584480703323</c:v>
                </c:pt>
                <c:pt idx="340">
                  <c:v>3.3910198614376657</c:v>
                </c:pt>
                <c:pt idx="341">
                  <c:v>3.4009546788001104</c:v>
                </c:pt>
                <c:pt idx="342">
                  <c:v>3.4108643051852772</c:v>
                </c:pt>
                <c:pt idx="343">
                  <c:v>3.4207498290800831</c:v>
                </c:pt>
                <c:pt idx="344">
                  <c:v>3.4306128672576106</c:v>
                </c:pt>
                <c:pt idx="345">
                  <c:v>3.4404447967272778</c:v>
                </c:pt>
                <c:pt idx="346">
                  <c:v>3.4502531439269446</c:v>
                </c:pt>
                <c:pt idx="347">
                  <c:v>3.4600292581557501</c:v>
                </c:pt>
                <c:pt idx="348">
                  <c:v>3.4697893333105556</c:v>
                </c:pt>
                <c:pt idx="349">
                  <c:v>3.4795131200634999</c:v>
                </c:pt>
                <c:pt idx="350">
                  <c:v>3.4892016050591388</c:v>
                </c:pt>
                <c:pt idx="351">
                  <c:v>3.4988880330469718</c:v>
                </c:pt>
                <c:pt idx="352">
                  <c:v>3.5085744610348053</c:v>
                </c:pt>
                <c:pt idx="353">
                  <c:v>3.5181969552248051</c:v>
                </c:pt>
                <c:pt idx="354">
                  <c:v>3.5277904639745272</c:v>
                </c:pt>
                <c:pt idx="355">
                  <c:v>3.5373604530331382</c:v>
                </c:pt>
                <c:pt idx="356">
                  <c:v>3.5468845413836942</c:v>
                </c:pt>
                <c:pt idx="357">
                  <c:v>3.5564048523178604</c:v>
                </c:pt>
                <c:pt idx="358">
                  <c:v>3.565890429973138</c:v>
                </c:pt>
                <c:pt idx="359">
                  <c:v>3.5753460499081382</c:v>
                </c:pt>
                <c:pt idx="360">
                  <c:v>3.5847773190559162</c:v>
                </c:pt>
                <c:pt idx="361">
                  <c:v>3.5941871712075826</c:v>
                </c:pt>
                <c:pt idx="362">
                  <c:v>3.6035869489045274</c:v>
                </c:pt>
                <c:pt idx="363">
                  <c:v>3.6129525389300827</c:v>
                </c:pt>
                <c:pt idx="364">
                  <c:v>3.622296268439249</c:v>
                </c:pt>
                <c:pt idx="365">
                  <c:v>3.6316219590978602</c:v>
                </c:pt>
                <c:pt idx="366">
                  <c:v>3.6409376562520266</c:v>
                </c:pt>
                <c:pt idx="367">
                  <c:v>3.6502356820906376</c:v>
                </c:pt>
                <c:pt idx="368">
                  <c:v>3.6595223490098041</c:v>
                </c:pt>
                <c:pt idx="369">
                  <c:v>3.6687920519584156</c:v>
                </c:pt>
                <c:pt idx="370">
                  <c:v>3.6780509039114708</c:v>
                </c:pt>
                <c:pt idx="371">
                  <c:v>3.6873007398275819</c:v>
                </c:pt>
                <c:pt idx="372">
                  <c:v>3.6965421302181376</c:v>
                </c:pt>
                <c:pt idx="373">
                  <c:v>3.7057713169159152</c:v>
                </c:pt>
                <c:pt idx="374">
                  <c:v>3.7149952691209149</c:v>
                </c:pt>
                <c:pt idx="375">
                  <c:v>3.7242091538614983</c:v>
                </c:pt>
                <c:pt idx="376">
                  <c:v>3.7334205928721094</c:v>
                </c:pt>
                <c:pt idx="377">
                  <c:v>3.7426293328852487</c:v>
                </c:pt>
                <c:pt idx="378">
                  <c:v>3.7518381979716371</c:v>
                </c:pt>
                <c:pt idx="379">
                  <c:v>3.7610483592048038</c:v>
                </c:pt>
                <c:pt idx="380">
                  <c:v>3.7702605315936095</c:v>
                </c:pt>
                <c:pt idx="381">
                  <c:v>3.7794641877594151</c:v>
                </c:pt>
                <c:pt idx="382">
                  <c:v>3.7886809171648874</c:v>
                </c:pt>
                <c:pt idx="383">
                  <c:v>3.7979030792128872</c:v>
                </c:pt>
                <c:pt idx="384">
                  <c:v>3.8071338377298596</c:v>
                </c:pt>
                <c:pt idx="385">
                  <c:v>3.8163717476400825</c:v>
                </c:pt>
                <c:pt idx="386">
                  <c:v>3.8256185148069157</c:v>
                </c:pt>
                <c:pt idx="387">
                  <c:v>3.8348733546223603</c:v>
                </c:pt>
                <c:pt idx="388">
                  <c:v>3.8441422369064435</c:v>
                </c:pt>
                <c:pt idx="389">
                  <c:v>3.8534329378203322</c:v>
                </c:pt>
                <c:pt idx="390">
                  <c:v>3.8627410786399712</c:v>
                </c:pt>
                <c:pt idx="391">
                  <c:v>3.8720639287592493</c:v>
                </c:pt>
                <c:pt idx="392">
                  <c:v>3.8814040998713879</c:v>
                </c:pt>
                <c:pt idx="393">
                  <c:v>3.8907603942364437</c:v>
                </c:pt>
                <c:pt idx="394">
                  <c:v>3.9001349504568048</c:v>
                </c:pt>
                <c:pt idx="395">
                  <c:v>3.9095374878189162</c:v>
                </c:pt>
                <c:pt idx="396">
                  <c:v>3.9189682346265271</c:v>
                </c:pt>
                <c:pt idx="397">
                  <c:v>3.9284068775016938</c:v>
                </c:pt>
                <c:pt idx="398">
                  <c:v>3.937864588258194</c:v>
                </c:pt>
                <c:pt idx="399">
                  <c:v>3.947359120821055</c:v>
                </c:pt>
                <c:pt idx="400">
                  <c:v>3.9568819000185829</c:v>
                </c:pt>
                <c:pt idx="401">
                  <c:v>3.9664256953398325</c:v>
                </c:pt>
                <c:pt idx="402">
                  <c:v>3.9759902468562687</c:v>
                </c:pt>
                <c:pt idx="403">
                  <c:v>3.9855697417198663</c:v>
                </c:pt>
                <c:pt idx="404">
                  <c:v>3.995167661843094</c:v>
                </c:pt>
                <c:pt idx="405">
                  <c:v>4.0047976725196914</c:v>
                </c:pt>
                <c:pt idx="406">
                  <c:v>4.0144716075664109</c:v>
                </c:pt>
                <c:pt idx="407">
                  <c:v>4.0241821324709637</c:v>
                </c:pt>
                <c:pt idx="408">
                  <c:v>4.0338947913832692</c:v>
                </c:pt>
                <c:pt idx="409">
                  <c:v>4.0436750851210297</c:v>
                </c:pt>
                <c:pt idx="410">
                  <c:v>4.053460115298849</c:v>
                </c:pt>
                <c:pt idx="411">
                  <c:v>4.0632523458335745</c:v>
                </c:pt>
                <c:pt idx="412">
                  <c:v>4.0730828752393098</c:v>
                </c:pt>
                <c:pt idx="413">
                  <c:v>4.0829395097590737</c:v>
                </c:pt>
                <c:pt idx="414">
                  <c:v>4.0928205932588773</c:v>
                </c:pt>
                <c:pt idx="415">
                  <c:v>4.1027428890038493</c:v>
                </c:pt>
                <c:pt idx="416">
                  <c:v>4.1126894882631078</c:v>
                </c:pt>
                <c:pt idx="417">
                  <c:v>4.1226568609096548</c:v>
                </c:pt>
                <c:pt idx="418">
                  <c:v>4.1326473768135275</c:v>
                </c:pt>
                <c:pt idx="419">
                  <c:v>4.1426454902543215</c:v>
                </c:pt>
                <c:pt idx="420">
                  <c:v>4.1526720497987801</c:v>
                </c:pt>
                <c:pt idx="421">
                  <c:v>4.1627208374531319</c:v>
                </c:pt>
                <c:pt idx="422">
                  <c:v>4.1727864049000631</c:v>
                </c:pt>
                <c:pt idx="423">
                  <c:v>4.1828703679326846</c:v>
                </c:pt>
                <c:pt idx="424">
                  <c:v>4.1929693231967766</c:v>
                </c:pt>
                <c:pt idx="425">
                  <c:v>4.2030778325755769</c:v>
                </c:pt>
                <c:pt idx="426">
                  <c:v>4.2131929028425157</c:v>
                </c:pt>
                <c:pt idx="427">
                  <c:v>4.2233200935512434</c:v>
                </c:pt>
                <c:pt idx="428">
                  <c:v>4.2334547183997522</c:v>
                </c:pt>
                <c:pt idx="429">
                  <c:v>4.2435906634570468</c:v>
                </c:pt>
                <c:pt idx="430">
                  <c:v>4.2537362030330996</c:v>
                </c:pt>
                <c:pt idx="431">
                  <c:v>4.2638685217357075</c:v>
                </c:pt>
                <c:pt idx="432">
                  <c:v>4.2740186438748244</c:v>
                </c:pt>
                <c:pt idx="433">
                  <c:v>4.2841564075342777</c:v>
                </c:pt>
                <c:pt idx="434">
                  <c:v>4.2942910851404434</c:v>
                </c:pt>
                <c:pt idx="435">
                  <c:v>4.3044184363881106</c:v>
                </c:pt>
                <c:pt idx="436">
                  <c:v>4.3145340618035828</c:v>
                </c:pt>
                <c:pt idx="437">
                  <c:v>4.3246372465717497</c:v>
                </c:pt>
                <c:pt idx="438">
                  <c:v>4.33472433926186</c:v>
                </c:pt>
                <c:pt idx="439">
                  <c:v>4.3447986778883045</c:v>
                </c:pt>
                <c:pt idx="440">
                  <c:v>4.3548511168421102</c:v>
                </c:pt>
                <c:pt idx="441">
                  <c:v>4.3648920058597769</c:v>
                </c:pt>
                <c:pt idx="442">
                  <c:v>4.3749001272883321</c:v>
                </c:pt>
                <c:pt idx="443">
                  <c:v>4.3848886187487768</c:v>
                </c:pt>
                <c:pt idx="444">
                  <c:v>4.3948524264582769</c:v>
                </c:pt>
                <c:pt idx="445">
                  <c:v>4.4047953553944437</c:v>
                </c:pt>
                <c:pt idx="446">
                  <c:v>4.4147054753071098</c:v>
                </c:pt>
                <c:pt idx="447">
                  <c:v>4.4245945326733329</c:v>
                </c:pt>
                <c:pt idx="448">
                  <c:v>4.4344512918073047</c:v>
                </c:pt>
                <c:pt idx="449">
                  <c:v>4.4442693524949153</c:v>
                </c:pt>
                <c:pt idx="450">
                  <c:v>4.4540677389412213</c:v>
                </c:pt>
                <c:pt idx="451">
                  <c:v>4.4638374475424989</c:v>
                </c:pt>
                <c:pt idx="452">
                  <c:v>4.4735647088190822</c:v>
                </c:pt>
                <c:pt idx="453">
                  <c:v>4.4832837023549716</c:v>
                </c:pt>
                <c:pt idx="454">
                  <c:v>4.4929889582246938</c:v>
                </c:pt>
                <c:pt idx="455">
                  <c:v>4.5026942140944151</c:v>
                </c:pt>
                <c:pt idx="456">
                  <c:v>4.5123233739885826</c:v>
                </c:pt>
                <c:pt idx="457">
                  <c:v>4.521934405906916</c:v>
                </c:pt>
                <c:pt idx="458">
                  <c:v>4.5315271567902489</c:v>
                </c:pt>
                <c:pt idx="459">
                  <c:v>4.5410943495685823</c:v>
                </c:pt>
                <c:pt idx="460">
                  <c:v>4.5505901074802493</c:v>
                </c:pt>
                <c:pt idx="461">
                  <c:v>4.5600538387055272</c:v>
                </c:pt>
                <c:pt idx="462">
                  <c:v>4.5695135231510822</c:v>
                </c:pt>
                <c:pt idx="463">
                  <c:v>4.5789422299613598</c:v>
                </c:pt>
                <c:pt idx="464">
                  <c:v>4.5883348636710819</c:v>
                </c:pt>
                <c:pt idx="465">
                  <c:v>4.5977053479208037</c:v>
                </c:pt>
                <c:pt idx="466">
                  <c:v>4.6070632692396929</c:v>
                </c:pt>
                <c:pt idx="467">
                  <c:v>4.6164158564721927</c:v>
                </c:pt>
                <c:pt idx="468">
                  <c:v>4.6257405565680267</c:v>
                </c:pt>
                <c:pt idx="469">
                  <c:v>4.6350443946471929</c:v>
                </c:pt>
                <c:pt idx="470">
                  <c:v>4.6443304149596925</c:v>
                </c:pt>
                <c:pt idx="471">
                  <c:v>4.6536088471913599</c:v>
                </c:pt>
                <c:pt idx="472">
                  <c:v>4.6628712626355266</c:v>
                </c:pt>
                <c:pt idx="473">
                  <c:v>4.6721216415263598</c:v>
                </c:pt>
                <c:pt idx="474">
                  <c:v>4.6813619454941371</c:v>
                </c:pt>
                <c:pt idx="475">
                  <c:v>4.6905921102299706</c:v>
                </c:pt>
                <c:pt idx="476">
                  <c:v>4.6998125838421929</c:v>
                </c:pt>
                <c:pt idx="477">
                  <c:v>4.7090236390510816</c:v>
                </c:pt>
                <c:pt idx="478">
                  <c:v>4.71822945093386</c:v>
                </c:pt>
                <c:pt idx="479">
                  <c:v>4.7274282097554989</c:v>
                </c:pt>
                <c:pt idx="480">
                  <c:v>4.7366231878757494</c:v>
                </c:pt>
                <c:pt idx="481">
                  <c:v>4.7458121781043046</c:v>
                </c:pt>
                <c:pt idx="482">
                  <c:v>4.7549982665646651</c:v>
                </c:pt>
                <c:pt idx="483">
                  <c:v>4.7641890477292215</c:v>
                </c:pt>
                <c:pt idx="484">
                  <c:v>4.7733839449570272</c:v>
                </c:pt>
                <c:pt idx="485">
                  <c:v>4.7825721503756942</c:v>
                </c:pt>
                <c:pt idx="486">
                  <c:v>4.7917718314007214</c:v>
                </c:pt>
                <c:pt idx="487">
                  <c:v>4.8009809969023873</c:v>
                </c:pt>
                <c:pt idx="488">
                  <c:v>4.8101996723197491</c:v>
                </c:pt>
                <c:pt idx="489">
                  <c:v>4.8194244279732494</c:v>
                </c:pt>
                <c:pt idx="490">
                  <c:v>4.8286549379359434</c:v>
                </c:pt>
                <c:pt idx="491">
                  <c:v>4.8379067148633323</c:v>
                </c:pt>
                <c:pt idx="492">
                  <c:v>4.8471767397987486</c:v>
                </c:pt>
                <c:pt idx="493">
                  <c:v>4.8564591490451932</c:v>
                </c:pt>
                <c:pt idx="494">
                  <c:v>4.8657565854589153</c:v>
                </c:pt>
                <c:pt idx="495">
                  <c:v>4.875075320392777</c:v>
                </c:pt>
                <c:pt idx="496">
                  <c:v>4.8844087074515823</c:v>
                </c:pt>
                <c:pt idx="497">
                  <c:v>4.8937729554498324</c:v>
                </c:pt>
                <c:pt idx="498">
                  <c:v>4.9031657486715545</c:v>
                </c:pt>
                <c:pt idx="499">
                  <c:v>4.9125584358558321</c:v>
                </c:pt>
                <c:pt idx="500">
                  <c:v>4.9219915292420824</c:v>
                </c:pt>
                <c:pt idx="501">
                  <c:v>4.9314615883756936</c:v>
                </c:pt>
                <c:pt idx="502">
                  <c:v>4.940938162852305</c:v>
                </c:pt>
                <c:pt idx="503">
                  <c:v>4.9504317143652212</c:v>
                </c:pt>
                <c:pt idx="504">
                  <c:v>4.9599722241020272</c:v>
                </c:pt>
                <c:pt idx="505">
                  <c:v>4.9695376342891384</c:v>
                </c:pt>
                <c:pt idx="506">
                  <c:v>4.979123324809013</c:v>
                </c:pt>
                <c:pt idx="507">
                  <c:v>4.9887178407898762</c:v>
                </c:pt>
                <c:pt idx="508">
                  <c:v>4.9983614864066679</c:v>
                </c:pt>
                <c:pt idx="509">
                  <c:v>5.0080178553289958</c:v>
                </c:pt>
                <c:pt idx="510">
                  <c:v>5.0177417514184626</c:v>
                </c:pt>
                <c:pt idx="511">
                  <c:v>5.0274860527513603</c:v>
                </c:pt>
                <c:pt idx="512">
                  <c:v>5.0372121437355037</c:v>
                </c:pt>
                <c:pt idx="513">
                  <c:v>5.0469570136100508</c:v>
                </c:pt>
                <c:pt idx="514">
                  <c:v>5.0567460972337255</c:v>
                </c:pt>
                <c:pt idx="515">
                  <c:v>5.0665719055208589</c:v>
                </c:pt>
                <c:pt idx="516">
                  <c:v>5.0764065083425312</c:v>
                </c:pt>
                <c:pt idx="517">
                  <c:v>5.0862589431065919</c:v>
                </c:pt>
                <c:pt idx="518">
                  <c:v>5.0961460930150508</c:v>
                </c:pt>
                <c:pt idx="519">
                  <c:v>5.1060829042707176</c:v>
                </c:pt>
                <c:pt idx="520">
                  <c:v>5.116040456652704</c:v>
                </c:pt>
                <c:pt idx="521">
                  <c:v>5.1260207656418038</c:v>
                </c:pt>
                <c:pt idx="522">
                  <c:v>5.1360285463013753</c:v>
                </c:pt>
                <c:pt idx="523">
                  <c:v>5.1460561040673873</c:v>
                </c:pt>
                <c:pt idx="524">
                  <c:v>5.1561063582212396</c:v>
                </c:pt>
                <c:pt idx="525">
                  <c:v>5.1661803146634089</c:v>
                </c:pt>
                <c:pt idx="526">
                  <c:v>5.1762801092392063</c:v>
                </c:pt>
                <c:pt idx="527">
                  <c:v>5.1863924309993727</c:v>
                </c:pt>
                <c:pt idx="528">
                  <c:v>5.196522560087848</c:v>
                </c:pt>
                <c:pt idx="529">
                  <c:v>5.2066550262006119</c:v>
                </c:pt>
                <c:pt idx="530">
                  <c:v>5.2167813215551755</c:v>
                </c:pt>
                <c:pt idx="531">
                  <c:v>5.2269354735253284</c:v>
                </c:pt>
                <c:pt idx="532">
                  <c:v>5.2370966869431195</c:v>
                </c:pt>
                <c:pt idx="533">
                  <c:v>5.2472360974793721</c:v>
                </c:pt>
                <c:pt idx="534">
                  <c:v>5.2573772171253701</c:v>
                </c:pt>
                <c:pt idx="535">
                  <c:v>5.2675428568040807</c:v>
                </c:pt>
                <c:pt idx="536">
                  <c:v>5.2777090054861668</c:v>
                </c:pt>
                <c:pt idx="537">
                  <c:v>5.287860596863581</c:v>
                </c:pt>
                <c:pt idx="538">
                  <c:v>5.2979969496108303</c:v>
                </c:pt>
                <c:pt idx="539">
                  <c:v>5.3081218827376357</c:v>
                </c:pt>
                <c:pt idx="540">
                  <c:v>5.3182375772727193</c:v>
                </c:pt>
                <c:pt idx="541">
                  <c:v>5.3283432290886079</c:v>
                </c:pt>
                <c:pt idx="542">
                  <c:v>5.3384344200672196</c:v>
                </c:pt>
                <c:pt idx="543">
                  <c:v>5.3484955289394689</c:v>
                </c:pt>
                <c:pt idx="544">
                  <c:v>5.3585403872926909</c:v>
                </c:pt>
                <c:pt idx="545">
                  <c:v>5.3685615726852465</c:v>
                </c:pt>
                <c:pt idx="546">
                  <c:v>5.3785697769456355</c:v>
                </c:pt>
                <c:pt idx="547">
                  <c:v>5.3885515778350799</c:v>
                </c:pt>
                <c:pt idx="548">
                  <c:v>5.3985033803993296</c:v>
                </c:pt>
                <c:pt idx="549">
                  <c:v>5.4084290899110243</c:v>
                </c:pt>
                <c:pt idx="550">
                  <c:v>5.4183219313798023</c:v>
                </c:pt>
                <c:pt idx="551">
                  <c:v>5.4281869054792464</c:v>
                </c:pt>
                <c:pt idx="552">
                  <c:v>5.4380333722508016</c:v>
                </c:pt>
                <c:pt idx="553">
                  <c:v>5.4478456917155516</c:v>
                </c:pt>
                <c:pt idx="554">
                  <c:v>5.4576182872849683</c:v>
                </c:pt>
                <c:pt idx="555">
                  <c:v>5.4673621291717458</c:v>
                </c:pt>
                <c:pt idx="556">
                  <c:v>5.4770642912788565</c:v>
                </c:pt>
                <c:pt idx="557">
                  <c:v>5.4867335070649395</c:v>
                </c:pt>
                <c:pt idx="558">
                  <c:v>5.496373620909579</c:v>
                </c:pt>
                <c:pt idx="559">
                  <c:v>5.5060137347542186</c:v>
                </c:pt>
                <c:pt idx="560">
                  <c:v>5.5156237257700518</c:v>
                </c:pt>
                <c:pt idx="561">
                  <c:v>5.5252196395142184</c:v>
                </c:pt>
                <c:pt idx="562">
                  <c:v>5.5347875609972741</c:v>
                </c:pt>
                <c:pt idx="563">
                  <c:v>5.5443158024033847</c:v>
                </c:pt>
                <c:pt idx="564">
                  <c:v>5.5537914230058849</c:v>
                </c:pt>
                <c:pt idx="565">
                  <c:v>5.5632595493139405</c:v>
                </c:pt>
                <c:pt idx="566">
                  <c:v>5.5727094749944959</c:v>
                </c:pt>
                <c:pt idx="567">
                  <c:v>5.5821190673478291</c:v>
                </c:pt>
                <c:pt idx="568">
                  <c:v>5.5914986560044957</c:v>
                </c:pt>
                <c:pt idx="569">
                  <c:v>5.6008846181750513</c:v>
                </c:pt>
                <c:pt idx="570">
                  <c:v>5.6102468347622736</c:v>
                </c:pt>
                <c:pt idx="571">
                  <c:v>5.6195797874883855</c:v>
                </c:pt>
                <c:pt idx="572">
                  <c:v>5.6288981597117189</c:v>
                </c:pt>
                <c:pt idx="573">
                  <c:v>5.6382091573997739</c:v>
                </c:pt>
                <c:pt idx="574">
                  <c:v>5.6474932047425517</c:v>
                </c:pt>
                <c:pt idx="575">
                  <c:v>5.6567643367236631</c:v>
                </c:pt>
                <c:pt idx="576">
                  <c:v>5.6660282781106073</c:v>
                </c:pt>
                <c:pt idx="577">
                  <c:v>5.6752855754867184</c:v>
                </c:pt>
                <c:pt idx="578">
                  <c:v>5.6845227538289409</c:v>
                </c:pt>
                <c:pt idx="579">
                  <c:v>5.6937508380197741</c:v>
                </c:pt>
                <c:pt idx="580">
                  <c:v>5.702975479154774</c:v>
                </c:pt>
                <c:pt idx="581">
                  <c:v>5.7121848187289403</c:v>
                </c:pt>
                <c:pt idx="582">
                  <c:v>5.7213944538436623</c:v>
                </c:pt>
                <c:pt idx="583">
                  <c:v>5.7305978217866063</c:v>
                </c:pt>
                <c:pt idx="584">
                  <c:v>5.7397865332302453</c:v>
                </c:pt>
                <c:pt idx="585">
                  <c:v>5.7489762799552739</c:v>
                </c:pt>
                <c:pt idx="586">
                  <c:v>5.7581689290258291</c:v>
                </c:pt>
                <c:pt idx="587">
                  <c:v>5.767358678591024</c:v>
                </c:pt>
                <c:pt idx="588">
                  <c:v>5.7765471341221906</c:v>
                </c:pt>
                <c:pt idx="589">
                  <c:v>5.7857496059026072</c:v>
                </c:pt>
                <c:pt idx="590">
                  <c:v>5.7949531617159966</c:v>
                </c:pt>
                <c:pt idx="591">
                  <c:v>5.8041612475639139</c:v>
                </c:pt>
                <c:pt idx="592">
                  <c:v>5.8133874174600253</c:v>
                </c:pt>
                <c:pt idx="593">
                  <c:v>5.82261722632283</c:v>
                </c:pt>
                <c:pt idx="594">
                  <c:v>5.8318583735954963</c:v>
                </c:pt>
                <c:pt idx="595">
                  <c:v>5.8411218062774966</c:v>
                </c:pt>
                <c:pt idx="596">
                  <c:v>5.850401695420774</c:v>
                </c:pt>
                <c:pt idx="597">
                  <c:v>5.859702309152885</c:v>
                </c:pt>
                <c:pt idx="598">
                  <c:v>5.8690072075527748</c:v>
                </c:pt>
                <c:pt idx="599">
                  <c:v>5.8783310955196084</c:v>
                </c:pt>
                <c:pt idx="600">
                  <c:v>5.88767837961558</c:v>
                </c:pt>
                <c:pt idx="601">
                  <c:v>5.8970455121496359</c:v>
                </c:pt>
                <c:pt idx="602">
                  <c:v>5.9064476186810531</c:v>
                </c:pt>
                <c:pt idx="603">
                  <c:v>5.9158638661821366</c:v>
                </c:pt>
                <c:pt idx="604">
                  <c:v>5.9253108864664972</c:v>
                </c:pt>
                <c:pt idx="605">
                  <c:v>5.9347924659306361</c:v>
                </c:pt>
                <c:pt idx="606">
                  <c:v>5.9442947402509967</c:v>
                </c:pt>
                <c:pt idx="607">
                  <c:v>5.9538199379253305</c:v>
                </c:pt>
                <c:pt idx="608">
                  <c:v>5.9633640730283588</c:v>
                </c:pt>
                <c:pt idx="609">
                  <c:v>5.9728920311383833</c:v>
                </c:pt>
                <c:pt idx="610">
                  <c:v>5.9824752404382995</c:v>
                </c:pt>
                <c:pt idx="611">
                  <c:v>5.992114973161808</c:v>
                </c:pt>
                <c:pt idx="612">
                  <c:v>6.0018018201825729</c:v>
                </c:pt>
                <c:pt idx="613">
                  <c:v>6.0114647342514962</c:v>
                </c:pt>
                <c:pt idx="614">
                  <c:v>6.0211436602766071</c:v>
                </c:pt>
                <c:pt idx="615">
                  <c:v>6.0308602236355568</c:v>
                </c:pt>
                <c:pt idx="616">
                  <c:v>6.0406054900305817</c:v>
                </c:pt>
                <c:pt idx="617">
                  <c:v>6.0503365629964669</c:v>
                </c:pt>
                <c:pt idx="618">
                  <c:v>6.0601527269526665</c:v>
                </c:pt>
                <c:pt idx="619">
                  <c:v>6.0699744288178943</c:v>
                </c:pt>
                <c:pt idx="620">
                  <c:v>6.0797937372879192</c:v>
                </c:pt>
                <c:pt idx="621">
                  <c:v>6.0896397227199106</c:v>
                </c:pt>
                <c:pt idx="622">
                  <c:v>6.0995545453179716</c:v>
                </c:pt>
                <c:pt idx="623">
                  <c:v>6.109483178185239</c:v>
                </c:pt>
                <c:pt idx="624">
                  <c:v>6.1194251222418856</c:v>
                </c:pt>
                <c:pt idx="625">
                  <c:v>6.1294046645301252</c:v>
                </c:pt>
                <c:pt idx="626">
                  <c:v>6.1394211407345169</c:v>
                </c:pt>
                <c:pt idx="627">
                  <c:v>6.1494525262205162</c:v>
                </c:pt>
                <c:pt idx="628">
                  <c:v>6.1595157096231166</c:v>
                </c:pt>
                <c:pt idx="629">
                  <c:v>6.169588456596987</c:v>
                </c:pt>
                <c:pt idx="630">
                  <c:v>6.1796726071984303</c:v>
                </c:pt>
                <c:pt idx="631">
                  <c:v>6.1897757383398382</c:v>
                </c:pt>
                <c:pt idx="632">
                  <c:v>6.1999057130692297</c:v>
                </c:pt>
                <c:pt idx="633">
                  <c:v>6.2100336920104384</c:v>
                </c:pt>
                <c:pt idx="634">
                  <c:v>6.2201720119442472</c:v>
                </c:pt>
                <c:pt idx="635">
                  <c:v>6.2303246736749092</c:v>
                </c:pt>
                <c:pt idx="636">
                  <c:v>6.2404711369696111</c:v>
                </c:pt>
                <c:pt idx="637">
                  <c:v>6.2506133392541479</c:v>
                </c:pt>
                <c:pt idx="638">
                  <c:v>6.2607520199720836</c:v>
                </c:pt>
                <c:pt idx="639">
                  <c:v>6.2708874409347723</c:v>
                </c:pt>
                <c:pt idx="640">
                  <c:v>6.2810343600672471</c:v>
                </c:pt>
                <c:pt idx="641">
                  <c:v>6.2911688723060255</c:v>
                </c:pt>
                <c:pt idx="642">
                  <c:v>6.301287192978192</c:v>
                </c:pt>
                <c:pt idx="643">
                  <c:v>6.3113867672688864</c:v>
                </c:pt>
                <c:pt idx="644">
                  <c:v>6.3214672235842473</c:v>
                </c:pt>
                <c:pt idx="645">
                  <c:v>6.3315184826798312</c:v>
                </c:pt>
                <c:pt idx="646">
                  <c:v>6.3416021935893578</c:v>
                </c:pt>
                <c:pt idx="647">
                  <c:v>6.3516652764234971</c:v>
                </c:pt>
                <c:pt idx="648">
                  <c:v>6.3616911668218572</c:v>
                </c:pt>
                <c:pt idx="649">
                  <c:v>6.3716921097574692</c:v>
                </c:pt>
                <c:pt idx="650">
                  <c:v>6.3816703345604688</c:v>
                </c:pt>
                <c:pt idx="651">
                  <c:v>6.3916403528109971</c:v>
                </c:pt>
                <c:pt idx="652">
                  <c:v>6.4015732877777189</c:v>
                </c:pt>
                <c:pt idx="653">
                  <c:v>6.4114820712308305</c:v>
                </c:pt>
                <c:pt idx="654">
                  <c:v>6.4213636034518862</c:v>
                </c:pt>
                <c:pt idx="655">
                  <c:v>6.4312080078877747</c:v>
                </c:pt>
                <c:pt idx="656">
                  <c:v>6.4410334665876361</c:v>
                </c:pt>
                <c:pt idx="657">
                  <c:v>6.4508388509543302</c:v>
                </c:pt>
                <c:pt idx="658">
                  <c:v>6.4605942021310527</c:v>
                </c:pt>
                <c:pt idx="659">
                  <c:v>6.470317846690385</c:v>
                </c:pt>
                <c:pt idx="660">
                  <c:v>6.4800321579676075</c:v>
                </c:pt>
                <c:pt idx="661">
                  <c:v>6.4897022862922746</c:v>
                </c:pt>
                <c:pt idx="662">
                  <c:v>6.4993467373185521</c:v>
                </c:pt>
                <c:pt idx="663">
                  <c:v>6.5089911883448295</c:v>
                </c:pt>
                <c:pt idx="664">
                  <c:v>6.5186149003459404</c:v>
                </c:pt>
                <c:pt idx="665">
                  <c:v>6.5281564403034409</c:v>
                </c:pt>
                <c:pt idx="666">
                  <c:v>6.5377208507178857</c:v>
                </c:pt>
                <c:pt idx="667">
                  <c:v>6.5472452905773304</c:v>
                </c:pt>
                <c:pt idx="668">
                  <c:v>6.5567299322276087</c:v>
                </c:pt>
                <c:pt idx="669">
                  <c:v>6.5662130023128862</c:v>
                </c:pt>
                <c:pt idx="670">
                  <c:v>6.5756712086617757</c:v>
                </c:pt>
                <c:pt idx="671">
                  <c:v>6.5850912157526089</c:v>
                </c:pt>
                <c:pt idx="672">
                  <c:v>6.5944947574309429</c:v>
                </c:pt>
                <c:pt idx="673">
                  <c:v>6.6038225119351095</c:v>
                </c:pt>
                <c:pt idx="674">
                  <c:v>6.6131561458667765</c:v>
                </c:pt>
                <c:pt idx="675">
                  <c:v>6.6225243282628865</c:v>
                </c:pt>
                <c:pt idx="676">
                  <c:v>6.6318406087764981</c:v>
                </c:pt>
                <c:pt idx="677">
                  <c:v>6.6411453487234429</c:v>
                </c:pt>
                <c:pt idx="678">
                  <c:v>6.6504522025734429</c:v>
                </c:pt>
                <c:pt idx="679">
                  <c:v>6.6597505055753876</c:v>
                </c:pt>
                <c:pt idx="680">
                  <c:v>6.6690312807581655</c:v>
                </c:pt>
                <c:pt idx="681">
                  <c:v>6.6783054983920538</c:v>
                </c:pt>
                <c:pt idx="682">
                  <c:v>6.6875542779489985</c:v>
                </c:pt>
                <c:pt idx="683">
                  <c:v>6.6967815115328877</c:v>
                </c:pt>
                <c:pt idx="684">
                  <c:v>6.7060054883756655</c:v>
                </c:pt>
                <c:pt idx="685">
                  <c:v>6.7152348726112212</c:v>
                </c:pt>
                <c:pt idx="686">
                  <c:v>6.7244545469187216</c:v>
                </c:pt>
                <c:pt idx="687">
                  <c:v>6.7336704215862495</c:v>
                </c:pt>
                <c:pt idx="688">
                  <c:v>6.7428857405397489</c:v>
                </c:pt>
                <c:pt idx="689">
                  <c:v>6.752086377183943</c:v>
                </c:pt>
                <c:pt idx="690">
                  <c:v>6.7612880296000819</c:v>
                </c:pt>
                <c:pt idx="691">
                  <c:v>6.7704925188975542</c:v>
                </c:pt>
                <c:pt idx="692">
                  <c:v>6.7797051078868318</c:v>
                </c:pt>
                <c:pt idx="693">
                  <c:v>6.7889315499678595</c:v>
                </c:pt>
                <c:pt idx="694">
                  <c:v>6.7981507678857485</c:v>
                </c:pt>
                <c:pt idx="695">
                  <c:v>6.8073784311794991</c:v>
                </c:pt>
                <c:pt idx="696">
                  <c:v>6.8166112848761662</c:v>
                </c:pt>
                <c:pt idx="697">
                  <c:v>6.8258507498941663</c:v>
                </c:pt>
                <c:pt idx="698">
                  <c:v>6.8351078074818892</c:v>
                </c:pt>
                <c:pt idx="699">
                  <c:v>6.8443898617045837</c:v>
                </c:pt>
                <c:pt idx="700">
                  <c:v>6.8536729513857511</c:v>
                </c:pt>
                <c:pt idx="701">
                  <c:v>6.8629824018393615</c:v>
                </c:pt>
                <c:pt idx="702">
                  <c:v>6.8723161691353614</c:v>
                </c:pt>
                <c:pt idx="703">
                  <c:v>6.8816676382573343</c:v>
                </c:pt>
                <c:pt idx="704">
                  <c:v>6.8910419402091954</c:v>
                </c:pt>
                <c:pt idx="705">
                  <c:v>6.9004273897792787</c:v>
                </c:pt>
                <c:pt idx="706">
                  <c:v>6.9098443721514453</c:v>
                </c:pt>
                <c:pt idx="707">
                  <c:v>6.9192878851189175</c:v>
                </c:pt>
                <c:pt idx="708">
                  <c:v>6.9287498859583341</c:v>
                </c:pt>
                <c:pt idx="709">
                  <c:v>6.9382506943848616</c:v>
                </c:pt>
                <c:pt idx="710">
                  <c:v>6.9477790375817774</c:v>
                </c:pt>
                <c:pt idx="711">
                  <c:v>6.9573227538422779</c:v>
                </c:pt>
                <c:pt idx="712">
                  <c:v>6.9668809371451115</c:v>
                </c:pt>
                <c:pt idx="713">
                  <c:v>6.9765096902787338</c:v>
                </c:pt>
                <c:pt idx="714">
                  <c:v>6.9861165400441756</c:v>
                </c:pt>
                <c:pt idx="715">
                  <c:v>6.9957283521009606</c:v>
                </c:pt>
                <c:pt idx="716">
                  <c:v>7.0054065750815449</c:v>
                </c:pt>
                <c:pt idx="717">
                  <c:v>7.0151120641474742</c:v>
                </c:pt>
                <c:pt idx="718">
                  <c:v>7.0248156491999731</c:v>
                </c:pt>
                <c:pt idx="719">
                  <c:v>7.0344893195407971</c:v>
                </c:pt>
                <c:pt idx="720">
                  <c:v>7.0442590268250136</c:v>
                </c:pt>
                <c:pt idx="721">
                  <c:v>7.0540670933962195</c:v>
                </c:pt>
                <c:pt idx="722">
                  <c:v>7.0638028654364566</c:v>
                </c:pt>
                <c:pt idx="723">
                  <c:v>7.0735784274818423</c:v>
                </c:pt>
                <c:pt idx="724">
                  <c:v>7.083431281323727</c:v>
                </c:pt>
                <c:pt idx="725">
                  <c:v>7.0933280695472583</c:v>
                </c:pt>
                <c:pt idx="726">
                  <c:v>7.1032499074986832</c:v>
                </c:pt>
                <c:pt idx="727">
                  <c:v>7.1132052211365018</c:v>
                </c:pt>
                <c:pt idx="728">
                  <c:v>7.1231605392273041</c:v>
                </c:pt>
                <c:pt idx="729">
                  <c:v>7.1331430032155492</c:v>
                </c:pt>
                <c:pt idx="730">
                  <c:v>7.1431567582009379</c:v>
                </c:pt>
                <c:pt idx="731">
                  <c:v>7.1531949111634052</c:v>
                </c:pt>
                <c:pt idx="732">
                  <c:v>7.1632545144750077</c:v>
                </c:pt>
                <c:pt idx="733">
                  <c:v>7.1733403651940071</c:v>
                </c:pt>
                <c:pt idx="734">
                  <c:v>7.1834335402276146</c:v>
                </c:pt>
                <c:pt idx="735">
                  <c:v>7.1935386210125154</c:v>
                </c:pt>
                <c:pt idx="736">
                  <c:v>7.20364170117701</c:v>
                </c:pt>
                <c:pt idx="737">
                  <c:v>7.2137501327127653</c:v>
                </c:pt>
                <c:pt idx="738">
                  <c:v>7.223875713941748</c:v>
                </c:pt>
                <c:pt idx="739">
                  <c:v>7.2340060977270149</c:v>
                </c:pt>
                <c:pt idx="740">
                  <c:v>7.244137939585432</c:v>
                </c:pt>
                <c:pt idx="741">
                  <c:v>7.2542562485903295</c:v>
                </c:pt>
                <c:pt idx="742">
                  <c:v>7.2643847318066266</c:v>
                </c:pt>
                <c:pt idx="743">
                  <c:v>7.2745233882508957</c:v>
                </c:pt>
                <c:pt idx="744">
                  <c:v>7.284653812954943</c:v>
                </c:pt>
                <c:pt idx="745">
                  <c:v>7.2947626926546656</c:v>
                </c:pt>
                <c:pt idx="746">
                  <c:v>7.3048545883089711</c:v>
                </c:pt>
                <c:pt idx="747">
                  <c:v>7.3149399534843873</c:v>
                </c:pt>
                <c:pt idx="748">
                  <c:v>7.3250203988942477</c:v>
                </c:pt>
                <c:pt idx="749">
                  <c:v>7.3350773112582477</c:v>
                </c:pt>
                <c:pt idx="750">
                  <c:v>7.3451147090027193</c:v>
                </c:pt>
                <c:pt idx="751">
                  <c:v>7.3551328701298582</c:v>
                </c:pt>
                <c:pt idx="752">
                  <c:v>7.3651354504051909</c:v>
                </c:pt>
                <c:pt idx="753">
                  <c:v>7.3751184014239408</c:v>
                </c:pt>
                <c:pt idx="754">
                  <c:v>7.3850742232339686</c:v>
                </c:pt>
                <c:pt idx="755">
                  <c:v>7.3949928752840242</c:v>
                </c:pt>
                <c:pt idx="756">
                  <c:v>7.4048901300122747</c:v>
                </c:pt>
                <c:pt idx="757">
                  <c:v>7.4147653943226084</c:v>
                </c:pt>
                <c:pt idx="758">
                  <c:v>7.4246110113296355</c:v>
                </c:pt>
                <c:pt idx="759">
                  <c:v>7.434415353965969</c:v>
                </c:pt>
                <c:pt idx="760">
                  <c:v>7.4441977760742741</c:v>
                </c:pt>
                <c:pt idx="761">
                  <c:v>7.4539349804279409</c:v>
                </c:pt>
                <c:pt idx="762">
                  <c:v>7.4636455980637191</c:v>
                </c:pt>
                <c:pt idx="763">
                  <c:v>7.4733439771908303</c:v>
                </c:pt>
                <c:pt idx="764">
                  <c:v>7.4830085213619135</c:v>
                </c:pt>
                <c:pt idx="765">
                  <c:v>7.4926463452203027</c:v>
                </c:pt>
                <c:pt idx="766">
                  <c:v>7.5022841690786919</c:v>
                </c:pt>
                <c:pt idx="767">
                  <c:v>7.5118944187442471</c:v>
                </c:pt>
                <c:pt idx="768">
                  <c:v>7.5214644970870239</c:v>
                </c:pt>
                <c:pt idx="769">
                  <c:v>7.5309949046081357</c:v>
                </c:pt>
                <c:pt idx="770">
                  <c:v>7.5405444250311904</c:v>
                </c:pt>
                <c:pt idx="771">
                  <c:v>7.550058234782024</c:v>
                </c:pt>
                <c:pt idx="772">
                  <c:v>7.5595512722236906</c:v>
                </c:pt>
                <c:pt idx="773">
                  <c:v>7.5690204641745238</c:v>
                </c:pt>
                <c:pt idx="774">
                  <c:v>7.5784720971611907</c:v>
                </c:pt>
                <c:pt idx="775">
                  <c:v>7.5878540839003579</c:v>
                </c:pt>
                <c:pt idx="776">
                  <c:v>7.5972307621861912</c:v>
                </c:pt>
                <c:pt idx="777">
                  <c:v>7.6066204683956355</c:v>
                </c:pt>
                <c:pt idx="778">
                  <c:v>7.6159552659036915</c:v>
                </c:pt>
                <c:pt idx="779">
                  <c:v>7.6252836912789688</c:v>
                </c:pt>
                <c:pt idx="780">
                  <c:v>7.6346149839625799</c:v>
                </c:pt>
                <c:pt idx="781">
                  <c:v>7.6439181032570245</c:v>
                </c:pt>
                <c:pt idx="782">
                  <c:v>7.6532197947253575</c:v>
                </c:pt>
                <c:pt idx="783">
                  <c:v>7.6625126313728567</c:v>
                </c:pt>
                <c:pt idx="784">
                  <c:v>7.6717857142786894</c:v>
                </c:pt>
                <c:pt idx="785">
                  <c:v>7.6810435205586902</c:v>
                </c:pt>
                <c:pt idx="786">
                  <c:v>7.6903000899256346</c:v>
                </c:pt>
                <c:pt idx="787">
                  <c:v>7.6995430418539694</c:v>
                </c:pt>
                <c:pt idx="788">
                  <c:v>7.7087688543581354</c:v>
                </c:pt>
                <c:pt idx="789">
                  <c:v>7.7179921887134144</c:v>
                </c:pt>
                <c:pt idx="790">
                  <c:v>7.7272106220995811</c:v>
                </c:pt>
                <c:pt idx="791">
                  <c:v>7.7364228670098036</c:v>
                </c:pt>
                <c:pt idx="792">
                  <c:v>7.7456293151203868</c:v>
                </c:pt>
                <c:pt idx="793">
                  <c:v>7.7548353108568584</c:v>
                </c:pt>
                <c:pt idx="794">
                  <c:v>7.7640532122445531</c:v>
                </c:pt>
                <c:pt idx="795">
                  <c:v>7.7732738519838307</c:v>
                </c:pt>
                <c:pt idx="796">
                  <c:v>7.7824995884930814</c:v>
                </c:pt>
                <c:pt idx="797">
                  <c:v>7.7917222016953307</c:v>
                </c:pt>
                <c:pt idx="798">
                  <c:v>7.8009416151176358</c:v>
                </c:pt>
                <c:pt idx="799">
                  <c:v>7.8101624301796084</c:v>
                </c:pt>
                <c:pt idx="800">
                  <c:v>7.8194146974403589</c:v>
                </c:pt>
                <c:pt idx="801">
                  <c:v>7.8286688456918876</c:v>
                </c:pt>
                <c:pt idx="802">
                  <c:v>7.8379306657827756</c:v>
                </c:pt>
                <c:pt idx="803">
                  <c:v>7.8472224821515812</c:v>
                </c:pt>
                <c:pt idx="804">
                  <c:v>7.8565316252150819</c:v>
                </c:pt>
                <c:pt idx="805">
                  <c:v>7.8658454335971362</c:v>
                </c:pt>
                <c:pt idx="806">
                  <c:v>7.875156106177581</c:v>
                </c:pt>
                <c:pt idx="807">
                  <c:v>7.8844898506859424</c:v>
                </c:pt>
                <c:pt idx="808">
                  <c:v>7.8938556071760253</c:v>
                </c:pt>
                <c:pt idx="809">
                  <c:v>7.9032515598392754</c:v>
                </c:pt>
                <c:pt idx="810">
                  <c:v>7.9126253965338593</c:v>
                </c:pt>
                <c:pt idx="811">
                  <c:v>7.9220237225255534</c:v>
                </c:pt>
                <c:pt idx="812">
                  <c:v>7.9314690399411374</c:v>
                </c:pt>
                <c:pt idx="813">
                  <c:v>7.9409280732137484</c:v>
                </c:pt>
                <c:pt idx="814">
                  <c:v>7.9504053628307476</c:v>
                </c:pt>
                <c:pt idx="815">
                  <c:v>7.9599303414536369</c:v>
                </c:pt>
                <c:pt idx="816">
                  <c:v>7.9694764121394988</c:v>
                </c:pt>
                <c:pt idx="817">
                  <c:v>7.9790425350164265</c:v>
                </c:pt>
                <c:pt idx="818">
                  <c:v>7.9886518085187816</c:v>
                </c:pt>
                <c:pt idx="819">
                  <c:v>7.9982776406734652</c:v>
                </c:pt>
                <c:pt idx="820">
                  <c:v>8.0079245652701001</c:v>
                </c:pt>
                <c:pt idx="821">
                  <c:v>8.017590541688655</c:v>
                </c:pt>
                <c:pt idx="822">
                  <c:v>8.0272862583795845</c:v>
                </c:pt>
                <c:pt idx="823">
                  <c:v>8.0369911479219347</c:v>
                </c:pt>
                <c:pt idx="824">
                  <c:v>8.0467538198272948</c:v>
                </c:pt>
                <c:pt idx="825">
                  <c:v>8.0564958183751987</c:v>
                </c:pt>
                <c:pt idx="826">
                  <c:v>8.0662584524493663</c:v>
                </c:pt>
                <c:pt idx="827">
                  <c:v>8.0760565830307467</c:v>
                </c:pt>
                <c:pt idx="828">
                  <c:v>8.0858968456535987</c:v>
                </c:pt>
                <c:pt idx="829">
                  <c:v>8.0957979798880153</c:v>
                </c:pt>
                <c:pt idx="830">
                  <c:v>8.1057373798648129</c:v>
                </c:pt>
                <c:pt idx="831">
                  <c:v>8.115625638772439</c:v>
                </c:pt>
                <c:pt idx="832">
                  <c:v>8.1255813674235746</c:v>
                </c:pt>
                <c:pt idx="833">
                  <c:v>8.1355766165117185</c:v>
                </c:pt>
                <c:pt idx="834">
                  <c:v>8.1456064319196795</c:v>
                </c:pt>
                <c:pt idx="835">
                  <c:v>8.1556625317716271</c:v>
                </c:pt>
                <c:pt idx="836">
                  <c:v>8.1657196531299352</c:v>
                </c:pt>
                <c:pt idx="837">
                  <c:v>8.1758034638163046</c:v>
                </c:pt>
                <c:pt idx="838">
                  <c:v>8.1859152203930545</c:v>
                </c:pt>
                <c:pt idx="839">
                  <c:v>8.1960319015462098</c:v>
                </c:pt>
                <c:pt idx="840">
                  <c:v>8.2061579968968541</c:v>
                </c:pt>
                <c:pt idx="841">
                  <c:v>8.216287363361003</c:v>
                </c:pt>
                <c:pt idx="842">
                  <c:v>8.2264137570819802</c:v>
                </c:pt>
                <c:pt idx="843">
                  <c:v>8.2365514910510651</c:v>
                </c:pt>
                <c:pt idx="844">
                  <c:v>8.2466916453179522</c:v>
                </c:pt>
                <c:pt idx="845">
                  <c:v>8.2568218894854333</c:v>
                </c:pt>
                <c:pt idx="846">
                  <c:v>8.2669485046464484</c:v>
                </c:pt>
                <c:pt idx="847">
                  <c:v>8.2770658612161689</c:v>
                </c:pt>
                <c:pt idx="848">
                  <c:v>8.2871775662926925</c:v>
                </c:pt>
                <c:pt idx="849">
                  <c:v>8.2972736122881106</c:v>
                </c:pt>
                <c:pt idx="850">
                  <c:v>8.3073601527895544</c:v>
                </c:pt>
                <c:pt idx="851">
                  <c:v>8.3174329161402216</c:v>
                </c:pt>
                <c:pt idx="852">
                  <c:v>8.3274908125553875</c:v>
                </c:pt>
                <c:pt idx="853">
                  <c:v>8.337543673609332</c:v>
                </c:pt>
                <c:pt idx="854">
                  <c:v>8.3475684711458591</c:v>
                </c:pt>
                <c:pt idx="855">
                  <c:v>8.3575885217344155</c:v>
                </c:pt>
                <c:pt idx="856">
                  <c:v>8.3675839137078043</c:v>
                </c:pt>
                <c:pt idx="857">
                  <c:v>8.3775701183509153</c:v>
                </c:pt>
                <c:pt idx="858">
                  <c:v>8.3875341979246105</c:v>
                </c:pt>
                <c:pt idx="859">
                  <c:v>8.3974578512558047</c:v>
                </c:pt>
                <c:pt idx="860">
                  <c:v>8.4073947977657486</c:v>
                </c:pt>
                <c:pt idx="861">
                  <c:v>8.4173025161638879</c:v>
                </c:pt>
                <c:pt idx="862">
                  <c:v>8.4271976518136089</c:v>
                </c:pt>
                <c:pt idx="863">
                  <c:v>8.4370738430706922</c:v>
                </c:pt>
                <c:pt idx="864">
                  <c:v>8.4469637758602758</c:v>
                </c:pt>
                <c:pt idx="865">
                  <c:v>8.4568240152095271</c:v>
                </c:pt>
                <c:pt idx="866">
                  <c:v>8.4666530219708882</c:v>
                </c:pt>
                <c:pt idx="867">
                  <c:v>8.4765271885688591</c:v>
                </c:pt>
                <c:pt idx="868">
                  <c:v>8.4864026837073325</c:v>
                </c:pt>
                <c:pt idx="869">
                  <c:v>8.4962869489698889</c:v>
                </c:pt>
                <c:pt idx="870">
                  <c:v>8.5061712142324453</c:v>
                </c:pt>
                <c:pt idx="871">
                  <c:v>8.5160886418488335</c:v>
                </c:pt>
                <c:pt idx="872">
                  <c:v>8.5259904045916119</c:v>
                </c:pt>
                <c:pt idx="873">
                  <c:v>8.5359092841052231</c:v>
                </c:pt>
                <c:pt idx="874">
                  <c:v>8.5458235400077225</c:v>
                </c:pt>
                <c:pt idx="875">
                  <c:v>8.555746640920777</c:v>
                </c:pt>
                <c:pt idx="876">
                  <c:v>8.5657131077788335</c:v>
                </c:pt>
                <c:pt idx="877">
                  <c:v>8.5757054298530004</c:v>
                </c:pt>
                <c:pt idx="878">
                  <c:v>8.5857218266468891</c:v>
                </c:pt>
                <c:pt idx="879">
                  <c:v>8.5957538161024445</c:v>
                </c:pt>
                <c:pt idx="880">
                  <c:v>8.6058247811385549</c:v>
                </c:pt>
                <c:pt idx="881">
                  <c:v>8.6159355050721658</c:v>
                </c:pt>
                <c:pt idx="882">
                  <c:v>8.6260670676527216</c:v>
                </c:pt>
                <c:pt idx="883">
                  <c:v>8.6362360774127218</c:v>
                </c:pt>
                <c:pt idx="884">
                  <c:v>8.6464375148302217</c:v>
                </c:pt>
                <c:pt idx="885">
                  <c:v>8.6566687600557781</c:v>
                </c:pt>
                <c:pt idx="886">
                  <c:v>8.6669565948007783</c:v>
                </c:pt>
                <c:pt idx="887">
                  <c:v>8.6772835664866115</c:v>
                </c:pt>
                <c:pt idx="888">
                  <c:v>8.6876678723632779</c:v>
                </c:pt>
                <c:pt idx="889">
                  <c:v>8.6980903185907792</c:v>
                </c:pt>
                <c:pt idx="890">
                  <c:v>8.7085631937502228</c:v>
                </c:pt>
                <c:pt idx="891">
                  <c:v>8.7190906308471678</c:v>
                </c:pt>
                <c:pt idx="892">
                  <c:v>8.7296758944731678</c:v>
                </c:pt>
                <c:pt idx="893">
                  <c:v>8.7403138658155015</c:v>
                </c:pt>
                <c:pt idx="894">
                  <c:v>8.7510153893643068</c:v>
                </c:pt>
                <c:pt idx="895">
                  <c:v>8.7617916878336395</c:v>
                </c:pt>
                <c:pt idx="896">
                  <c:v>8.7726255187391668</c:v>
                </c:pt>
                <c:pt idx="897">
                  <c:v>8.7835268000740001</c:v>
                </c:pt>
                <c:pt idx="898">
                  <c:v>8.7945168626685835</c:v>
                </c:pt>
                <c:pt idx="899">
                  <c:v>8.8055773977282232</c:v>
                </c:pt>
                <c:pt idx="900">
                  <c:v>8.8167069513916676</c:v>
                </c:pt>
                <c:pt idx="901">
                  <c:v>8.8279075986996123</c:v>
                </c:pt>
                <c:pt idx="902">
                  <c:v>8.8392050836858065</c:v>
                </c:pt>
                <c:pt idx="903">
                  <c:v>8.8505744386115008</c:v>
                </c:pt>
                <c:pt idx="904">
                  <c:v>8.8620348359694461</c:v>
                </c:pt>
                <c:pt idx="905">
                  <c:v>8.8735881430578889</c:v>
                </c:pt>
                <c:pt idx="906">
                  <c:v>8.8851985737001939</c:v>
                </c:pt>
                <c:pt idx="907">
                  <c:v>8.8969021640945289</c:v>
                </c:pt>
                <c:pt idx="908">
                  <c:v>8.9086602203775005</c:v>
                </c:pt>
                <c:pt idx="909">
                  <c:v>8.9204706601979442</c:v>
                </c:pt>
                <c:pt idx="910">
                  <c:v>8.9323550256434725</c:v>
                </c:pt>
                <c:pt idx="911">
                  <c:v>8.9443041066707227</c:v>
                </c:pt>
                <c:pt idx="912">
                  <c:v>8.9563053535914712</c:v>
                </c:pt>
                <c:pt idx="913">
                  <c:v>8.9683168031902767</c:v>
                </c:pt>
                <c:pt idx="914">
                  <c:v>8.9803961672219188</c:v>
                </c:pt>
                <c:pt idx="915">
                  <c:v>8.9924846931397742</c:v>
                </c:pt>
                <c:pt idx="916">
                  <c:v>9.0045540039801697</c:v>
                </c:pt>
                <c:pt idx="917">
                  <c:v>9.0166776685203924</c:v>
                </c:pt>
                <c:pt idx="918">
                  <c:v>9.0288020425582065</c:v>
                </c:pt>
                <c:pt idx="919">
                  <c:v>9.0408614704663623</c:v>
                </c:pt>
                <c:pt idx="920">
                  <c:v>9.0529392606937176</c:v>
                </c:pt>
                <c:pt idx="921">
                  <c:v>9.065077697402776</c:v>
                </c:pt>
                <c:pt idx="922">
                  <c:v>9.0772049520793345</c:v>
                </c:pt>
                <c:pt idx="923">
                  <c:v>9.0893485626149637</c:v>
                </c:pt>
                <c:pt idx="924">
                  <c:v>9.1014856962073676</c:v>
                </c:pt>
                <c:pt idx="925">
                  <c:v>9.1136292281875289</c:v>
                </c:pt>
                <c:pt idx="926">
                  <c:v>9.1257867182613648</c:v>
                </c:pt>
                <c:pt idx="927">
                  <c:v>9.1379763753501742</c:v>
                </c:pt>
                <c:pt idx="928">
                  <c:v>9.150193544051378</c:v>
                </c:pt>
                <c:pt idx="929">
                  <c:v>9.1624313975712042</c:v>
                </c:pt>
                <c:pt idx="930">
                  <c:v>9.1746784915544044</c:v>
                </c:pt>
                <c:pt idx="931">
                  <c:v>9.1869330224957508</c:v>
                </c:pt>
                <c:pt idx="932">
                  <c:v>9.199201161301259</c:v>
                </c:pt>
                <c:pt idx="933">
                  <c:v>9.2114853239456433</c:v>
                </c:pt>
                <c:pt idx="934">
                  <c:v>9.2237814408568468</c:v>
                </c:pt>
                <c:pt idx="935">
                  <c:v>9.2360888204452998</c:v>
                </c:pt>
                <c:pt idx="936">
                  <c:v>9.2484118452669097</c:v>
                </c:pt>
                <c:pt idx="937">
                  <c:v>9.2607497009845314</c:v>
                </c:pt>
                <c:pt idx="938">
                  <c:v>9.2730982404472009</c:v>
                </c:pt>
                <c:pt idx="939">
                  <c:v>9.2854567817930569</c:v>
                </c:pt>
                <c:pt idx="940">
                  <c:v>9.297828014747612</c:v>
                </c:pt>
                <c:pt idx="941">
                  <c:v>9.310211895070335</c:v>
                </c:pt>
                <c:pt idx="942">
                  <c:v>9.3226024064496684</c:v>
                </c:pt>
                <c:pt idx="943">
                  <c:v>9.3349974226683621</c:v>
                </c:pt>
                <c:pt idx="944">
                  <c:v>9.3473972215190297</c:v>
                </c:pt>
                <c:pt idx="945">
                  <c:v>9.3598019811520015</c:v>
                </c:pt>
                <c:pt idx="946">
                  <c:v>9.3722097013628627</c:v>
                </c:pt>
                <c:pt idx="947">
                  <c:v>9.3846234263275843</c:v>
                </c:pt>
                <c:pt idx="948">
                  <c:v>9.3970431021598078</c:v>
                </c:pt>
                <c:pt idx="949">
                  <c:v>9.4094640917272798</c:v>
                </c:pt>
                <c:pt idx="950">
                  <c:v>9.4218891366193631</c:v>
                </c:pt>
                <c:pt idx="951">
                  <c:v>9.4343227719688905</c:v>
                </c:pt>
                <c:pt idx="952">
                  <c:v>9.4467616251146111</c:v>
                </c:pt>
                <c:pt idx="953">
                  <c:v>9.4592030523959458</c:v>
                </c:pt>
                <c:pt idx="954">
                  <c:v>9.4716474026541384</c:v>
                </c:pt>
                <c:pt idx="955">
                  <c:v>9.4841008383197227</c:v>
                </c:pt>
                <c:pt idx="956">
                  <c:v>9.4965655144935006</c:v>
                </c:pt>
                <c:pt idx="957">
                  <c:v>9.5090301906672767</c:v>
                </c:pt>
                <c:pt idx="958">
                  <c:v>9.521514492433111</c:v>
                </c:pt>
                <c:pt idx="959">
                  <c:v>9.5340022927492214</c:v>
                </c:pt>
                <c:pt idx="960">
                  <c:v>9.5465092605719981</c:v>
                </c:pt>
                <c:pt idx="961">
                  <c:v>9.55903113655922</c:v>
                </c:pt>
                <c:pt idx="962">
                  <c:v>9.5715419746875536</c:v>
                </c:pt>
                <c:pt idx="963">
                  <c:v>9.5840439837958868</c:v>
                </c:pt>
                <c:pt idx="964">
                  <c:v>9.5965612795319988</c:v>
                </c:pt>
                <c:pt idx="965">
                  <c:v>9.6090921780900551</c:v>
                </c:pt>
                <c:pt idx="966">
                  <c:v>9.6216050788619985</c:v>
                </c:pt>
                <c:pt idx="967">
                  <c:v>9.6341025874389423</c:v>
                </c:pt>
                <c:pt idx="968">
                  <c:v>9.6466080265647758</c:v>
                </c:pt>
                <c:pt idx="969">
                  <c:v>9.6591003700919984</c:v>
                </c:pt>
                <c:pt idx="970">
                  <c:v>9.6715833469178314</c:v>
                </c:pt>
                <c:pt idx="971">
                  <c:v>9.6840349621533868</c:v>
                </c:pt>
                <c:pt idx="972">
                  <c:v>9.6964821599400537</c:v>
                </c:pt>
                <c:pt idx="973">
                  <c:v>9.708913492979498</c:v>
                </c:pt>
                <c:pt idx="974">
                  <c:v>9.7213309467219986</c:v>
                </c:pt>
                <c:pt idx="975">
                  <c:v>9.7337329238831654</c:v>
                </c:pt>
                <c:pt idx="976">
                  <c:v>9.7461234330223885</c:v>
                </c:pt>
                <c:pt idx="977">
                  <c:v>9.7585072618739996</c:v>
                </c:pt>
                <c:pt idx="978">
                  <c:v>9.7708962483862507</c:v>
                </c:pt>
                <c:pt idx="979">
                  <c:v>9.7832905302465001</c:v>
                </c:pt>
                <c:pt idx="980">
                  <c:v>9.7956813074046121</c:v>
                </c:pt>
                <c:pt idx="981">
                  <c:v>9.8080884797875836</c:v>
                </c:pt>
                <c:pt idx="982">
                  <c:v>9.8205229777240568</c:v>
                </c:pt>
                <c:pt idx="983">
                  <c:v>9.8329741570961122</c:v>
                </c:pt>
                <c:pt idx="984">
                  <c:v>9.8454538012927504</c:v>
                </c:pt>
                <c:pt idx="985">
                  <c:v>9.8579621368415289</c:v>
                </c:pt>
                <c:pt idx="986">
                  <c:v>9.8704894559656395</c:v>
                </c:pt>
                <c:pt idx="987">
                  <c:v>9.8830448599490843</c:v>
                </c:pt>
                <c:pt idx="988">
                  <c:v>9.8956077139331668</c:v>
                </c:pt>
                <c:pt idx="989">
                  <c:v>9.9081800553660564</c:v>
                </c:pt>
                <c:pt idx="990">
                  <c:v>9.9207481622423899</c:v>
                </c:pt>
                <c:pt idx="991">
                  <c:v>9.9333014376904458</c:v>
                </c:pt>
                <c:pt idx="992">
                  <c:v>9.9458279893856663</c:v>
                </c:pt>
                <c:pt idx="993">
                  <c:v>9.9583203044390558</c:v>
                </c:pt>
                <c:pt idx="994">
                  <c:v>9.9707680400320271</c:v>
                </c:pt>
                <c:pt idx="995">
                  <c:v>9.9831584291367221</c:v>
                </c:pt>
                <c:pt idx="996">
                  <c:v>9.9954996101249467</c:v>
                </c:pt>
                <c:pt idx="997">
                  <c:v>10.007787983874659</c:v>
                </c:pt>
                <c:pt idx="998">
                  <c:v>10.019965072412322</c:v>
                </c:pt>
                <c:pt idx="999">
                  <c:v>10.031798306416942</c:v>
                </c:pt>
              </c:numCache>
            </c:numRef>
          </c:xVal>
          <c:yVal>
            <c:numRef>
              <c:f>'zero-1'!$Q$2:$Q$1001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92.077003938258997</c:v>
                </c:pt>
                <c:pt idx="48">
                  <c:v>92.211218485989008</c:v>
                </c:pt>
                <c:pt idx="49">
                  <c:v>92.229659563634996</c:v>
                </c:pt>
                <c:pt idx="50">
                  <c:v>92.390882973894009</c:v>
                </c:pt>
                <c:pt idx="51">
                  <c:v>92.563747511198997</c:v>
                </c:pt>
                <c:pt idx="52">
                  <c:v>92.704611899157001</c:v>
                </c:pt>
                <c:pt idx="53">
                  <c:v>92.831321733478006</c:v>
                </c:pt>
                <c:pt idx="54">
                  <c:v>93.004285381046003</c:v>
                </c:pt>
                <c:pt idx="55">
                  <c:v>93.211068522346011</c:v>
                </c:pt>
                <c:pt idx="56">
                  <c:v>93.392061247575</c:v>
                </c:pt>
                <c:pt idx="57">
                  <c:v>93.474896216429997</c:v>
                </c:pt>
                <c:pt idx="58">
                  <c:v>93.583807092044992</c:v>
                </c:pt>
                <c:pt idx="59">
                  <c:v>93.640030400710003</c:v>
                </c:pt>
                <c:pt idx="60">
                  <c:v>93.704421265465996</c:v>
                </c:pt>
                <c:pt idx="61">
                  <c:v>93.76045345032901</c:v>
                </c:pt>
                <c:pt idx="62">
                  <c:v>93.834619271796996</c:v>
                </c:pt>
                <c:pt idx="63">
                  <c:v>93.887282538384994</c:v>
                </c:pt>
                <c:pt idx="64">
                  <c:v>93.901122878319001</c:v>
                </c:pt>
                <c:pt idx="65">
                  <c:v>93.905747927155005</c:v>
                </c:pt>
                <c:pt idx="66">
                  <c:v>93.920826145408</c:v>
                </c:pt>
                <c:pt idx="67">
                  <c:v>93.909183046418008</c:v>
                </c:pt>
                <c:pt idx="68">
                  <c:v>93.895448438384989</c:v>
                </c:pt>
                <c:pt idx="69">
                  <c:v>93.865102298294005</c:v>
                </c:pt>
                <c:pt idx="70">
                  <c:v>93.824770318741997</c:v>
                </c:pt>
                <c:pt idx="71">
                  <c:v>93.779151812116993</c:v>
                </c:pt>
                <c:pt idx="72">
                  <c:v>93.728290863194005</c:v>
                </c:pt>
                <c:pt idx="73">
                  <c:v>93.673212297594006</c:v>
                </c:pt>
                <c:pt idx="74">
                  <c:v>93.622430959031988</c:v>
                </c:pt>
                <c:pt idx="75">
                  <c:v>93.582646714933006</c:v>
                </c:pt>
                <c:pt idx="76">
                  <c:v>93.538120526499</c:v>
                </c:pt>
                <c:pt idx="77">
                  <c:v>93.505778019232991</c:v>
                </c:pt>
                <c:pt idx="78">
                  <c:v>93.484481686909987</c:v>
                </c:pt>
                <c:pt idx="79">
                  <c:v>93.476453003579991</c:v>
                </c:pt>
                <c:pt idx="80">
                  <c:v>93.477515614872999</c:v>
                </c:pt>
                <c:pt idx="81">
                  <c:v>93.503938136590989</c:v>
                </c:pt>
                <c:pt idx="82">
                  <c:v>93.477331807049012</c:v>
                </c:pt>
                <c:pt idx="83">
                  <c:v>93.513429943704011</c:v>
                </c:pt>
                <c:pt idx="84">
                  <c:v>93.569914118209994</c:v>
                </c:pt>
                <c:pt idx="85">
                  <c:v>93.610097005921006</c:v>
                </c:pt>
                <c:pt idx="86">
                  <c:v>93.624976417441005</c:v>
                </c:pt>
                <c:pt idx="87">
                  <c:v>93.654443501580005</c:v>
                </c:pt>
                <c:pt idx="88">
                  <c:v>93.714790895955005</c:v>
                </c:pt>
                <c:pt idx="89">
                  <c:v>93.798833578198</c:v>
                </c:pt>
                <c:pt idx="90">
                  <c:v>93.83632351690099</c:v>
                </c:pt>
                <c:pt idx="91">
                  <c:v>93.931775683138</c:v>
                </c:pt>
                <c:pt idx="92">
                  <c:v>94.033715668973002</c:v>
                </c:pt>
                <c:pt idx="93">
                  <c:v>94.169920064273001</c:v>
                </c:pt>
                <c:pt idx="94">
                  <c:v>94.307243964649999</c:v>
                </c:pt>
                <c:pt idx="95">
                  <c:v>94.368161278201001</c:v>
                </c:pt>
                <c:pt idx="96">
                  <c:v>94.495278408482989</c:v>
                </c:pt>
                <c:pt idx="97">
                  <c:v>94.642245143775</c:v>
                </c:pt>
                <c:pt idx="98">
                  <c:v>94.756356952392991</c:v>
                </c:pt>
                <c:pt idx="99">
                  <c:v>94.935501542872998</c:v>
                </c:pt>
                <c:pt idx="100">
                  <c:v>95.078918265698007</c:v>
                </c:pt>
                <c:pt idx="101">
                  <c:v>95.204125074328005</c:v>
                </c:pt>
                <c:pt idx="102">
                  <c:v>95.387749479832991</c:v>
                </c:pt>
                <c:pt idx="103">
                  <c:v>95.552294748980003</c:v>
                </c:pt>
                <c:pt idx="104">
                  <c:v>95.629735162174001</c:v>
                </c:pt>
                <c:pt idx="105">
                  <c:v>95.764095157328995</c:v>
                </c:pt>
                <c:pt idx="106">
                  <c:v>95.877683845143991</c:v>
                </c:pt>
                <c:pt idx="107">
                  <c:v>96.001075638669988</c:v>
                </c:pt>
                <c:pt idx="108">
                  <c:v>96.10162577243301</c:v>
                </c:pt>
                <c:pt idx="109">
                  <c:v>96.188670502089991</c:v>
                </c:pt>
                <c:pt idx="110">
                  <c:v>96.268766059054997</c:v>
                </c:pt>
                <c:pt idx="111">
                  <c:v>96.340209698720003</c:v>
                </c:pt>
                <c:pt idx="112">
                  <c:v>96.38878862755999</c:v>
                </c:pt>
                <c:pt idx="113">
                  <c:v>96.421572417294001</c:v>
                </c:pt>
                <c:pt idx="114">
                  <c:v>96.452295188514995</c:v>
                </c:pt>
                <c:pt idx="115">
                  <c:v>96.468750304540009</c:v>
                </c:pt>
                <c:pt idx="116">
                  <c:v>96.488390997695006</c:v>
                </c:pt>
                <c:pt idx="117">
                  <c:v>96.502683650541002</c:v>
                </c:pt>
                <c:pt idx="118">
                  <c:v>96.509449874478008</c:v>
                </c:pt>
                <c:pt idx="119">
                  <c:v>96.498761946956989</c:v>
                </c:pt>
                <c:pt idx="120">
                  <c:v>96.491471214384006</c:v>
                </c:pt>
                <c:pt idx="121">
                  <c:v>96.492974592477992</c:v>
                </c:pt>
                <c:pt idx="122">
                  <c:v>96.518503245152004</c:v>
                </c:pt>
                <c:pt idx="123">
                  <c:v>96.545028700089006</c:v>
                </c:pt>
                <c:pt idx="124">
                  <c:v>96.570945909901013</c:v>
                </c:pt>
                <c:pt idx="125">
                  <c:v>96.610098402822999</c:v>
                </c:pt>
                <c:pt idx="126">
                  <c:v>96.664010499226009</c:v>
                </c:pt>
                <c:pt idx="127">
                  <c:v>96.71785106641201</c:v>
                </c:pt>
                <c:pt idx="128">
                  <c:v>96.802736478401997</c:v>
                </c:pt>
                <c:pt idx="129">
                  <c:v>96.910603761253</c:v>
                </c:pt>
                <c:pt idx="130">
                  <c:v>97.02392371344601</c:v>
                </c:pt>
                <c:pt idx="131">
                  <c:v>97.145791378043</c:v>
                </c:pt>
                <c:pt idx="132">
                  <c:v>97.253047697526995</c:v>
                </c:pt>
                <c:pt idx="133">
                  <c:v>97.374402343603009</c:v>
                </c:pt>
                <c:pt idx="134">
                  <c:v>97.529822510059006</c:v>
                </c:pt>
                <c:pt idx="135">
                  <c:v>97.715611768664004</c:v>
                </c:pt>
                <c:pt idx="136">
                  <c:v>97.89893761766001</c:v>
                </c:pt>
                <c:pt idx="137">
                  <c:v>98.069104413595994</c:v>
                </c:pt>
                <c:pt idx="138">
                  <c:v>98.244075591135001</c:v>
                </c:pt>
                <c:pt idx="139">
                  <c:v>98.497941257960008</c:v>
                </c:pt>
                <c:pt idx="140">
                  <c:v>98.660517734027991</c:v>
                </c:pt>
                <c:pt idx="141">
                  <c:v>98.84417366122301</c:v>
                </c:pt>
                <c:pt idx="142">
                  <c:v>99.019487423485003</c:v>
                </c:pt>
                <c:pt idx="143">
                  <c:v>99.207218009637998</c:v>
                </c:pt>
                <c:pt idx="144">
                  <c:v>99.421824868057996</c:v>
                </c:pt>
                <c:pt idx="145">
                  <c:v>99.501275177788003</c:v>
                </c:pt>
                <c:pt idx="146">
                  <c:v>99.659594019189996</c:v>
                </c:pt>
                <c:pt idx="147">
                  <c:v>99.885407839383987</c:v>
                </c:pt>
                <c:pt idx="148">
                  <c:v>100.127898201533</c:v>
                </c:pt>
                <c:pt idx="149">
                  <c:v>100.296167411006</c:v>
                </c:pt>
                <c:pt idx="150">
                  <c:v>100.486731147337</c:v>
                </c:pt>
                <c:pt idx="151">
                  <c:v>100.65668745373901</c:v>
                </c:pt>
                <c:pt idx="152">
                  <c:v>100.83078078126701</c:v>
                </c:pt>
                <c:pt idx="153">
                  <c:v>101.02098016055299</c:v>
                </c:pt>
                <c:pt idx="154">
                  <c:v>101.19911492708999</c:v>
                </c:pt>
                <c:pt idx="155">
                  <c:v>101.370695777874</c:v>
                </c:pt>
                <c:pt idx="156">
                  <c:v>101.503924716703</c:v>
                </c:pt>
                <c:pt idx="157">
                  <c:v>101.66365592502601</c:v>
                </c:pt>
                <c:pt idx="158">
                  <c:v>101.82161545841899</c:v>
                </c:pt>
                <c:pt idx="159">
                  <c:v>101.898170708728</c:v>
                </c:pt>
                <c:pt idx="160">
                  <c:v>102.01872795889301</c:v>
                </c:pt>
                <c:pt idx="161">
                  <c:v>102.12441906567901</c:v>
                </c:pt>
                <c:pt idx="162">
                  <c:v>102.22998959448199</c:v>
                </c:pt>
                <c:pt idx="163">
                  <c:v>102.31213952701199</c:v>
                </c:pt>
                <c:pt idx="164">
                  <c:v>102.37928433734299</c:v>
                </c:pt>
                <c:pt idx="165">
                  <c:v>102.421193772058</c:v>
                </c:pt>
                <c:pt idx="166">
                  <c:v>102.45750204442299</c:v>
                </c:pt>
                <c:pt idx="167">
                  <c:v>102.47705541559201</c:v>
                </c:pt>
                <c:pt idx="168">
                  <c:v>102.487726045465</c:v>
                </c:pt>
                <c:pt idx="169">
                  <c:v>102.49761642068199</c:v>
                </c:pt>
                <c:pt idx="170">
                  <c:v>102.517230193432</c:v>
                </c:pt>
                <c:pt idx="171">
                  <c:v>102.521710144146</c:v>
                </c:pt>
                <c:pt idx="172">
                  <c:v>102.506690991905</c:v>
                </c:pt>
                <c:pt idx="173">
                  <c:v>102.480506031988</c:v>
                </c:pt>
                <c:pt idx="174">
                  <c:v>102.471766104019</c:v>
                </c:pt>
                <c:pt idx="175">
                  <c:v>102.48554296559101</c:v>
                </c:pt>
                <c:pt idx="176">
                  <c:v>102.485620830324</c:v>
                </c:pt>
                <c:pt idx="177">
                  <c:v>102.475857967075</c:v>
                </c:pt>
                <c:pt idx="178">
                  <c:v>102.4562301709</c:v>
                </c:pt>
                <c:pt idx="179">
                  <c:v>102.457126920728</c:v>
                </c:pt>
                <c:pt idx="180">
                  <c:v>102.45264199013201</c:v>
                </c:pt>
                <c:pt idx="181">
                  <c:v>102.44506863493001</c:v>
                </c:pt>
                <c:pt idx="182">
                  <c:v>102.43604116728099</c:v>
                </c:pt>
                <c:pt idx="183">
                  <c:v>102.445359601131</c:v>
                </c:pt>
                <c:pt idx="184">
                  <c:v>102.466927387902</c:v>
                </c:pt>
                <c:pt idx="185">
                  <c:v>102.45853590804501</c:v>
                </c:pt>
                <c:pt idx="186">
                  <c:v>102.435410284827</c:v>
                </c:pt>
                <c:pt idx="187">
                  <c:v>102.430588924571</c:v>
                </c:pt>
                <c:pt idx="188">
                  <c:v>102.306265565381</c:v>
                </c:pt>
                <c:pt idx="189">
                  <c:v>102.314330171511</c:v>
                </c:pt>
                <c:pt idx="190">
                  <c:v>102.351019184509</c:v>
                </c:pt>
                <c:pt idx="191">
                  <c:v>102.33904845267301</c:v>
                </c:pt>
                <c:pt idx="192">
                  <c:v>102.344341323782</c:v>
                </c:pt>
                <c:pt idx="193">
                  <c:v>102.380563006866</c:v>
                </c:pt>
                <c:pt idx="194">
                  <c:v>102.39892324875601</c:v>
                </c:pt>
                <c:pt idx="195">
                  <c:v>102.421182773225</c:v>
                </c:pt>
                <c:pt idx="196">
                  <c:v>102.349267642073</c:v>
                </c:pt>
                <c:pt idx="197">
                  <c:v>102.388266875417</c:v>
                </c:pt>
                <c:pt idx="198">
                  <c:v>102.450957514207</c:v>
                </c:pt>
                <c:pt idx="199">
                  <c:v>102.35005584182301</c:v>
                </c:pt>
                <c:pt idx="200">
                  <c:v>102.32173099638</c:v>
                </c:pt>
                <c:pt idx="201">
                  <c:v>102.342907507608</c:v>
                </c:pt>
                <c:pt idx="202">
                  <c:v>102.42229428970799</c:v>
                </c:pt>
                <c:pt idx="203">
                  <c:v>102.447538639266</c:v>
                </c:pt>
                <c:pt idx="204">
                  <c:v>102.410434532784</c:v>
                </c:pt>
                <c:pt idx="205">
                  <c:v>102.379154870739</c:v>
                </c:pt>
                <c:pt idx="206">
                  <c:v>102.461573099916</c:v>
                </c:pt>
                <c:pt idx="207">
                  <c:v>102.43984575509501</c:v>
                </c:pt>
                <c:pt idx="208">
                  <c:v>102.43442801398299</c:v>
                </c:pt>
                <c:pt idx="209">
                  <c:v>102.413865159452</c:v>
                </c:pt>
                <c:pt idx="210">
                  <c:v>102.4000861075</c:v>
                </c:pt>
                <c:pt idx="211">
                  <c:v>102.40116477309701</c:v>
                </c:pt>
                <c:pt idx="212">
                  <c:v>102.38860969971699</c:v>
                </c:pt>
                <c:pt idx="213">
                  <c:v>102.377481180443</c:v>
                </c:pt>
                <c:pt idx="214">
                  <c:v>102.372438606909</c:v>
                </c:pt>
                <c:pt idx="215">
                  <c:v>102.379540980022</c:v>
                </c:pt>
                <c:pt idx="216">
                  <c:v>102.38357808285599</c:v>
                </c:pt>
                <c:pt idx="217">
                  <c:v>102.384199109977</c:v>
                </c:pt>
                <c:pt idx="218">
                  <c:v>102.375022985559</c:v>
                </c:pt>
                <c:pt idx="219">
                  <c:v>102.368995331522</c:v>
                </c:pt>
                <c:pt idx="220">
                  <c:v>102.37543524972901</c:v>
                </c:pt>
                <c:pt idx="221">
                  <c:v>102.36222058298199</c:v>
                </c:pt>
                <c:pt idx="222">
                  <c:v>102.354534366938</c:v>
                </c:pt>
                <c:pt idx="223">
                  <c:v>102.35765993494201</c:v>
                </c:pt>
                <c:pt idx="224">
                  <c:v>102.350576856942</c:v>
                </c:pt>
                <c:pt idx="225">
                  <c:v>102.334624682168</c:v>
                </c:pt>
                <c:pt idx="226">
                  <c:v>102.336904826596</c:v>
                </c:pt>
                <c:pt idx="227">
                  <c:v>102.347473828746</c:v>
                </c:pt>
                <c:pt idx="228">
                  <c:v>102.359276156752</c:v>
                </c:pt>
                <c:pt idx="229">
                  <c:v>102.37585179421001</c:v>
                </c:pt>
                <c:pt idx="230">
                  <c:v>102.349744367632</c:v>
                </c:pt>
                <c:pt idx="231">
                  <c:v>102.35545967418901</c:v>
                </c:pt>
                <c:pt idx="232">
                  <c:v>102.295765170679</c:v>
                </c:pt>
                <c:pt idx="233">
                  <c:v>102.30175377459099</c:v>
                </c:pt>
                <c:pt idx="234">
                  <c:v>102.310290734982</c:v>
                </c:pt>
                <c:pt idx="235">
                  <c:v>102.334909195641</c:v>
                </c:pt>
                <c:pt idx="236">
                  <c:v>102.34584479393101</c:v>
                </c:pt>
                <c:pt idx="237">
                  <c:v>102.374794053313</c:v>
                </c:pt>
                <c:pt idx="238">
                  <c:v>102.38576422826199</c:v>
                </c:pt>
                <c:pt idx="239">
                  <c:v>102.36722914011699</c:v>
                </c:pt>
                <c:pt idx="240">
                  <c:v>102.34849345770701</c:v>
                </c:pt>
                <c:pt idx="241">
                  <c:v>102.39672942483699</c:v>
                </c:pt>
                <c:pt idx="242">
                  <c:v>102.415989865973</c:v>
                </c:pt>
                <c:pt idx="243">
                  <c:v>102.41543060104701</c:v>
                </c:pt>
                <c:pt idx="244">
                  <c:v>102.42520806543101</c:v>
                </c:pt>
                <c:pt idx="245">
                  <c:v>102.43922118686</c:v>
                </c:pt>
                <c:pt idx="246">
                  <c:v>102.426141044399</c:v>
                </c:pt>
                <c:pt idx="247">
                  <c:v>102.343242252172</c:v>
                </c:pt>
                <c:pt idx="248">
                  <c:v>102.34960972483</c:v>
                </c:pt>
                <c:pt idx="249">
                  <c:v>102.37798265728</c:v>
                </c:pt>
                <c:pt idx="250">
                  <c:v>102.363835648877</c:v>
                </c:pt>
                <c:pt idx="251">
                  <c:v>102.422441041855</c:v>
                </c:pt>
                <c:pt idx="252">
                  <c:v>102.44722494486899</c:v>
                </c:pt>
                <c:pt idx="253">
                  <c:v>102.542165731154</c:v>
                </c:pt>
                <c:pt idx="254">
                  <c:v>102.57551203196201</c:v>
                </c:pt>
                <c:pt idx="255">
                  <c:v>102.526522693815</c:v>
                </c:pt>
                <c:pt idx="256">
                  <c:v>102.529966591191</c:v>
                </c:pt>
                <c:pt idx="257">
                  <c:v>102.546065525741</c:v>
                </c:pt>
                <c:pt idx="258">
                  <c:v>102.53102004981901</c:v>
                </c:pt>
                <c:pt idx="259">
                  <c:v>102.54332517163999</c:v>
                </c:pt>
                <c:pt idx="260">
                  <c:v>102.554297602774</c:v>
                </c:pt>
                <c:pt idx="261">
                  <c:v>102.544036558654</c:v>
                </c:pt>
                <c:pt idx="262">
                  <c:v>102.56017823486101</c:v>
                </c:pt>
                <c:pt idx="263">
                  <c:v>102.64164637614101</c:v>
                </c:pt>
                <c:pt idx="264">
                  <c:v>102.61910875915399</c:v>
                </c:pt>
                <c:pt idx="265">
                  <c:v>102.605416173168</c:v>
                </c:pt>
                <c:pt idx="266">
                  <c:v>102.59831402592499</c:v>
                </c:pt>
                <c:pt idx="267">
                  <c:v>102.599198220722</c:v>
                </c:pt>
                <c:pt idx="268">
                  <c:v>102.60042945366399</c:v>
                </c:pt>
                <c:pt idx="269">
                  <c:v>102.59483784780801</c:v>
                </c:pt>
                <c:pt idx="270">
                  <c:v>102.58561409587401</c:v>
                </c:pt>
                <c:pt idx="271">
                  <c:v>102.57577925818799</c:v>
                </c:pt>
                <c:pt idx="272">
                  <c:v>102.574100087349</c:v>
                </c:pt>
                <c:pt idx="273">
                  <c:v>102.578485997466</c:v>
                </c:pt>
                <c:pt idx="274">
                  <c:v>102.570330102534</c:v>
                </c:pt>
                <c:pt idx="275">
                  <c:v>102.55914207673101</c:v>
                </c:pt>
                <c:pt idx="276">
                  <c:v>102.544140694585</c:v>
                </c:pt>
                <c:pt idx="277">
                  <c:v>102.528782264342</c:v>
                </c:pt>
                <c:pt idx="278">
                  <c:v>102.51406453066301</c:v>
                </c:pt>
                <c:pt idx="279">
                  <c:v>102.513917573871</c:v>
                </c:pt>
                <c:pt idx="280">
                  <c:v>102.516430950901</c:v>
                </c:pt>
                <c:pt idx="281">
                  <c:v>102.492825482154</c:v>
                </c:pt>
                <c:pt idx="282">
                  <c:v>102.483890525737</c:v>
                </c:pt>
                <c:pt idx="283">
                  <c:v>102.459066637029</c:v>
                </c:pt>
                <c:pt idx="284">
                  <c:v>102.46128151980299</c:v>
                </c:pt>
                <c:pt idx="285">
                  <c:v>102.453986578515</c:v>
                </c:pt>
                <c:pt idx="286">
                  <c:v>102.453023751356</c:v>
                </c:pt>
                <c:pt idx="287">
                  <c:v>102.452116905232</c:v>
                </c:pt>
                <c:pt idx="288">
                  <c:v>102.450846866007</c:v>
                </c:pt>
                <c:pt idx="289">
                  <c:v>102.46474509260699</c:v>
                </c:pt>
                <c:pt idx="290">
                  <c:v>102.358685898788</c:v>
                </c:pt>
                <c:pt idx="291">
                  <c:v>102.36975765079799</c:v>
                </c:pt>
                <c:pt idx="292">
                  <c:v>102.35380780025901</c:v>
                </c:pt>
                <c:pt idx="293">
                  <c:v>102.331898411765</c:v>
                </c:pt>
                <c:pt idx="294">
                  <c:v>102.31254296239601</c:v>
                </c:pt>
                <c:pt idx="295">
                  <c:v>102.35273549173</c:v>
                </c:pt>
                <c:pt idx="296">
                  <c:v>102.36375903046701</c:v>
                </c:pt>
                <c:pt idx="297">
                  <c:v>102.33671180228299</c:v>
                </c:pt>
                <c:pt idx="298">
                  <c:v>102.347729025009</c:v>
                </c:pt>
                <c:pt idx="299">
                  <c:v>102.30435542611099</c:v>
                </c:pt>
                <c:pt idx="300">
                  <c:v>102.29909101951699</c:v>
                </c:pt>
                <c:pt idx="301">
                  <c:v>102.314914538332</c:v>
                </c:pt>
                <c:pt idx="302">
                  <c:v>102.29850439477801</c:v>
                </c:pt>
                <c:pt idx="303">
                  <c:v>102.25732794148399</c:v>
                </c:pt>
                <c:pt idx="304">
                  <c:v>102.26273823429099</c:v>
                </c:pt>
                <c:pt idx="305">
                  <c:v>102.389115644471</c:v>
                </c:pt>
                <c:pt idx="306">
                  <c:v>102.43693943796799</c:v>
                </c:pt>
                <c:pt idx="307">
                  <c:v>102.434929912797</c:v>
                </c:pt>
                <c:pt idx="308">
                  <c:v>102.406857870333</c:v>
                </c:pt>
                <c:pt idx="309">
                  <c:v>102.362908784645</c:v>
                </c:pt>
                <c:pt idx="310">
                  <c:v>102.33678212660399</c:v>
                </c:pt>
                <c:pt idx="311">
                  <c:v>102.32054755514099</c:v>
                </c:pt>
                <c:pt idx="312">
                  <c:v>102.420747372451</c:v>
                </c:pt>
                <c:pt idx="313">
                  <c:v>102.430872312772</c:v>
                </c:pt>
                <c:pt idx="314">
                  <c:v>102.46338964893499</c:v>
                </c:pt>
                <c:pt idx="315">
                  <c:v>102.48013653695</c:v>
                </c:pt>
                <c:pt idx="316">
                  <c:v>102.46579031892401</c:v>
                </c:pt>
                <c:pt idx="317">
                  <c:v>102.448469295416</c:v>
                </c:pt>
                <c:pt idx="318">
                  <c:v>102.43599374049299</c:v>
                </c:pt>
                <c:pt idx="319">
                  <c:v>102.42079279180899</c:v>
                </c:pt>
                <c:pt idx="320">
                  <c:v>102.41701404742599</c:v>
                </c:pt>
                <c:pt idx="321">
                  <c:v>102.42148545059101</c:v>
                </c:pt>
                <c:pt idx="322">
                  <c:v>102.42422791214</c:v>
                </c:pt>
                <c:pt idx="323">
                  <c:v>102.413549610158</c:v>
                </c:pt>
                <c:pt idx="324">
                  <c:v>102.400228056456</c:v>
                </c:pt>
                <c:pt idx="325">
                  <c:v>102.41502664397399</c:v>
                </c:pt>
                <c:pt idx="326">
                  <c:v>102.413992022142</c:v>
                </c:pt>
                <c:pt idx="327">
                  <c:v>102.398818946022</c:v>
                </c:pt>
                <c:pt idx="328">
                  <c:v>102.39552012217899</c:v>
                </c:pt>
                <c:pt idx="329">
                  <c:v>102.382926223308</c:v>
                </c:pt>
                <c:pt idx="330">
                  <c:v>102.370360318633</c:v>
                </c:pt>
                <c:pt idx="331">
                  <c:v>102.37035002241299</c:v>
                </c:pt>
                <c:pt idx="332">
                  <c:v>102.371181516354</c:v>
                </c:pt>
                <c:pt idx="333">
                  <c:v>102.36189262782</c:v>
                </c:pt>
                <c:pt idx="334">
                  <c:v>102.366304120781</c:v>
                </c:pt>
                <c:pt idx="335">
                  <c:v>102.357736814226</c:v>
                </c:pt>
                <c:pt idx="336">
                  <c:v>102.27459285543401</c:v>
                </c:pt>
                <c:pt idx="337">
                  <c:v>102.27960142917499</c:v>
                </c:pt>
                <c:pt idx="338">
                  <c:v>102.296139824938</c:v>
                </c:pt>
                <c:pt idx="339">
                  <c:v>102.284659005706</c:v>
                </c:pt>
                <c:pt idx="340">
                  <c:v>102.31882914320801</c:v>
                </c:pt>
                <c:pt idx="341">
                  <c:v>102.35364070080499</c:v>
                </c:pt>
                <c:pt idx="342">
                  <c:v>102.341424085163</c:v>
                </c:pt>
                <c:pt idx="343">
                  <c:v>102.34211748436999</c:v>
                </c:pt>
                <c:pt idx="344">
                  <c:v>102.32763022428099</c:v>
                </c:pt>
                <c:pt idx="345">
                  <c:v>102.35827274394799</c:v>
                </c:pt>
                <c:pt idx="346">
                  <c:v>102.381917194628</c:v>
                </c:pt>
                <c:pt idx="347">
                  <c:v>102.384355466588</c:v>
                </c:pt>
                <c:pt idx="348">
                  <c:v>102.365800003449</c:v>
                </c:pt>
                <c:pt idx="349">
                  <c:v>102.376855082099</c:v>
                </c:pt>
                <c:pt idx="350">
                  <c:v>102.383786479652</c:v>
                </c:pt>
                <c:pt idx="351">
                  <c:v>102.391422307399</c:v>
                </c:pt>
                <c:pt idx="352">
                  <c:v>102.383353122852</c:v>
                </c:pt>
                <c:pt idx="353">
                  <c:v>102.42288425229501</c:v>
                </c:pt>
                <c:pt idx="354">
                  <c:v>102.43541246311901</c:v>
                </c:pt>
                <c:pt idx="355">
                  <c:v>102.467644892001</c:v>
                </c:pt>
                <c:pt idx="356">
                  <c:v>102.547420291677</c:v>
                </c:pt>
                <c:pt idx="357">
                  <c:v>102.562713564088</c:v>
                </c:pt>
                <c:pt idx="358">
                  <c:v>102.537524700142</c:v>
                </c:pt>
                <c:pt idx="359">
                  <c:v>102.545126089918</c:v>
                </c:pt>
                <c:pt idx="360">
                  <c:v>102.51666598294301</c:v>
                </c:pt>
                <c:pt idx="361">
                  <c:v>102.47299901994199</c:v>
                </c:pt>
                <c:pt idx="362">
                  <c:v>102.463721333118</c:v>
                </c:pt>
                <c:pt idx="363">
                  <c:v>102.48752343193601</c:v>
                </c:pt>
                <c:pt idx="364">
                  <c:v>102.495255123926</c:v>
                </c:pt>
                <c:pt idx="365">
                  <c:v>102.528661561973</c:v>
                </c:pt>
                <c:pt idx="366">
                  <c:v>102.547782695875</c:v>
                </c:pt>
                <c:pt idx="367">
                  <c:v>102.55219019722699</c:v>
                </c:pt>
                <c:pt idx="368">
                  <c:v>102.620715135116</c:v>
                </c:pt>
                <c:pt idx="369">
                  <c:v>102.604458511202</c:v>
                </c:pt>
                <c:pt idx="370">
                  <c:v>102.59951260951999</c:v>
                </c:pt>
                <c:pt idx="371">
                  <c:v>102.586707459902</c:v>
                </c:pt>
                <c:pt idx="372">
                  <c:v>102.58798127847899</c:v>
                </c:pt>
                <c:pt idx="373">
                  <c:v>102.601035384879</c:v>
                </c:pt>
                <c:pt idx="374">
                  <c:v>102.605038179933</c:v>
                </c:pt>
                <c:pt idx="375">
                  <c:v>102.59807662720399</c:v>
                </c:pt>
                <c:pt idx="376">
                  <c:v>102.58055294776401</c:v>
                </c:pt>
                <c:pt idx="377">
                  <c:v>102.56462889203999</c:v>
                </c:pt>
                <c:pt idx="378">
                  <c:v>102.55949569820601</c:v>
                </c:pt>
                <c:pt idx="379">
                  <c:v>102.55536338157199</c:v>
                </c:pt>
                <c:pt idx="380">
                  <c:v>102.550765159748</c:v>
                </c:pt>
                <c:pt idx="381">
                  <c:v>102.541086694434</c:v>
                </c:pt>
                <c:pt idx="382">
                  <c:v>102.51369776199101</c:v>
                </c:pt>
                <c:pt idx="383">
                  <c:v>102.48047288567599</c:v>
                </c:pt>
                <c:pt idx="384">
                  <c:v>102.470936698236</c:v>
                </c:pt>
                <c:pt idx="385">
                  <c:v>102.45287921436901</c:v>
                </c:pt>
                <c:pt idx="386">
                  <c:v>102.446289483242</c:v>
                </c:pt>
                <c:pt idx="387">
                  <c:v>102.436339984347</c:v>
                </c:pt>
                <c:pt idx="388">
                  <c:v>102.39341991611499</c:v>
                </c:pt>
                <c:pt idx="389">
                  <c:v>102.359933367054</c:v>
                </c:pt>
                <c:pt idx="390">
                  <c:v>102.363050457969</c:v>
                </c:pt>
                <c:pt idx="391">
                  <c:v>102.366551582667</c:v>
                </c:pt>
                <c:pt idx="392">
                  <c:v>102.35964892528901</c:v>
                </c:pt>
                <c:pt idx="393">
                  <c:v>102.24406218292501</c:v>
                </c:pt>
                <c:pt idx="394">
                  <c:v>102.24352362462</c:v>
                </c:pt>
                <c:pt idx="395">
                  <c:v>102.272369471321</c:v>
                </c:pt>
                <c:pt idx="396">
                  <c:v>102.274536096619</c:v>
                </c:pt>
                <c:pt idx="397">
                  <c:v>102.285657541795</c:v>
                </c:pt>
                <c:pt idx="398">
                  <c:v>102.237255155098</c:v>
                </c:pt>
                <c:pt idx="399">
                  <c:v>102.244618644225</c:v>
                </c:pt>
                <c:pt idx="400">
                  <c:v>102.282214486024</c:v>
                </c:pt>
                <c:pt idx="401">
                  <c:v>102.320044437541</c:v>
                </c:pt>
                <c:pt idx="402">
                  <c:v>102.30671525321699</c:v>
                </c:pt>
                <c:pt idx="403">
                  <c:v>102.29399354848999</c:v>
                </c:pt>
                <c:pt idx="404">
                  <c:v>102.296455606991</c:v>
                </c:pt>
                <c:pt idx="405">
                  <c:v>102.205081260475</c:v>
                </c:pt>
                <c:pt idx="406">
                  <c:v>102.152494855272</c:v>
                </c:pt>
                <c:pt idx="407">
                  <c:v>102.16135607895899</c:v>
                </c:pt>
                <c:pt idx="408">
                  <c:v>102.168045961405</c:v>
                </c:pt>
                <c:pt idx="409">
                  <c:v>102.258864194175</c:v>
                </c:pt>
                <c:pt idx="410">
                  <c:v>102.283238682747</c:v>
                </c:pt>
                <c:pt idx="411">
                  <c:v>102.22910330954099</c:v>
                </c:pt>
                <c:pt idx="412">
                  <c:v>102.212824028833</c:v>
                </c:pt>
                <c:pt idx="413">
                  <c:v>102.25077183609</c:v>
                </c:pt>
                <c:pt idx="414">
                  <c:v>102.23432757822201</c:v>
                </c:pt>
                <c:pt idx="415">
                  <c:v>102.22476364435201</c:v>
                </c:pt>
                <c:pt idx="416">
                  <c:v>102.260482759122</c:v>
                </c:pt>
                <c:pt idx="417">
                  <c:v>102.37033637840801</c:v>
                </c:pt>
                <c:pt idx="418">
                  <c:v>102.390090179748</c:v>
                </c:pt>
                <c:pt idx="419">
                  <c:v>102.41387824872399</c:v>
                </c:pt>
                <c:pt idx="420">
                  <c:v>102.40533838274</c:v>
                </c:pt>
                <c:pt idx="421">
                  <c:v>102.37352737933099</c:v>
                </c:pt>
                <c:pt idx="422">
                  <c:v>102.353829699451</c:v>
                </c:pt>
                <c:pt idx="423">
                  <c:v>102.35386949171</c:v>
                </c:pt>
                <c:pt idx="424">
                  <c:v>102.351581555883</c:v>
                </c:pt>
                <c:pt idx="425">
                  <c:v>102.352075119293</c:v>
                </c:pt>
                <c:pt idx="426">
                  <c:v>102.369706741475</c:v>
                </c:pt>
                <c:pt idx="427">
                  <c:v>102.374074773009</c:v>
                </c:pt>
                <c:pt idx="428">
                  <c:v>102.39461365073601</c:v>
                </c:pt>
                <c:pt idx="429">
                  <c:v>102.38841986032401</c:v>
                </c:pt>
                <c:pt idx="430">
                  <c:v>102.374980128047</c:v>
                </c:pt>
                <c:pt idx="431">
                  <c:v>102.37382000228601</c:v>
                </c:pt>
                <c:pt idx="432">
                  <c:v>102.384306777595</c:v>
                </c:pt>
                <c:pt idx="433">
                  <c:v>102.382407994692</c:v>
                </c:pt>
                <c:pt idx="434">
                  <c:v>102.384133553642</c:v>
                </c:pt>
                <c:pt idx="435">
                  <c:v>102.37845851619301</c:v>
                </c:pt>
                <c:pt idx="436">
                  <c:v>102.393602299516</c:v>
                </c:pt>
                <c:pt idx="437">
                  <c:v>102.40168588889</c:v>
                </c:pt>
                <c:pt idx="438">
                  <c:v>102.41537794741299</c:v>
                </c:pt>
                <c:pt idx="439">
                  <c:v>102.305177315055</c:v>
                </c:pt>
                <c:pt idx="440">
                  <c:v>102.304402788567</c:v>
                </c:pt>
                <c:pt idx="441">
                  <c:v>102.304322854294</c:v>
                </c:pt>
                <c:pt idx="442">
                  <c:v>102.31816947745401</c:v>
                </c:pt>
                <c:pt idx="443">
                  <c:v>102.34209390371601</c:v>
                </c:pt>
                <c:pt idx="444">
                  <c:v>102.338796041154</c:v>
                </c:pt>
                <c:pt idx="445">
                  <c:v>102.335508484797</c:v>
                </c:pt>
                <c:pt idx="446">
                  <c:v>102.351927298766</c:v>
                </c:pt>
                <c:pt idx="447">
                  <c:v>102.39965557727001</c:v>
                </c:pt>
                <c:pt idx="448">
                  <c:v>102.44335003439201</c:v>
                </c:pt>
                <c:pt idx="449">
                  <c:v>102.431650216444</c:v>
                </c:pt>
                <c:pt idx="450">
                  <c:v>102.435389768665</c:v>
                </c:pt>
                <c:pt idx="451">
                  <c:v>102.47582335631901</c:v>
                </c:pt>
                <c:pt idx="452">
                  <c:v>102.516306714043</c:v>
                </c:pt>
                <c:pt idx="453">
                  <c:v>102.499412087498</c:v>
                </c:pt>
                <c:pt idx="454">
                  <c:v>102.43584241669299</c:v>
                </c:pt>
                <c:pt idx="455">
                  <c:v>102.35572137752399</c:v>
                </c:pt>
                <c:pt idx="456">
                  <c:v>102.294314282561</c:v>
                </c:pt>
                <c:pt idx="457">
                  <c:v>102.34187363273699</c:v>
                </c:pt>
                <c:pt idx="458">
                  <c:v>102.36630330055499</c:v>
                </c:pt>
                <c:pt idx="459">
                  <c:v>102.44931060690701</c:v>
                </c:pt>
                <c:pt idx="460">
                  <c:v>102.614898362603</c:v>
                </c:pt>
                <c:pt idx="461">
                  <c:v>102.611530436332</c:v>
                </c:pt>
                <c:pt idx="462">
                  <c:v>102.53598292559801</c:v>
                </c:pt>
                <c:pt idx="463">
                  <c:v>102.497565565785</c:v>
                </c:pt>
                <c:pt idx="464">
                  <c:v>102.564521135926</c:v>
                </c:pt>
                <c:pt idx="465">
                  <c:v>102.52319507141701</c:v>
                </c:pt>
                <c:pt idx="466">
                  <c:v>102.46267466306699</c:v>
                </c:pt>
                <c:pt idx="467">
                  <c:v>102.502368730453</c:v>
                </c:pt>
                <c:pt idx="468">
                  <c:v>102.50110332735801</c:v>
                </c:pt>
                <c:pt idx="469">
                  <c:v>102.51768148078699</c:v>
                </c:pt>
                <c:pt idx="470">
                  <c:v>102.532592193632</c:v>
                </c:pt>
                <c:pt idx="471">
                  <c:v>102.512193657578</c:v>
                </c:pt>
                <c:pt idx="472">
                  <c:v>102.494703413873</c:v>
                </c:pt>
                <c:pt idx="473">
                  <c:v>102.570836217912</c:v>
                </c:pt>
                <c:pt idx="474">
                  <c:v>102.543956319724</c:v>
                </c:pt>
                <c:pt idx="475">
                  <c:v>102.52408600378</c:v>
                </c:pt>
                <c:pt idx="476">
                  <c:v>102.503695038364</c:v>
                </c:pt>
                <c:pt idx="477">
                  <c:v>102.49481139938399</c:v>
                </c:pt>
                <c:pt idx="478">
                  <c:v>102.502449580527</c:v>
                </c:pt>
                <c:pt idx="479">
                  <c:v>102.498131434355</c:v>
                </c:pt>
                <c:pt idx="480">
                  <c:v>102.49512635518001</c:v>
                </c:pt>
                <c:pt idx="481">
                  <c:v>102.488131544056</c:v>
                </c:pt>
                <c:pt idx="482">
                  <c:v>102.473047057446</c:v>
                </c:pt>
                <c:pt idx="483">
                  <c:v>102.46482105991799</c:v>
                </c:pt>
                <c:pt idx="484">
                  <c:v>102.455312319467</c:v>
                </c:pt>
                <c:pt idx="485">
                  <c:v>102.453993110883</c:v>
                </c:pt>
                <c:pt idx="486">
                  <c:v>102.433319217834</c:v>
                </c:pt>
                <c:pt idx="487">
                  <c:v>102.420018277539</c:v>
                </c:pt>
                <c:pt idx="488">
                  <c:v>102.40416608389799</c:v>
                </c:pt>
                <c:pt idx="489">
                  <c:v>102.394338383602</c:v>
                </c:pt>
                <c:pt idx="490">
                  <c:v>102.378815038303</c:v>
                </c:pt>
                <c:pt idx="491">
                  <c:v>102.366232929093</c:v>
                </c:pt>
                <c:pt idx="492">
                  <c:v>102.343205460989</c:v>
                </c:pt>
                <c:pt idx="493">
                  <c:v>102.337919114497</c:v>
                </c:pt>
                <c:pt idx="494">
                  <c:v>102.33132107937101</c:v>
                </c:pt>
                <c:pt idx="495">
                  <c:v>102.338765040141</c:v>
                </c:pt>
                <c:pt idx="496">
                  <c:v>102.20643724785</c:v>
                </c:pt>
                <c:pt idx="497">
                  <c:v>102.189773080885</c:v>
                </c:pt>
                <c:pt idx="498">
                  <c:v>102.16656694237301</c:v>
                </c:pt>
                <c:pt idx="499">
                  <c:v>102.134300133257</c:v>
                </c:pt>
                <c:pt idx="500">
                  <c:v>102.14731018663799</c:v>
                </c:pt>
                <c:pt idx="501">
                  <c:v>102.178740328323</c:v>
                </c:pt>
                <c:pt idx="502">
                  <c:v>102.20623069381901</c:v>
                </c:pt>
                <c:pt idx="503">
                  <c:v>102.18749274762899</c:v>
                </c:pt>
                <c:pt idx="504">
                  <c:v>102.21239209952199</c:v>
                </c:pt>
                <c:pt idx="505">
                  <c:v>102.247700451726</c:v>
                </c:pt>
                <c:pt idx="506">
                  <c:v>102.255211734395</c:v>
                </c:pt>
                <c:pt idx="507">
                  <c:v>102.28090122220999</c:v>
                </c:pt>
                <c:pt idx="508">
                  <c:v>102.159851862471</c:v>
                </c:pt>
                <c:pt idx="509">
                  <c:v>102.02275437774099</c:v>
                </c:pt>
                <c:pt idx="510">
                  <c:v>102.030197206023</c:v>
                </c:pt>
                <c:pt idx="511">
                  <c:v>102.124334709325</c:v>
                </c:pt>
                <c:pt idx="512">
                  <c:v>102.15272885067199</c:v>
                </c:pt>
                <c:pt idx="513">
                  <c:v>102.286019203203</c:v>
                </c:pt>
                <c:pt idx="514">
                  <c:v>102.374440450069</c:v>
                </c:pt>
                <c:pt idx="515">
                  <c:v>102.392095243543</c:v>
                </c:pt>
                <c:pt idx="516">
                  <c:v>102.37761048548199</c:v>
                </c:pt>
                <c:pt idx="517">
                  <c:v>102.334066991838</c:v>
                </c:pt>
                <c:pt idx="518">
                  <c:v>102.37723361458501</c:v>
                </c:pt>
                <c:pt idx="519">
                  <c:v>102.32533433773</c:v>
                </c:pt>
                <c:pt idx="520">
                  <c:v>102.250486387341</c:v>
                </c:pt>
                <c:pt idx="521">
                  <c:v>102.39971918937499</c:v>
                </c:pt>
                <c:pt idx="522">
                  <c:v>102.421133764023</c:v>
                </c:pt>
                <c:pt idx="523">
                  <c:v>102.40506459116901</c:v>
                </c:pt>
                <c:pt idx="524">
                  <c:v>102.37952676513399</c:v>
                </c:pt>
                <c:pt idx="525">
                  <c:v>102.388118282637</c:v>
                </c:pt>
                <c:pt idx="526">
                  <c:v>102.37099407556701</c:v>
                </c:pt>
                <c:pt idx="527">
                  <c:v>102.36088070967</c:v>
                </c:pt>
                <c:pt idx="528">
                  <c:v>102.33682026533999</c:v>
                </c:pt>
                <c:pt idx="529">
                  <c:v>102.350028132297</c:v>
                </c:pt>
                <c:pt idx="530">
                  <c:v>102.37330949286999</c:v>
                </c:pt>
                <c:pt idx="531">
                  <c:v>102.380888874251</c:v>
                </c:pt>
                <c:pt idx="532">
                  <c:v>102.42222763679401</c:v>
                </c:pt>
                <c:pt idx="533">
                  <c:v>102.44081972484901</c:v>
                </c:pt>
                <c:pt idx="534">
                  <c:v>102.43880187445899</c:v>
                </c:pt>
                <c:pt idx="535">
                  <c:v>102.420352085394</c:v>
                </c:pt>
                <c:pt idx="536">
                  <c:v>102.41969956561699</c:v>
                </c:pt>
                <c:pt idx="537">
                  <c:v>102.44080379900001</c:v>
                </c:pt>
                <c:pt idx="538">
                  <c:v>102.448733840633</c:v>
                </c:pt>
                <c:pt idx="539">
                  <c:v>102.46948130234699</c:v>
                </c:pt>
                <c:pt idx="540">
                  <c:v>102.473746590996</c:v>
                </c:pt>
                <c:pt idx="541">
                  <c:v>102.46588736107901</c:v>
                </c:pt>
                <c:pt idx="542">
                  <c:v>102.35905095239499</c:v>
                </c:pt>
                <c:pt idx="543">
                  <c:v>102.35393029014401</c:v>
                </c:pt>
                <c:pt idx="544">
                  <c:v>102.35766807668401</c:v>
                </c:pt>
                <c:pt idx="545">
                  <c:v>102.363491786898</c:v>
                </c:pt>
                <c:pt idx="546">
                  <c:v>102.378523440808</c:v>
                </c:pt>
                <c:pt idx="547">
                  <c:v>102.36885901061899</c:v>
                </c:pt>
                <c:pt idx="548">
                  <c:v>102.362892582461</c:v>
                </c:pt>
                <c:pt idx="549">
                  <c:v>102.35166558658901</c:v>
                </c:pt>
                <c:pt idx="550">
                  <c:v>102.337386049174</c:v>
                </c:pt>
                <c:pt idx="551">
                  <c:v>102.346760825381</c:v>
                </c:pt>
                <c:pt idx="552">
                  <c:v>102.380200775557</c:v>
                </c:pt>
                <c:pt idx="553">
                  <c:v>102.418449414996</c:v>
                </c:pt>
                <c:pt idx="554">
                  <c:v>102.430137941971</c:v>
                </c:pt>
                <c:pt idx="555">
                  <c:v>102.458659638383</c:v>
                </c:pt>
                <c:pt idx="556">
                  <c:v>102.51492143289701</c:v>
                </c:pt>
                <c:pt idx="557">
                  <c:v>102.554674993288</c:v>
                </c:pt>
                <c:pt idx="558">
                  <c:v>102.61555807849399</c:v>
                </c:pt>
                <c:pt idx="559">
                  <c:v>102.567788242224</c:v>
                </c:pt>
                <c:pt idx="560">
                  <c:v>102.426248096913</c:v>
                </c:pt>
                <c:pt idx="561">
                  <c:v>102.36154035786001</c:v>
                </c:pt>
                <c:pt idx="562">
                  <c:v>102.400926509098</c:v>
                </c:pt>
                <c:pt idx="563">
                  <c:v>102.507449115608</c:v>
                </c:pt>
                <c:pt idx="564">
                  <c:v>102.606702699086</c:v>
                </c:pt>
                <c:pt idx="565">
                  <c:v>102.51187239004099</c:v>
                </c:pt>
                <c:pt idx="566">
                  <c:v>102.529392925555</c:v>
                </c:pt>
                <c:pt idx="567">
                  <c:v>102.568652518221</c:v>
                </c:pt>
                <c:pt idx="568">
                  <c:v>102.523069138511</c:v>
                </c:pt>
                <c:pt idx="569">
                  <c:v>102.473441720431</c:v>
                </c:pt>
                <c:pt idx="570">
                  <c:v>102.43723323282501</c:v>
                </c:pt>
                <c:pt idx="571">
                  <c:v>102.41352039019901</c:v>
                </c:pt>
                <c:pt idx="572">
                  <c:v>102.41053142677799</c:v>
                </c:pt>
                <c:pt idx="573">
                  <c:v>102.44940122999</c:v>
                </c:pt>
                <c:pt idx="574">
                  <c:v>102.421926484406</c:v>
                </c:pt>
                <c:pt idx="575">
                  <c:v>102.37887990030501</c:v>
                </c:pt>
                <c:pt idx="576">
                  <c:v>102.459933248301</c:v>
                </c:pt>
                <c:pt idx="577">
                  <c:v>102.457379300261</c:v>
                </c:pt>
                <c:pt idx="578">
                  <c:v>102.42200491523801</c:v>
                </c:pt>
                <c:pt idx="579">
                  <c:v>102.403005520047</c:v>
                </c:pt>
                <c:pt idx="580">
                  <c:v>102.37994890461201</c:v>
                </c:pt>
                <c:pt idx="581">
                  <c:v>102.398267686794</c:v>
                </c:pt>
                <c:pt idx="582">
                  <c:v>102.40851584055599</c:v>
                </c:pt>
                <c:pt idx="583">
                  <c:v>102.412575458669</c:v>
                </c:pt>
                <c:pt idx="584">
                  <c:v>102.433400906974</c:v>
                </c:pt>
                <c:pt idx="585">
                  <c:v>102.454638364682</c:v>
                </c:pt>
                <c:pt idx="586">
                  <c:v>102.439738699933</c:v>
                </c:pt>
                <c:pt idx="587">
                  <c:v>102.429112723598</c:v>
                </c:pt>
                <c:pt idx="588">
                  <c:v>102.399563538298</c:v>
                </c:pt>
                <c:pt idx="589">
                  <c:v>102.379370607825</c:v>
                </c:pt>
                <c:pt idx="590">
                  <c:v>102.372882287115</c:v>
                </c:pt>
                <c:pt idx="591">
                  <c:v>102.363955932908</c:v>
                </c:pt>
                <c:pt idx="592">
                  <c:v>102.37625341646299</c:v>
                </c:pt>
                <c:pt idx="593">
                  <c:v>102.36542231497199</c:v>
                </c:pt>
                <c:pt idx="594">
                  <c:v>102.34005260190301</c:v>
                </c:pt>
                <c:pt idx="595">
                  <c:v>102.29111916268499</c:v>
                </c:pt>
                <c:pt idx="596">
                  <c:v>102.28781329571899</c:v>
                </c:pt>
                <c:pt idx="597">
                  <c:v>102.309110416102</c:v>
                </c:pt>
                <c:pt idx="598">
                  <c:v>102.30756781518099</c:v>
                </c:pt>
                <c:pt idx="599">
                  <c:v>102.17875415569199</c:v>
                </c:pt>
                <c:pt idx="600">
                  <c:v>102.189601552543</c:v>
                </c:pt>
                <c:pt idx="601">
                  <c:v>102.18092867404201</c:v>
                </c:pt>
                <c:pt idx="602">
                  <c:v>102.16034395462501</c:v>
                </c:pt>
                <c:pt idx="603">
                  <c:v>102.11915344625601</c:v>
                </c:pt>
                <c:pt idx="604">
                  <c:v>102.11634149877099</c:v>
                </c:pt>
                <c:pt idx="605">
                  <c:v>102.130274021362</c:v>
                </c:pt>
                <c:pt idx="606">
                  <c:v>102.166902684688</c:v>
                </c:pt>
                <c:pt idx="607">
                  <c:v>102.21354649091001</c:v>
                </c:pt>
                <c:pt idx="608">
                  <c:v>102.27259336716</c:v>
                </c:pt>
                <c:pt idx="609">
                  <c:v>102.229198804929</c:v>
                </c:pt>
                <c:pt idx="610">
                  <c:v>102.260024919698</c:v>
                </c:pt>
                <c:pt idx="611">
                  <c:v>102.37078455893101</c:v>
                </c:pt>
                <c:pt idx="612">
                  <c:v>102.471349633847</c:v>
                </c:pt>
                <c:pt idx="613">
                  <c:v>102.50237106959099</c:v>
                </c:pt>
                <c:pt idx="614">
                  <c:v>102.408953797016</c:v>
                </c:pt>
                <c:pt idx="615">
                  <c:v>102.321020349885</c:v>
                </c:pt>
                <c:pt idx="616">
                  <c:v>102.30064480527801</c:v>
                </c:pt>
                <c:pt idx="617">
                  <c:v>102.323210473611</c:v>
                </c:pt>
                <c:pt idx="618">
                  <c:v>102.403318050355</c:v>
                </c:pt>
                <c:pt idx="619">
                  <c:v>102.393625377072</c:v>
                </c:pt>
                <c:pt idx="620">
                  <c:v>102.412633453973</c:v>
                </c:pt>
                <c:pt idx="621">
                  <c:v>102.392643584844</c:v>
                </c:pt>
                <c:pt idx="622">
                  <c:v>102.385489337184</c:v>
                </c:pt>
                <c:pt idx="623">
                  <c:v>102.34683195731</c:v>
                </c:pt>
                <c:pt idx="624">
                  <c:v>102.32656577595</c:v>
                </c:pt>
                <c:pt idx="625">
                  <c:v>102.429175869202</c:v>
                </c:pt>
                <c:pt idx="626">
                  <c:v>102.44469294245</c:v>
                </c:pt>
                <c:pt idx="627">
                  <c:v>102.39008300288299</c:v>
                </c:pt>
                <c:pt idx="628">
                  <c:v>102.377763223103</c:v>
                </c:pt>
                <c:pt idx="629">
                  <c:v>102.40596555468599</c:v>
                </c:pt>
                <c:pt idx="630">
                  <c:v>102.381804868288</c:v>
                </c:pt>
                <c:pt idx="631">
                  <c:v>102.356501004517</c:v>
                </c:pt>
                <c:pt idx="632">
                  <c:v>102.34792627437</c:v>
                </c:pt>
                <c:pt idx="633">
                  <c:v>102.376690864552</c:v>
                </c:pt>
                <c:pt idx="634">
                  <c:v>102.38353475840401</c:v>
                </c:pt>
                <c:pt idx="635">
                  <c:v>102.398969856267</c:v>
                </c:pt>
                <c:pt idx="636">
                  <c:v>102.48811129038999</c:v>
                </c:pt>
                <c:pt idx="637">
                  <c:v>102.49407634191999</c:v>
                </c:pt>
                <c:pt idx="638">
                  <c:v>102.480524035847</c:v>
                </c:pt>
                <c:pt idx="639">
                  <c:v>102.50159974782099</c:v>
                </c:pt>
                <c:pt idx="640">
                  <c:v>102.50876082207199</c:v>
                </c:pt>
                <c:pt idx="641">
                  <c:v>102.514076522561</c:v>
                </c:pt>
                <c:pt idx="642">
                  <c:v>102.53875816243701</c:v>
                </c:pt>
                <c:pt idx="643">
                  <c:v>102.544061285955</c:v>
                </c:pt>
                <c:pt idx="644">
                  <c:v>102.55815302720799</c:v>
                </c:pt>
                <c:pt idx="645">
                  <c:v>102.56612299486801</c:v>
                </c:pt>
                <c:pt idx="646">
                  <c:v>102.414168722501</c:v>
                </c:pt>
                <c:pt idx="647">
                  <c:v>102.39719403584</c:v>
                </c:pt>
                <c:pt idx="648">
                  <c:v>102.41462788288399</c:v>
                </c:pt>
                <c:pt idx="649">
                  <c:v>102.42753118209299</c:v>
                </c:pt>
                <c:pt idx="650">
                  <c:v>102.40196780615099</c:v>
                </c:pt>
                <c:pt idx="651">
                  <c:v>102.393150702871</c:v>
                </c:pt>
                <c:pt idx="652">
                  <c:v>102.39736656868999</c:v>
                </c:pt>
                <c:pt idx="653">
                  <c:v>102.374128332016</c:v>
                </c:pt>
                <c:pt idx="654">
                  <c:v>102.32537153733301</c:v>
                </c:pt>
                <c:pt idx="655">
                  <c:v>102.33898767122</c:v>
                </c:pt>
                <c:pt idx="656">
                  <c:v>102.333858901703</c:v>
                </c:pt>
                <c:pt idx="657">
                  <c:v>102.360828576269</c:v>
                </c:pt>
                <c:pt idx="658">
                  <c:v>102.48552778192101</c:v>
                </c:pt>
                <c:pt idx="659">
                  <c:v>102.53332680821299</c:v>
                </c:pt>
                <c:pt idx="660">
                  <c:v>102.42721127093</c:v>
                </c:pt>
                <c:pt idx="661">
                  <c:v>102.45361611074699</c:v>
                </c:pt>
                <c:pt idx="662">
                  <c:v>102.52711307423701</c:v>
                </c:pt>
                <c:pt idx="663">
                  <c:v>102.505415577427</c:v>
                </c:pt>
                <c:pt idx="664">
                  <c:v>102.51842718325901</c:v>
                </c:pt>
                <c:pt idx="665">
                  <c:v>102.546481651562</c:v>
                </c:pt>
                <c:pt idx="666">
                  <c:v>102.46403163858599</c:v>
                </c:pt>
                <c:pt idx="667">
                  <c:v>102.48419994915801</c:v>
                </c:pt>
                <c:pt idx="668">
                  <c:v>102.43515535407801</c:v>
                </c:pt>
                <c:pt idx="669">
                  <c:v>102.431135923272</c:v>
                </c:pt>
                <c:pt idx="670">
                  <c:v>102.49333557028601</c:v>
                </c:pt>
                <c:pt idx="671">
                  <c:v>102.504199908983</c:v>
                </c:pt>
                <c:pt idx="672">
                  <c:v>102.471030110876</c:v>
                </c:pt>
                <c:pt idx="673">
                  <c:v>102.499827852455</c:v>
                </c:pt>
                <c:pt idx="674">
                  <c:v>102.506442488134</c:v>
                </c:pt>
                <c:pt idx="675">
                  <c:v>102.44972476127799</c:v>
                </c:pt>
                <c:pt idx="676">
                  <c:v>102.435509947765</c:v>
                </c:pt>
                <c:pt idx="677">
                  <c:v>102.42618427965701</c:v>
                </c:pt>
                <c:pt idx="678">
                  <c:v>102.34851141278</c:v>
                </c:pt>
                <c:pt idx="679">
                  <c:v>102.318535104304</c:v>
                </c:pt>
                <c:pt idx="680">
                  <c:v>102.37805424735001</c:v>
                </c:pt>
                <c:pt idx="681">
                  <c:v>102.39621731461401</c:v>
                </c:pt>
                <c:pt idx="682">
                  <c:v>102.38214993907701</c:v>
                </c:pt>
                <c:pt idx="683">
                  <c:v>102.35165926641301</c:v>
                </c:pt>
                <c:pt idx="684">
                  <c:v>102.33935737553401</c:v>
                </c:pt>
                <c:pt idx="685">
                  <c:v>102.36204410081001</c:v>
                </c:pt>
                <c:pt idx="686">
                  <c:v>102.34304993297</c:v>
                </c:pt>
                <c:pt idx="687">
                  <c:v>102.35958535148799</c:v>
                </c:pt>
                <c:pt idx="688">
                  <c:v>102.393781544444</c:v>
                </c:pt>
                <c:pt idx="689">
                  <c:v>102.386556499891</c:v>
                </c:pt>
                <c:pt idx="690">
                  <c:v>102.374094545153</c:v>
                </c:pt>
                <c:pt idx="691">
                  <c:v>102.363271110086</c:v>
                </c:pt>
                <c:pt idx="692">
                  <c:v>102.36287653035501</c:v>
                </c:pt>
                <c:pt idx="693">
                  <c:v>102.367337512077</c:v>
                </c:pt>
                <c:pt idx="694">
                  <c:v>102.36951669582299</c:v>
                </c:pt>
                <c:pt idx="695">
                  <c:v>102.385144303787</c:v>
                </c:pt>
                <c:pt idx="696">
                  <c:v>102.396070896</c:v>
                </c:pt>
                <c:pt idx="697">
                  <c:v>102.401894281848</c:v>
                </c:pt>
                <c:pt idx="698">
                  <c:v>102.399712715074</c:v>
                </c:pt>
                <c:pt idx="699">
                  <c:v>102.347194317746</c:v>
                </c:pt>
                <c:pt idx="700">
                  <c:v>102.3025954567</c:v>
                </c:pt>
                <c:pt idx="701">
                  <c:v>102.29224522515099</c:v>
                </c:pt>
                <c:pt idx="702">
                  <c:v>102.300736952444</c:v>
                </c:pt>
                <c:pt idx="703">
                  <c:v>102.181465310516</c:v>
                </c:pt>
                <c:pt idx="704">
                  <c:v>102.17334226445</c:v>
                </c:pt>
                <c:pt idx="705">
                  <c:v>102.148830340885</c:v>
                </c:pt>
                <c:pt idx="706">
                  <c:v>102.14232982731599</c:v>
                </c:pt>
                <c:pt idx="707">
                  <c:v>102.12954514825901</c:v>
                </c:pt>
                <c:pt idx="708">
                  <c:v>102.11232708455699</c:v>
                </c:pt>
                <c:pt idx="709">
                  <c:v>102.139929323693</c:v>
                </c:pt>
                <c:pt idx="710">
                  <c:v>102.106405512012</c:v>
                </c:pt>
                <c:pt idx="711">
                  <c:v>102.11930615879601</c:v>
                </c:pt>
                <c:pt idx="712">
                  <c:v>102.189453657461</c:v>
                </c:pt>
                <c:pt idx="713">
                  <c:v>102.268595724721</c:v>
                </c:pt>
                <c:pt idx="714">
                  <c:v>102.277739594148</c:v>
                </c:pt>
                <c:pt idx="715">
                  <c:v>102.27479262531401</c:v>
                </c:pt>
                <c:pt idx="716">
                  <c:v>102.325658426749</c:v>
                </c:pt>
                <c:pt idx="717">
                  <c:v>102.24510361850599</c:v>
                </c:pt>
                <c:pt idx="718">
                  <c:v>102.25811001954901</c:v>
                </c:pt>
                <c:pt idx="719">
                  <c:v>102.28184940679</c:v>
                </c:pt>
                <c:pt idx="720">
                  <c:v>102.24483315973301</c:v>
                </c:pt>
                <c:pt idx="721">
                  <c:v>102.339147519026</c:v>
                </c:pt>
                <c:pt idx="722">
                  <c:v>102.370275503649</c:v>
                </c:pt>
                <c:pt idx="723">
                  <c:v>102.276318678531</c:v>
                </c:pt>
                <c:pt idx="724">
                  <c:v>102.25545254425001</c:v>
                </c:pt>
                <c:pt idx="725">
                  <c:v>102.267533300905</c:v>
                </c:pt>
                <c:pt idx="726">
                  <c:v>102.301765358686</c:v>
                </c:pt>
                <c:pt idx="727">
                  <c:v>102.526588765398</c:v>
                </c:pt>
                <c:pt idx="728">
                  <c:v>102.482694558489</c:v>
                </c:pt>
                <c:pt idx="729">
                  <c:v>102.428191718837</c:v>
                </c:pt>
                <c:pt idx="730">
                  <c:v>102.42289188977</c:v>
                </c:pt>
                <c:pt idx="731">
                  <c:v>102.36435727576401</c:v>
                </c:pt>
                <c:pt idx="732">
                  <c:v>102.282116667163</c:v>
                </c:pt>
                <c:pt idx="733">
                  <c:v>102.30541192000399</c:v>
                </c:pt>
                <c:pt idx="734">
                  <c:v>102.342574275537</c:v>
                </c:pt>
                <c:pt idx="735">
                  <c:v>102.391700080871</c:v>
                </c:pt>
                <c:pt idx="736">
                  <c:v>102.403286489124</c:v>
                </c:pt>
                <c:pt idx="737">
                  <c:v>102.402952889595</c:v>
                </c:pt>
                <c:pt idx="738">
                  <c:v>102.393054500842</c:v>
                </c:pt>
                <c:pt idx="739">
                  <c:v>102.441924553294</c:v>
                </c:pt>
                <c:pt idx="740">
                  <c:v>102.459236397306</c:v>
                </c:pt>
                <c:pt idx="741">
                  <c:v>102.45671521353</c:v>
                </c:pt>
                <c:pt idx="742">
                  <c:v>102.45464297684501</c:v>
                </c:pt>
                <c:pt idx="743">
                  <c:v>102.45925647216001</c:v>
                </c:pt>
                <c:pt idx="744">
                  <c:v>102.462836976774</c:v>
                </c:pt>
                <c:pt idx="745">
                  <c:v>102.486772235123</c:v>
                </c:pt>
                <c:pt idx="746">
                  <c:v>102.519048200933</c:v>
                </c:pt>
                <c:pt idx="747">
                  <c:v>102.52660790595701</c:v>
                </c:pt>
                <c:pt idx="748">
                  <c:v>102.540113353487</c:v>
                </c:pt>
                <c:pt idx="749">
                  <c:v>102.554689415328</c:v>
                </c:pt>
                <c:pt idx="750">
                  <c:v>102.454008851393</c:v>
                </c:pt>
                <c:pt idx="751">
                  <c:v>102.42281248299901</c:v>
                </c:pt>
                <c:pt idx="752">
                  <c:v>102.44354284281201</c:v>
                </c:pt>
                <c:pt idx="753">
                  <c:v>102.46057058775699</c:v>
                </c:pt>
                <c:pt idx="754">
                  <c:v>102.454929825641</c:v>
                </c:pt>
                <c:pt idx="755">
                  <c:v>102.462185683478</c:v>
                </c:pt>
                <c:pt idx="756">
                  <c:v>102.45505871412399</c:v>
                </c:pt>
                <c:pt idx="757">
                  <c:v>102.441741198367</c:v>
                </c:pt>
                <c:pt idx="758">
                  <c:v>102.431918521208</c:v>
                </c:pt>
                <c:pt idx="759">
                  <c:v>102.474121682993</c:v>
                </c:pt>
                <c:pt idx="760">
                  <c:v>102.51453506563</c:v>
                </c:pt>
                <c:pt idx="761">
                  <c:v>102.54081975930799</c:v>
                </c:pt>
                <c:pt idx="762">
                  <c:v>102.546966916074</c:v>
                </c:pt>
                <c:pt idx="763">
                  <c:v>102.451247845399</c:v>
                </c:pt>
                <c:pt idx="764">
                  <c:v>102.46660557903999</c:v>
                </c:pt>
                <c:pt idx="765">
                  <c:v>102.491882830148</c:v>
                </c:pt>
                <c:pt idx="766">
                  <c:v>102.430087930292</c:v>
                </c:pt>
                <c:pt idx="767">
                  <c:v>102.504656968929</c:v>
                </c:pt>
                <c:pt idx="768">
                  <c:v>102.51472156654199</c:v>
                </c:pt>
                <c:pt idx="769">
                  <c:v>102.52366634027101</c:v>
                </c:pt>
                <c:pt idx="770">
                  <c:v>102.494933096278</c:v>
                </c:pt>
                <c:pt idx="771">
                  <c:v>102.52275153538599</c:v>
                </c:pt>
                <c:pt idx="772">
                  <c:v>102.557302456144</c:v>
                </c:pt>
                <c:pt idx="773">
                  <c:v>102.57519211941801</c:v>
                </c:pt>
                <c:pt idx="774">
                  <c:v>102.518323542053</c:v>
                </c:pt>
                <c:pt idx="775">
                  <c:v>102.47658501941399</c:v>
                </c:pt>
                <c:pt idx="776">
                  <c:v>102.47792570318299</c:v>
                </c:pt>
                <c:pt idx="777">
                  <c:v>102.479514419515</c:v>
                </c:pt>
                <c:pt idx="778">
                  <c:v>102.490981765219</c:v>
                </c:pt>
                <c:pt idx="779">
                  <c:v>102.48124325180899</c:v>
                </c:pt>
                <c:pt idx="780">
                  <c:v>102.451732773369</c:v>
                </c:pt>
                <c:pt idx="781">
                  <c:v>102.45049459361</c:v>
                </c:pt>
                <c:pt idx="782">
                  <c:v>102.402121070009</c:v>
                </c:pt>
                <c:pt idx="783">
                  <c:v>102.48669562313299</c:v>
                </c:pt>
                <c:pt idx="784">
                  <c:v>102.41802016116699</c:v>
                </c:pt>
                <c:pt idx="785">
                  <c:v>102.44027104224401</c:v>
                </c:pt>
                <c:pt idx="786">
                  <c:v>102.448941437586</c:v>
                </c:pt>
                <c:pt idx="787">
                  <c:v>102.46576677929201</c:v>
                </c:pt>
                <c:pt idx="788">
                  <c:v>102.46668393906501</c:v>
                </c:pt>
                <c:pt idx="789">
                  <c:v>102.454534529957</c:v>
                </c:pt>
                <c:pt idx="790">
                  <c:v>102.429764247826</c:v>
                </c:pt>
                <c:pt idx="791">
                  <c:v>102.447833222528</c:v>
                </c:pt>
                <c:pt idx="792">
                  <c:v>102.442530589219</c:v>
                </c:pt>
                <c:pt idx="793">
                  <c:v>102.432296917174</c:v>
                </c:pt>
                <c:pt idx="794">
                  <c:v>102.431435984836</c:v>
                </c:pt>
                <c:pt idx="795">
                  <c:v>102.426449799124</c:v>
                </c:pt>
                <c:pt idx="796">
                  <c:v>102.41500627327099</c:v>
                </c:pt>
                <c:pt idx="797">
                  <c:v>102.419271636384</c:v>
                </c:pt>
                <c:pt idx="798">
                  <c:v>102.423205817767</c:v>
                </c:pt>
                <c:pt idx="799">
                  <c:v>102.42004909956501</c:v>
                </c:pt>
                <c:pt idx="800">
                  <c:v>102.427062787919</c:v>
                </c:pt>
                <c:pt idx="801">
                  <c:v>102.414416352042</c:v>
                </c:pt>
                <c:pt idx="802">
                  <c:v>102.418672468522</c:v>
                </c:pt>
                <c:pt idx="803">
                  <c:v>102.43098287998299</c:v>
                </c:pt>
                <c:pt idx="804">
                  <c:v>102.430171507625</c:v>
                </c:pt>
                <c:pt idx="805">
                  <c:v>102.45530080511699</c:v>
                </c:pt>
                <c:pt idx="806">
                  <c:v>102.49612561307299</c:v>
                </c:pt>
                <c:pt idx="807">
                  <c:v>102.41095887634501</c:v>
                </c:pt>
                <c:pt idx="808">
                  <c:v>102.43067148105</c:v>
                </c:pt>
                <c:pt idx="809">
                  <c:v>102.437407877103</c:v>
                </c:pt>
                <c:pt idx="810">
                  <c:v>102.4583402473</c:v>
                </c:pt>
                <c:pt idx="811">
                  <c:v>102.44773438751</c:v>
                </c:pt>
                <c:pt idx="812">
                  <c:v>102.465738244837</c:v>
                </c:pt>
                <c:pt idx="813">
                  <c:v>102.497659305323</c:v>
                </c:pt>
                <c:pt idx="814">
                  <c:v>102.512181455817</c:v>
                </c:pt>
                <c:pt idx="815">
                  <c:v>102.501199007859</c:v>
                </c:pt>
                <c:pt idx="816">
                  <c:v>102.498317811931</c:v>
                </c:pt>
                <c:pt idx="817">
                  <c:v>102.43556547851699</c:v>
                </c:pt>
                <c:pt idx="818">
                  <c:v>102.43832651264999</c:v>
                </c:pt>
                <c:pt idx="819">
                  <c:v>102.43407428656701</c:v>
                </c:pt>
                <c:pt idx="820">
                  <c:v>102.39609751412601</c:v>
                </c:pt>
                <c:pt idx="821">
                  <c:v>102.419502709829</c:v>
                </c:pt>
                <c:pt idx="822">
                  <c:v>102.42001037577</c:v>
                </c:pt>
                <c:pt idx="823">
                  <c:v>102.440034462985</c:v>
                </c:pt>
                <c:pt idx="824">
                  <c:v>102.48789382314899</c:v>
                </c:pt>
                <c:pt idx="825">
                  <c:v>102.50863350505699</c:v>
                </c:pt>
                <c:pt idx="826">
                  <c:v>102.42423019216801</c:v>
                </c:pt>
                <c:pt idx="827">
                  <c:v>102.392115338545</c:v>
                </c:pt>
                <c:pt idx="828">
                  <c:v>102.34081172764601</c:v>
                </c:pt>
                <c:pt idx="829">
                  <c:v>102.34964678815</c:v>
                </c:pt>
                <c:pt idx="830">
                  <c:v>102.440246111452</c:v>
                </c:pt>
                <c:pt idx="831">
                  <c:v>102.34673658223599</c:v>
                </c:pt>
                <c:pt idx="832">
                  <c:v>102.399727149846</c:v>
                </c:pt>
                <c:pt idx="833">
                  <c:v>102.37563080092599</c:v>
                </c:pt>
                <c:pt idx="834">
                  <c:v>102.34075001032201</c:v>
                </c:pt>
                <c:pt idx="835">
                  <c:v>102.36307176867</c:v>
                </c:pt>
                <c:pt idx="836">
                  <c:v>102.37583667521699</c:v>
                </c:pt>
                <c:pt idx="837">
                  <c:v>102.33758759297501</c:v>
                </c:pt>
                <c:pt idx="838">
                  <c:v>102.323963510559</c:v>
                </c:pt>
                <c:pt idx="839">
                  <c:v>102.309342659012</c:v>
                </c:pt>
                <c:pt idx="840">
                  <c:v>102.338328811336</c:v>
                </c:pt>
                <c:pt idx="841">
                  <c:v>102.361185772086</c:v>
                </c:pt>
                <c:pt idx="842">
                  <c:v>102.396859810846</c:v>
                </c:pt>
                <c:pt idx="843">
                  <c:v>102.444007171032</c:v>
                </c:pt>
                <c:pt idx="844">
                  <c:v>102.44090566215701</c:v>
                </c:pt>
                <c:pt idx="845">
                  <c:v>102.45235376541</c:v>
                </c:pt>
                <c:pt idx="846">
                  <c:v>102.485224777393</c:v>
                </c:pt>
                <c:pt idx="847">
                  <c:v>102.503933508776</c:v>
                </c:pt>
                <c:pt idx="848">
                  <c:v>102.51719265739899</c:v>
                </c:pt>
                <c:pt idx="849">
                  <c:v>102.530743947536</c:v>
                </c:pt>
                <c:pt idx="850">
                  <c:v>102.537538490564</c:v>
                </c:pt>
                <c:pt idx="851">
                  <c:v>102.529499195837</c:v>
                </c:pt>
                <c:pt idx="852">
                  <c:v>102.54170715179501</c:v>
                </c:pt>
                <c:pt idx="853">
                  <c:v>102.539676241329</c:v>
                </c:pt>
                <c:pt idx="854">
                  <c:v>102.48467413896401</c:v>
                </c:pt>
                <c:pt idx="855">
                  <c:v>102.466055249221</c:v>
                </c:pt>
                <c:pt idx="856">
                  <c:v>102.437182283872</c:v>
                </c:pt>
                <c:pt idx="857">
                  <c:v>102.427781182332</c:v>
                </c:pt>
                <c:pt idx="858">
                  <c:v>102.441544379086</c:v>
                </c:pt>
                <c:pt idx="859">
                  <c:v>102.493077060129</c:v>
                </c:pt>
                <c:pt idx="860">
                  <c:v>102.455000182522</c:v>
                </c:pt>
                <c:pt idx="861">
                  <c:v>102.41819008966499</c:v>
                </c:pt>
                <c:pt idx="862">
                  <c:v>102.33751377630901</c:v>
                </c:pt>
                <c:pt idx="863">
                  <c:v>102.28949711854699</c:v>
                </c:pt>
                <c:pt idx="864">
                  <c:v>102.193698135123</c:v>
                </c:pt>
                <c:pt idx="865">
                  <c:v>102.028804169569</c:v>
                </c:pt>
                <c:pt idx="866">
                  <c:v>101.855119439885</c:v>
                </c:pt>
                <c:pt idx="867">
                  <c:v>101.65160067126601</c:v>
                </c:pt>
                <c:pt idx="868">
                  <c:v>101.51566637608599</c:v>
                </c:pt>
                <c:pt idx="869">
                  <c:v>101.35845324227</c:v>
                </c:pt>
                <c:pt idx="870">
                  <c:v>101.141039244211</c:v>
                </c:pt>
                <c:pt idx="871">
                  <c:v>100.974119352061</c:v>
                </c:pt>
                <c:pt idx="872">
                  <c:v>100.796044425506</c:v>
                </c:pt>
                <c:pt idx="873">
                  <c:v>100.62669111413001</c:v>
                </c:pt>
                <c:pt idx="874">
                  <c:v>100.42331180732799</c:v>
                </c:pt>
                <c:pt idx="875">
                  <c:v>100.228243275528</c:v>
                </c:pt>
                <c:pt idx="876">
                  <c:v>100.003063370375</c:v>
                </c:pt>
                <c:pt idx="877">
                  <c:v>99.672152069286</c:v>
                </c:pt>
                <c:pt idx="878">
                  <c:v>99.357415979001999</c:v>
                </c:pt>
                <c:pt idx="879">
                  <c:v>98.990882210319</c:v>
                </c:pt>
                <c:pt idx="880">
                  <c:v>98.669453328456001</c:v>
                </c:pt>
                <c:pt idx="881">
                  <c:v>98.304194650115988</c:v>
                </c:pt>
                <c:pt idx="882">
                  <c:v>97.985140580782002</c:v>
                </c:pt>
                <c:pt idx="883">
                  <c:v>97.674529197255993</c:v>
                </c:pt>
                <c:pt idx="884">
                  <c:v>97.359529559251996</c:v>
                </c:pt>
                <c:pt idx="885">
                  <c:v>97.086691798929991</c:v>
                </c:pt>
                <c:pt idx="886">
                  <c:v>96.798752012362996</c:v>
                </c:pt>
                <c:pt idx="887">
                  <c:v>96.470143256737998</c:v>
                </c:pt>
                <c:pt idx="888">
                  <c:v>96.167518437951998</c:v>
                </c:pt>
                <c:pt idx="889">
                  <c:v>95.867709301248993</c:v>
                </c:pt>
                <c:pt idx="890">
                  <c:v>95.591712371008995</c:v>
                </c:pt>
                <c:pt idx="891">
                  <c:v>95.312126756647999</c:v>
                </c:pt>
                <c:pt idx="892">
                  <c:v>95.044103713524009</c:v>
                </c:pt>
                <c:pt idx="893">
                  <c:v>94.750280023366997</c:v>
                </c:pt>
                <c:pt idx="894">
                  <c:v>94.456533856609994</c:v>
                </c:pt>
                <c:pt idx="895">
                  <c:v>94.178326394286998</c:v>
                </c:pt>
                <c:pt idx="896">
                  <c:v>93.897925948356004</c:v>
                </c:pt>
                <c:pt idx="897">
                  <c:v>93.613228154588001</c:v>
                </c:pt>
                <c:pt idx="898">
                  <c:v>93.348628738689001</c:v>
                </c:pt>
                <c:pt idx="899">
                  <c:v>93.090880960513999</c:v>
                </c:pt>
                <c:pt idx="900">
                  <c:v>92.829815489509997</c:v>
                </c:pt>
                <c:pt idx="901">
                  <c:v>92.632009706496007</c:v>
                </c:pt>
                <c:pt idx="902">
                  <c:v>92.389323103645012</c:v>
                </c:pt>
                <c:pt idx="903">
                  <c:v>92.192657605668003</c:v>
                </c:pt>
                <c:pt idx="904">
                  <c:v>91.973623816645997</c:v>
                </c:pt>
                <c:pt idx="905">
                  <c:v>91.776708692621</c:v>
                </c:pt>
                <c:pt idx="906">
                  <c:v>91.59930441540601</c:v>
                </c:pt>
                <c:pt idx="907">
                  <c:v>91.485254402424999</c:v>
                </c:pt>
                <c:pt idx="908">
                  <c:v>91.471245235716992</c:v>
                </c:pt>
                <c:pt idx="909">
                  <c:v>91.321512298600993</c:v>
                </c:pt>
                <c:pt idx="910">
                  <c:v>91.204288369028006</c:v>
                </c:pt>
                <c:pt idx="911">
                  <c:v>91.130007864697006</c:v>
                </c:pt>
                <c:pt idx="912">
                  <c:v>91.046718159072995</c:v>
                </c:pt>
                <c:pt idx="913">
                  <c:v>90.921387100971998</c:v>
                </c:pt>
                <c:pt idx="914">
                  <c:v>90.821184426911003</c:v>
                </c:pt>
                <c:pt idx="915">
                  <c:v>90.776098221210987</c:v>
                </c:pt>
                <c:pt idx="916">
                  <c:v>90.660265661707001</c:v>
                </c:pt>
                <c:pt idx="917">
                  <c:v>90.563946316062001</c:v>
                </c:pt>
                <c:pt idx="918">
                  <c:v>90.555470935651002</c:v>
                </c:pt>
                <c:pt idx="919">
                  <c:v>90.488337402051997</c:v>
                </c:pt>
                <c:pt idx="920">
                  <c:v>90.360202397529008</c:v>
                </c:pt>
                <c:pt idx="921">
                  <c:v>90.248003605454997</c:v>
                </c:pt>
                <c:pt idx="922">
                  <c:v>89.984270057966995</c:v>
                </c:pt>
                <c:pt idx="923">
                  <c:v>89.846384349188</c:v>
                </c:pt>
                <c:pt idx="924">
                  <c:v>89.685240822457999</c:v>
                </c:pt>
                <c:pt idx="925">
                  <c:v>89.508846399329997</c:v>
                </c:pt>
                <c:pt idx="926">
                  <c:v>89.322442470341002</c:v>
                </c:pt>
                <c:pt idx="927">
                  <c:v>88.941159014986994</c:v>
                </c:pt>
                <c:pt idx="928">
                  <c:v>88.724754958376991</c:v>
                </c:pt>
                <c:pt idx="929">
                  <c:v>88.505212719298996</c:v>
                </c:pt>
                <c:pt idx="930">
                  <c:v>88.294959756983999</c:v>
                </c:pt>
                <c:pt idx="931">
                  <c:v>88.067323950028992</c:v>
                </c:pt>
                <c:pt idx="932">
                  <c:v>87.578069270842008</c:v>
                </c:pt>
                <c:pt idx="933">
                  <c:v>87.314239047075006</c:v>
                </c:pt>
                <c:pt idx="934">
                  <c:v>87.043758656497999</c:v>
                </c:pt>
                <c:pt idx="935">
                  <c:v>86.756475642946</c:v>
                </c:pt>
                <c:pt idx="936">
                  <c:v>86.444106540782997</c:v>
                </c:pt>
                <c:pt idx="937">
                  <c:v>86.133665090357994</c:v>
                </c:pt>
                <c:pt idx="938">
                  <c:v>85.496002319311998</c:v>
                </c:pt>
                <c:pt idx="939">
                  <c:v>85.154306541829996</c:v>
                </c:pt>
                <c:pt idx="940">
                  <c:v>84.825023488924998</c:v>
                </c:pt>
                <c:pt idx="941">
                  <c:v>84.490379106289993</c:v>
                </c:pt>
                <c:pt idx="942">
                  <c:v>84.170690378941998</c:v>
                </c:pt>
                <c:pt idx="943">
                  <c:v>83.835420282071993</c:v>
                </c:pt>
                <c:pt idx="944">
                  <c:v>83.497403464097999</c:v>
                </c:pt>
                <c:pt idx="945">
                  <c:v>83.197430796172</c:v>
                </c:pt>
                <c:pt idx="946">
                  <c:v>82.900834533623993</c:v>
                </c:pt>
                <c:pt idx="947">
                  <c:v>82.610090860819</c:v>
                </c:pt>
                <c:pt idx="948">
                  <c:v>82.116555607604994</c:v>
                </c:pt>
                <c:pt idx="949">
                  <c:v>81.875484541969001</c:v>
                </c:pt>
                <c:pt idx="950">
                  <c:v>81.63256518043201</c:v>
                </c:pt>
                <c:pt idx="951">
                  <c:v>81.424573000569012</c:v>
                </c:pt>
                <c:pt idx="952">
                  <c:v>81.267133025538001</c:v>
                </c:pt>
                <c:pt idx="953">
                  <c:v>81.123685112611994</c:v>
                </c:pt>
                <c:pt idx="954">
                  <c:v>80.977657962788001</c:v>
                </c:pt>
                <c:pt idx="955">
                  <c:v>80.887713727838999</c:v>
                </c:pt>
                <c:pt idx="956">
                  <c:v>80.768559358082996</c:v>
                </c:pt>
                <c:pt idx="957">
                  <c:v>80.601784331640999</c:v>
                </c:pt>
                <c:pt idx="958">
                  <c:v>80.561318402923007</c:v>
                </c:pt>
                <c:pt idx="959">
                  <c:v>80.580458557312994</c:v>
                </c:pt>
                <c:pt idx="960">
                  <c:v>80.546799276659002</c:v>
                </c:pt>
                <c:pt idx="961">
                  <c:v>80.439811166943002</c:v>
                </c:pt>
                <c:pt idx="962">
                  <c:v>80.411795360909991</c:v>
                </c:pt>
                <c:pt idx="963">
                  <c:v>80.388342935606005</c:v>
                </c:pt>
                <c:pt idx="964">
                  <c:v>80.379837662482998</c:v>
                </c:pt>
                <c:pt idx="965">
                  <c:v>80.376594543175003</c:v>
                </c:pt>
                <c:pt idx="966">
                  <c:v>80.376584236488</c:v>
                </c:pt>
                <c:pt idx="967">
                  <c:v>80.376750772560001</c:v>
                </c:pt>
                <c:pt idx="968">
                  <c:v>80.363855941139008</c:v>
                </c:pt>
                <c:pt idx="969">
                  <c:v>80.351634065446007</c:v>
                </c:pt>
                <c:pt idx="970">
                  <c:v>80.403344431354</c:v>
                </c:pt>
                <c:pt idx="971">
                  <c:v>80.466481935182003</c:v>
                </c:pt>
                <c:pt idx="972">
                  <c:v>80.509396014949004</c:v>
                </c:pt>
                <c:pt idx="973">
                  <c:v>80.540926808376</c:v>
                </c:pt>
                <c:pt idx="974">
                  <c:v>80.594454782467011</c:v>
                </c:pt>
                <c:pt idx="975">
                  <c:v>80.636998657654999</c:v>
                </c:pt>
                <c:pt idx="976">
                  <c:v>80.65628111112801</c:v>
                </c:pt>
                <c:pt idx="977">
                  <c:v>80.653212732908003</c:v>
                </c:pt>
                <c:pt idx="978">
                  <c:v>80.644314882388997</c:v>
                </c:pt>
                <c:pt idx="979">
                  <c:v>80.616892883479011</c:v>
                </c:pt>
                <c:pt idx="980">
                  <c:v>80.563545941629002</c:v>
                </c:pt>
                <c:pt idx="981">
                  <c:v>80.494993110439992</c:v>
                </c:pt>
                <c:pt idx="982">
                  <c:v>80.417392297893997</c:v>
                </c:pt>
                <c:pt idx="983">
                  <c:v>80.337496110082995</c:v>
                </c:pt>
                <c:pt idx="984">
                  <c:v>80.260208941483995</c:v>
                </c:pt>
                <c:pt idx="985">
                  <c:v>80.183100251412</c:v>
                </c:pt>
                <c:pt idx="986">
                  <c:v>80.103063044077999</c:v>
                </c:pt>
                <c:pt idx="987">
                  <c:v>80.061275436131012</c:v>
                </c:pt>
                <c:pt idx="988">
                  <c:v>80.022628764402</c:v>
                </c:pt>
                <c:pt idx="989">
                  <c:v>80.006043548750995</c:v>
                </c:pt>
                <c:pt idx="990">
                  <c:v>80.031744608857991</c:v>
                </c:pt>
                <c:pt idx="991">
                  <c:v>80.078889335</c:v>
                </c:pt>
                <c:pt idx="992">
                  <c:v>80.139299574845012</c:v>
                </c:pt>
                <c:pt idx="993">
                  <c:v>80.239067118438001</c:v>
                </c:pt>
                <c:pt idx="994">
                  <c:v>80.37154978396299</c:v>
                </c:pt>
                <c:pt idx="995">
                  <c:v>80.526902102152008</c:v>
                </c:pt>
                <c:pt idx="996">
                  <c:v>80.640157529834994</c:v>
                </c:pt>
                <c:pt idx="997">
                  <c:v>80.753036618794994</c:v>
                </c:pt>
                <c:pt idx="998">
                  <c:v>80.953810394590988</c:v>
                </c:pt>
                <c:pt idx="999">
                  <c:v>81.420734445628995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305840"/>
        <c:axId val="1032301488"/>
      </c:scatterChart>
      <c:valAx>
        <c:axId val="103230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No. of Coil Turn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1488"/>
        <c:crosses val="autoZero"/>
        <c:crossBetween val="midCat"/>
      </c:valAx>
      <c:valAx>
        <c:axId val="10323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Diameter-Perpendicular (mm)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230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85933</xdr:colOff>
      <xdr:row>74</xdr:row>
      <xdr:rowOff>102120</xdr:rowOff>
    </xdr:from>
    <xdr:to>
      <xdr:col>40</xdr:col>
      <xdr:colOff>38442</xdr:colOff>
      <xdr:row>81</xdr:row>
      <xdr:rowOff>86682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74983" y="15608820"/>
          <a:ext cx="2009909" cy="1451412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53</xdr:row>
      <xdr:rowOff>170515</xdr:rowOff>
    </xdr:from>
    <xdr:to>
      <xdr:col>39</xdr:col>
      <xdr:colOff>446070</xdr:colOff>
      <xdr:row>73</xdr:row>
      <xdr:rowOff>127850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1447" y="11276665"/>
          <a:ext cx="1745273" cy="4148335"/>
        </a:xfrm>
        <a:prstGeom prst="rect">
          <a:avLst/>
        </a:prstGeom>
      </xdr:spPr>
    </xdr:pic>
    <xdr:clientData/>
  </xdr:twoCellAnchor>
  <xdr:twoCellAnchor>
    <xdr:from>
      <xdr:col>33</xdr:col>
      <xdr:colOff>74022</xdr:colOff>
      <xdr:row>53</xdr:row>
      <xdr:rowOff>170515</xdr:rowOff>
    </xdr:from>
    <xdr:to>
      <xdr:col>35</xdr:col>
      <xdr:colOff>315057</xdr:colOff>
      <xdr:row>73</xdr:row>
      <xdr:rowOff>127850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19872" y="11276665"/>
          <a:ext cx="1612635" cy="4148335"/>
        </a:xfrm>
        <a:prstGeom prst="rect">
          <a:avLst/>
        </a:prstGeom>
      </xdr:spPr>
    </xdr:pic>
    <xdr:clientData/>
  </xdr:twoCellAnchor>
  <xdr:twoCellAnchor>
    <xdr:from>
      <xdr:col>37</xdr:col>
      <xdr:colOff>72397</xdr:colOff>
      <xdr:row>46</xdr:row>
      <xdr:rowOff>73045</xdr:rowOff>
    </xdr:from>
    <xdr:to>
      <xdr:col>39</xdr:col>
      <xdr:colOff>380679</xdr:colOff>
      <xdr:row>52</xdr:row>
      <xdr:rowOff>90365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1447" y="9712345"/>
          <a:ext cx="1679882" cy="1274620"/>
        </a:xfrm>
        <a:prstGeom prst="rect">
          <a:avLst/>
        </a:prstGeom>
      </xdr:spPr>
    </xdr:pic>
    <xdr:clientData/>
  </xdr:twoCellAnchor>
  <xdr:twoCellAnchor>
    <xdr:from>
      <xdr:col>39</xdr:col>
      <xdr:colOff>77050</xdr:colOff>
      <xdr:row>47</xdr:row>
      <xdr:rowOff>121757</xdr:rowOff>
    </xdr:from>
    <xdr:to>
      <xdr:col>39</xdr:col>
      <xdr:colOff>257509</xdr:colOff>
      <xdr:row>50</xdr:row>
      <xdr:rowOff>18602</xdr:rowOff>
    </xdr:to>
    <xdr:cxnSp macro="">
      <xdr:nvCxnSpPr>
        <xdr:cNvPr id="6" name="직선 연결선 5"/>
        <xdr:cNvCxnSpPr/>
      </xdr:nvCxnSpPr>
      <xdr:spPr>
        <a:xfrm flipV="1">
          <a:off x="28137700" y="9970607"/>
          <a:ext cx="180459" cy="52549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422254</xdr:colOff>
      <xdr:row>45</xdr:row>
      <xdr:rowOff>191162</xdr:rowOff>
    </xdr:from>
    <xdr:to>
      <xdr:col>37</xdr:col>
      <xdr:colOff>596345</xdr:colOff>
      <xdr:row>48</xdr:row>
      <xdr:rowOff>86848</xdr:rowOff>
    </xdr:to>
    <xdr:cxnSp macro="">
      <xdr:nvCxnSpPr>
        <xdr:cNvPr id="7" name="직선 연결선 6"/>
        <xdr:cNvCxnSpPr/>
      </xdr:nvCxnSpPr>
      <xdr:spPr>
        <a:xfrm flipV="1">
          <a:off x="27111304" y="9620912"/>
          <a:ext cx="174091" cy="52433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563926</xdr:colOff>
      <xdr:row>46</xdr:row>
      <xdr:rowOff>126861</xdr:rowOff>
    </xdr:from>
    <xdr:to>
      <xdr:col>39</xdr:col>
      <xdr:colOff>195947</xdr:colOff>
      <xdr:row>48</xdr:row>
      <xdr:rowOff>39157</xdr:rowOff>
    </xdr:to>
    <xdr:cxnSp macro="">
      <xdr:nvCxnSpPr>
        <xdr:cNvPr id="8" name="직선 연결선 7"/>
        <xdr:cNvCxnSpPr/>
      </xdr:nvCxnSpPr>
      <xdr:spPr>
        <a:xfrm>
          <a:off x="27252976" y="9766161"/>
          <a:ext cx="1003621" cy="33139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189569</xdr:colOff>
      <xdr:row>46</xdr:row>
      <xdr:rowOff>143833</xdr:rowOff>
    </xdr:from>
    <xdr:to>
      <xdr:col>39</xdr:col>
      <xdr:colOff>444673</xdr:colOff>
      <xdr:row>50</xdr:row>
      <xdr:rowOff>50889</xdr:rowOff>
    </xdr:to>
    <xdr:cxnSp macro="">
      <xdr:nvCxnSpPr>
        <xdr:cNvPr id="9" name="직선 연결선 8"/>
        <xdr:cNvCxnSpPr/>
      </xdr:nvCxnSpPr>
      <xdr:spPr>
        <a:xfrm flipV="1">
          <a:off x="28250219" y="9783133"/>
          <a:ext cx="255104" cy="745256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303813</xdr:colOff>
      <xdr:row>44</xdr:row>
      <xdr:rowOff>138311</xdr:rowOff>
    </xdr:from>
    <xdr:to>
      <xdr:col>37</xdr:col>
      <xdr:colOff>558917</xdr:colOff>
      <xdr:row>48</xdr:row>
      <xdr:rowOff>41643</xdr:rowOff>
    </xdr:to>
    <xdr:cxnSp macro="">
      <xdr:nvCxnSpPr>
        <xdr:cNvPr id="10" name="직선 연결선 9"/>
        <xdr:cNvCxnSpPr/>
      </xdr:nvCxnSpPr>
      <xdr:spPr>
        <a:xfrm flipV="1">
          <a:off x="26992863" y="9358511"/>
          <a:ext cx="255104" cy="741532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528393</xdr:colOff>
      <xdr:row>45</xdr:row>
      <xdr:rowOff>6036</xdr:rowOff>
    </xdr:from>
    <xdr:to>
      <xdr:col>39</xdr:col>
      <xdr:colOff>420984</xdr:colOff>
      <xdr:row>47</xdr:row>
      <xdr:rowOff>16969</xdr:rowOff>
    </xdr:to>
    <xdr:cxnSp macro="">
      <xdr:nvCxnSpPr>
        <xdr:cNvPr id="11" name="직선 연결선 10"/>
        <xdr:cNvCxnSpPr/>
      </xdr:nvCxnSpPr>
      <xdr:spPr>
        <a:xfrm>
          <a:off x="27217443" y="9435786"/>
          <a:ext cx="1264191" cy="4300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545374</xdr:colOff>
      <xdr:row>47</xdr:row>
      <xdr:rowOff>144524</xdr:rowOff>
    </xdr:from>
    <xdr:to>
      <xdr:col>39</xdr:col>
      <xdr:colOff>163182</xdr:colOff>
      <xdr:row>49</xdr:row>
      <xdr:rowOff>135899</xdr:rowOff>
    </xdr:to>
    <xdr:sp macro="" textlink="">
      <xdr:nvSpPr>
        <xdr:cNvPr id="12" name="TextBox 11"/>
        <xdr:cNvSpPr txBox="1"/>
      </xdr:nvSpPr>
      <xdr:spPr>
        <a:xfrm rot="1074509">
          <a:off x="27234424" y="9993374"/>
          <a:ext cx="989408" cy="410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800" baseline="0">
              <a:solidFill>
                <a:schemeClr val="bg1"/>
              </a:solidFill>
            </a:rPr>
            <a:t>좌권부 내경</a:t>
          </a:r>
          <a:r>
            <a:rPr lang="en-US" altLang="ko-KR" sz="800" baseline="0">
              <a:solidFill>
                <a:schemeClr val="bg1"/>
              </a:solidFill>
            </a:rPr>
            <a:t>(</a:t>
          </a:r>
          <a:r>
            <a:rPr lang="ko-KR" altLang="en-US" sz="800" baseline="0">
              <a:solidFill>
                <a:schemeClr val="bg1"/>
              </a:solidFill>
            </a:rPr>
            <a:t>상단</a:t>
          </a:r>
          <a:r>
            <a:rPr lang="en-US" altLang="ko-KR" sz="8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US" altLang="ko-KR" sz="800" baseline="0">
              <a:solidFill>
                <a:schemeClr val="bg1"/>
              </a:solidFill>
            </a:rPr>
            <a:t>0 ~ 0.5</a:t>
          </a:r>
          <a:r>
            <a:rPr lang="ko-KR" altLang="en-US" sz="800" baseline="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37</xdr:col>
      <xdr:colOff>646835</xdr:colOff>
      <xdr:row>43</xdr:row>
      <xdr:rowOff>199095</xdr:rowOff>
    </xdr:from>
    <xdr:to>
      <xdr:col>39</xdr:col>
      <xdr:colOff>464419</xdr:colOff>
      <xdr:row>46</xdr:row>
      <xdr:rowOff>64318</xdr:rowOff>
    </xdr:to>
    <xdr:sp macro="" textlink="">
      <xdr:nvSpPr>
        <xdr:cNvPr id="13" name="TextBox 12"/>
        <xdr:cNvSpPr txBox="1"/>
      </xdr:nvSpPr>
      <xdr:spPr>
        <a:xfrm rot="1074509">
          <a:off x="27335885" y="9209745"/>
          <a:ext cx="1189184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000">
              <a:solidFill>
                <a:sysClr val="windowText" lastClr="000000"/>
              </a:solidFill>
            </a:rPr>
            <a:t>좌권부 외경</a:t>
          </a:r>
          <a:r>
            <a:rPr lang="en-US" altLang="ko-KR" sz="1000">
              <a:solidFill>
                <a:sysClr val="windowText" lastClr="000000"/>
              </a:solidFill>
            </a:rPr>
            <a:t>(</a:t>
          </a:r>
          <a:r>
            <a:rPr lang="ko-KR" altLang="en-US" sz="1000">
              <a:solidFill>
                <a:sysClr val="windowText" lastClr="000000"/>
              </a:solidFill>
            </a:rPr>
            <a:t>상단</a:t>
          </a:r>
          <a:r>
            <a:rPr lang="en-US" altLang="ko-KR" sz="1000">
              <a:solidFill>
                <a:sysClr val="windowText" lastClr="000000"/>
              </a:solidFill>
            </a:rPr>
            <a:t>)</a:t>
          </a:r>
        </a:p>
        <a:p>
          <a:pPr algn="ctr"/>
          <a:r>
            <a:rPr lang="en-US" altLang="ko-KR" sz="1000">
              <a:solidFill>
                <a:sysClr val="windowText" lastClr="000000"/>
              </a:solidFill>
            </a:rPr>
            <a:t>0.5~1.0</a:t>
          </a:r>
          <a:r>
            <a:rPr lang="ko-KR" altLang="en-US" sz="1000">
              <a:solidFill>
                <a:sysClr val="windowText" lastClr="000000"/>
              </a:solidFill>
            </a:rPr>
            <a:t>권</a:t>
          </a:r>
        </a:p>
      </xdr:txBody>
    </xdr:sp>
    <xdr:clientData/>
  </xdr:twoCellAnchor>
  <xdr:twoCellAnchor>
    <xdr:from>
      <xdr:col>38</xdr:col>
      <xdr:colOff>523905</xdr:colOff>
      <xdr:row>55</xdr:row>
      <xdr:rowOff>12852</xdr:rowOff>
    </xdr:from>
    <xdr:to>
      <xdr:col>39</xdr:col>
      <xdr:colOff>333993</xdr:colOff>
      <xdr:row>55</xdr:row>
      <xdr:rowOff>12852</xdr:rowOff>
    </xdr:to>
    <xdr:cxnSp macro="">
      <xdr:nvCxnSpPr>
        <xdr:cNvPr id="14" name="직선 연결선 13"/>
        <xdr:cNvCxnSpPr/>
      </xdr:nvCxnSpPr>
      <xdr:spPr>
        <a:xfrm>
          <a:off x="27898755" y="11538102"/>
          <a:ext cx="495888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523905</xdr:colOff>
      <xdr:row>56</xdr:row>
      <xdr:rowOff>72326</xdr:rowOff>
    </xdr:from>
    <xdr:to>
      <xdr:col>39</xdr:col>
      <xdr:colOff>316226</xdr:colOff>
      <xdr:row>56</xdr:row>
      <xdr:rowOff>72326</xdr:rowOff>
    </xdr:to>
    <xdr:cxnSp macro="">
      <xdr:nvCxnSpPr>
        <xdr:cNvPr id="15" name="직선 연결선 14"/>
        <xdr:cNvCxnSpPr/>
      </xdr:nvCxnSpPr>
      <xdr:spPr>
        <a:xfrm>
          <a:off x="27898755" y="11807126"/>
          <a:ext cx="478121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54</xdr:row>
      <xdr:rowOff>77153</xdr:rowOff>
    </xdr:from>
    <xdr:to>
      <xdr:col>40</xdr:col>
      <xdr:colOff>136321</xdr:colOff>
      <xdr:row>54</xdr:row>
      <xdr:rowOff>77153</xdr:rowOff>
    </xdr:to>
    <xdr:cxnSp macro="">
      <xdr:nvCxnSpPr>
        <xdr:cNvPr id="16" name="직선 연결선 15"/>
        <xdr:cNvCxnSpPr/>
      </xdr:nvCxnSpPr>
      <xdr:spPr>
        <a:xfrm>
          <a:off x="28071831" y="11392853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11181</xdr:colOff>
      <xdr:row>56</xdr:row>
      <xdr:rowOff>136906</xdr:rowOff>
    </xdr:from>
    <xdr:to>
      <xdr:col>40</xdr:col>
      <xdr:colOff>136321</xdr:colOff>
      <xdr:row>56</xdr:row>
      <xdr:rowOff>136906</xdr:rowOff>
    </xdr:to>
    <xdr:cxnSp macro="">
      <xdr:nvCxnSpPr>
        <xdr:cNvPr id="17" name="직선 연결선 16"/>
        <xdr:cNvCxnSpPr/>
      </xdr:nvCxnSpPr>
      <xdr:spPr>
        <a:xfrm>
          <a:off x="28071831" y="1187170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77100</xdr:colOff>
      <xdr:row>54</xdr:row>
      <xdr:rowOff>82535</xdr:rowOff>
    </xdr:from>
    <xdr:to>
      <xdr:col>40</xdr:col>
      <xdr:colOff>77101</xdr:colOff>
      <xdr:row>56</xdr:row>
      <xdr:rowOff>147668</xdr:rowOff>
    </xdr:to>
    <xdr:cxnSp macro="">
      <xdr:nvCxnSpPr>
        <xdr:cNvPr id="18" name="직선 연결선 17"/>
        <xdr:cNvCxnSpPr/>
      </xdr:nvCxnSpPr>
      <xdr:spPr>
        <a:xfrm flipH="1">
          <a:off x="28823550" y="11398235"/>
          <a:ext cx="1" cy="4842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664398</xdr:colOff>
      <xdr:row>55</xdr:row>
      <xdr:rowOff>23615</xdr:rowOff>
    </xdr:from>
    <xdr:to>
      <xdr:col>38</xdr:col>
      <xdr:colOff>664398</xdr:colOff>
      <xdr:row>56</xdr:row>
      <xdr:rowOff>83090</xdr:rowOff>
    </xdr:to>
    <xdr:cxnSp macro="">
      <xdr:nvCxnSpPr>
        <xdr:cNvPr id="19" name="직선 연결선 18"/>
        <xdr:cNvCxnSpPr/>
      </xdr:nvCxnSpPr>
      <xdr:spPr>
        <a:xfrm>
          <a:off x="28039248" y="11548865"/>
          <a:ext cx="0" cy="269025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466339</xdr:colOff>
      <xdr:row>57</xdr:row>
      <xdr:rowOff>29963</xdr:rowOff>
    </xdr:from>
    <xdr:to>
      <xdr:col>40</xdr:col>
      <xdr:colOff>612630</xdr:colOff>
      <xdr:row>59</xdr:row>
      <xdr:rowOff>145540</xdr:rowOff>
    </xdr:to>
    <xdr:sp macro="" textlink="">
      <xdr:nvSpPr>
        <xdr:cNvPr id="20" name="TextBox 19"/>
        <xdr:cNvSpPr txBox="1"/>
      </xdr:nvSpPr>
      <xdr:spPr>
        <a:xfrm>
          <a:off x="28526989" y="11974313"/>
          <a:ext cx="832091" cy="5346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000"/>
            <a:t>상단 오픈갭</a:t>
          </a:r>
          <a:endParaRPr lang="en-US" altLang="ko-KR" sz="1000"/>
        </a:p>
        <a:p>
          <a:r>
            <a:rPr lang="en-US" altLang="ko-KR" sz="1000"/>
            <a:t>(</a:t>
          </a:r>
          <a:r>
            <a:rPr lang="ko-KR" altLang="en-US" sz="1000"/>
            <a:t>외측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37</xdr:col>
      <xdr:colOff>90165</xdr:colOff>
      <xdr:row>55</xdr:row>
      <xdr:rowOff>103263</xdr:rowOff>
    </xdr:from>
    <xdr:to>
      <xdr:col>38</xdr:col>
      <xdr:colOff>490551</xdr:colOff>
      <xdr:row>56</xdr:row>
      <xdr:rowOff>160741</xdr:rowOff>
    </xdr:to>
    <xdr:sp macro="" textlink="">
      <xdr:nvSpPr>
        <xdr:cNvPr id="21" name="TextBox 20"/>
        <xdr:cNvSpPr txBox="1"/>
      </xdr:nvSpPr>
      <xdr:spPr>
        <a:xfrm>
          <a:off x="26779215" y="11628513"/>
          <a:ext cx="1086186" cy="267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900">
              <a:solidFill>
                <a:schemeClr val="bg1"/>
              </a:solidFill>
            </a:rPr>
            <a:t>상단 오픈갭</a:t>
          </a:r>
          <a:r>
            <a:rPr lang="en-US" altLang="ko-KR" sz="900">
              <a:solidFill>
                <a:schemeClr val="bg1"/>
              </a:solidFill>
            </a:rPr>
            <a:t>(</a:t>
          </a:r>
          <a:r>
            <a:rPr lang="ko-KR" altLang="en-US" sz="900">
              <a:solidFill>
                <a:schemeClr val="bg1"/>
              </a:solidFill>
            </a:rPr>
            <a:t>내측</a:t>
          </a:r>
          <a:r>
            <a:rPr lang="en-US" altLang="ko-KR" sz="900">
              <a:solidFill>
                <a:schemeClr val="bg1"/>
              </a:solidFill>
            </a:rPr>
            <a:t>)</a:t>
          </a:r>
          <a:endParaRPr lang="ko-KR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35</xdr:col>
      <xdr:colOff>299431</xdr:colOff>
      <xdr:row>69</xdr:row>
      <xdr:rowOff>145449</xdr:rowOff>
    </xdr:from>
    <xdr:to>
      <xdr:col>36</xdr:col>
      <xdr:colOff>515668</xdr:colOff>
      <xdr:row>72</xdr:row>
      <xdr:rowOff>10672</xdr:rowOff>
    </xdr:to>
    <xdr:sp macro="" textlink="">
      <xdr:nvSpPr>
        <xdr:cNvPr id="22" name="TextBox 21"/>
        <xdr:cNvSpPr txBox="1"/>
      </xdr:nvSpPr>
      <xdr:spPr>
        <a:xfrm>
          <a:off x="25616881" y="14604399"/>
          <a:ext cx="902037" cy="4938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하단 </a:t>
          </a:r>
          <a:endParaRPr lang="en-US" altLang="ko-KR" sz="1000"/>
        </a:p>
        <a:p>
          <a:pPr algn="l"/>
          <a:r>
            <a:rPr lang="ko-KR" altLang="en-US" sz="1000"/>
            <a:t>오픈갭</a:t>
          </a:r>
          <a:r>
            <a:rPr lang="en-US" altLang="ko-KR" sz="1000"/>
            <a:t>(</a:t>
          </a:r>
          <a:r>
            <a:rPr lang="ko-KR" altLang="en-US" sz="1000"/>
            <a:t>내측</a:t>
          </a:r>
          <a:r>
            <a:rPr lang="en-US" altLang="ko-KR" sz="1000"/>
            <a:t>)</a:t>
          </a:r>
          <a:endParaRPr lang="ko-KR" altLang="en-US" sz="1000"/>
        </a:p>
      </xdr:txBody>
    </xdr:sp>
    <xdr:clientData/>
  </xdr:twoCellAnchor>
  <xdr:twoCellAnchor>
    <xdr:from>
      <xdr:col>34</xdr:col>
      <xdr:colOff>290363</xdr:colOff>
      <xdr:row>70</xdr:row>
      <xdr:rowOff>10556</xdr:rowOff>
    </xdr:from>
    <xdr:to>
      <xdr:col>35</xdr:col>
      <xdr:colOff>415503</xdr:colOff>
      <xdr:row>70</xdr:row>
      <xdr:rowOff>10556</xdr:rowOff>
    </xdr:to>
    <xdr:cxnSp macro="">
      <xdr:nvCxnSpPr>
        <xdr:cNvPr id="23" name="직선 연결선 22"/>
        <xdr:cNvCxnSpPr/>
      </xdr:nvCxnSpPr>
      <xdr:spPr>
        <a:xfrm>
          <a:off x="24922013" y="14679056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290363</xdr:colOff>
      <xdr:row>72</xdr:row>
      <xdr:rowOff>10035</xdr:rowOff>
    </xdr:from>
    <xdr:to>
      <xdr:col>35</xdr:col>
      <xdr:colOff>415503</xdr:colOff>
      <xdr:row>72</xdr:row>
      <xdr:rowOff>10035</xdr:rowOff>
    </xdr:to>
    <xdr:cxnSp macro="">
      <xdr:nvCxnSpPr>
        <xdr:cNvPr id="24" name="직선 연결선 23"/>
        <xdr:cNvCxnSpPr/>
      </xdr:nvCxnSpPr>
      <xdr:spPr>
        <a:xfrm>
          <a:off x="24922013" y="15097635"/>
          <a:ext cx="810940" cy="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223629</xdr:colOff>
      <xdr:row>70</xdr:row>
      <xdr:rowOff>3022</xdr:rowOff>
    </xdr:from>
    <xdr:to>
      <xdr:col>35</xdr:col>
      <xdr:colOff>223630</xdr:colOff>
      <xdr:row>72</xdr:row>
      <xdr:rowOff>20798</xdr:rowOff>
    </xdr:to>
    <xdr:cxnSp macro="">
      <xdr:nvCxnSpPr>
        <xdr:cNvPr id="25" name="직선 연결선 24"/>
        <xdr:cNvCxnSpPr/>
      </xdr:nvCxnSpPr>
      <xdr:spPr>
        <a:xfrm>
          <a:off x="25541079" y="14671522"/>
          <a:ext cx="1" cy="436876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160654</xdr:colOff>
      <xdr:row>52</xdr:row>
      <xdr:rowOff>129645</xdr:rowOff>
    </xdr:from>
    <xdr:to>
      <xdr:col>33</xdr:col>
      <xdr:colOff>160654</xdr:colOff>
      <xdr:row>76</xdr:row>
      <xdr:rowOff>31749</xdr:rowOff>
    </xdr:to>
    <xdr:cxnSp macro="">
      <xdr:nvCxnSpPr>
        <xdr:cNvPr id="26" name="직선 연결선 25"/>
        <xdr:cNvCxnSpPr/>
      </xdr:nvCxnSpPr>
      <xdr:spPr>
        <a:xfrm flipV="1">
          <a:off x="24106504" y="11026245"/>
          <a:ext cx="0" cy="493130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227523</xdr:colOff>
      <xdr:row>52</xdr:row>
      <xdr:rowOff>129645</xdr:rowOff>
    </xdr:from>
    <xdr:to>
      <xdr:col>35</xdr:col>
      <xdr:colOff>227523</xdr:colOff>
      <xdr:row>68</xdr:row>
      <xdr:rowOff>199280</xdr:rowOff>
    </xdr:to>
    <xdr:cxnSp macro="">
      <xdr:nvCxnSpPr>
        <xdr:cNvPr id="27" name="직선 연결선 26"/>
        <xdr:cNvCxnSpPr/>
      </xdr:nvCxnSpPr>
      <xdr:spPr>
        <a:xfrm flipV="1">
          <a:off x="25544973" y="11026245"/>
          <a:ext cx="0" cy="3422435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639459</xdr:colOff>
      <xdr:row>63</xdr:row>
      <xdr:rowOff>140766</xdr:rowOff>
    </xdr:from>
    <xdr:to>
      <xdr:col>32</xdr:col>
      <xdr:colOff>679649</xdr:colOff>
      <xdr:row>67</xdr:row>
      <xdr:rowOff>43756</xdr:rowOff>
    </xdr:to>
    <xdr:sp macro="" textlink="">
      <xdr:nvSpPr>
        <xdr:cNvPr id="28" name="TextBox 27"/>
        <xdr:cNvSpPr txBox="1"/>
      </xdr:nvSpPr>
      <xdr:spPr>
        <a:xfrm>
          <a:off x="23213709" y="13342416"/>
          <a:ext cx="725990" cy="7411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/>
            <a:t>중심부</a:t>
          </a:r>
          <a:endParaRPr lang="en-US" altLang="ko-KR" sz="1000"/>
        </a:p>
        <a:p>
          <a:pPr algn="l"/>
          <a:r>
            <a:rPr lang="ko-KR" altLang="en-US" sz="1000"/>
            <a:t>최대 외경</a:t>
          </a:r>
        </a:p>
      </xdr:txBody>
    </xdr:sp>
    <xdr:clientData/>
  </xdr:twoCellAnchor>
  <xdr:twoCellAnchor>
    <xdr:from>
      <xdr:col>33</xdr:col>
      <xdr:colOff>168775</xdr:colOff>
      <xdr:row>66</xdr:row>
      <xdr:rowOff>65192</xdr:rowOff>
    </xdr:from>
    <xdr:to>
      <xdr:col>35</xdr:col>
      <xdr:colOff>181498</xdr:colOff>
      <xdr:row>66</xdr:row>
      <xdr:rowOff>65192</xdr:rowOff>
    </xdr:to>
    <xdr:cxnSp macro="">
      <xdr:nvCxnSpPr>
        <xdr:cNvPr id="29" name="직선 연결선 28"/>
        <xdr:cNvCxnSpPr/>
      </xdr:nvCxnSpPr>
      <xdr:spPr>
        <a:xfrm>
          <a:off x="24114625" y="13895492"/>
          <a:ext cx="1384323" cy="0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176387</xdr:colOff>
      <xdr:row>74</xdr:row>
      <xdr:rowOff>94754</xdr:rowOff>
    </xdr:from>
    <xdr:to>
      <xdr:col>40</xdr:col>
      <xdr:colOff>22802</xdr:colOff>
      <xdr:row>76</xdr:row>
      <xdr:rowOff>166352</xdr:rowOff>
    </xdr:to>
    <xdr:sp macro="" textlink="">
      <xdr:nvSpPr>
        <xdr:cNvPr id="30" name="TextBox 29"/>
        <xdr:cNvSpPr txBox="1"/>
      </xdr:nvSpPr>
      <xdr:spPr>
        <a:xfrm>
          <a:off x="27551237" y="15601454"/>
          <a:ext cx="1218015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r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r"/>
          <a:r>
            <a:rPr lang="en-US" altLang="ko-KR" sz="1000">
              <a:solidFill>
                <a:schemeClr val="bg1"/>
              </a:solidFill>
            </a:rPr>
            <a:t>0~0.5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38</xdr:col>
      <xdr:colOff>505146</xdr:colOff>
      <xdr:row>75</xdr:row>
      <xdr:rowOff>188503</xdr:rowOff>
    </xdr:from>
    <xdr:to>
      <xdr:col>38</xdr:col>
      <xdr:colOff>640506</xdr:colOff>
      <xdr:row>77</xdr:row>
      <xdr:rowOff>102952</xdr:rowOff>
    </xdr:to>
    <xdr:cxnSp macro="">
      <xdr:nvCxnSpPr>
        <xdr:cNvPr id="31" name="직선 연결선 30"/>
        <xdr:cNvCxnSpPr/>
      </xdr:nvCxnSpPr>
      <xdr:spPr>
        <a:xfrm flipH="1" flipV="1">
          <a:off x="27879996" y="15904753"/>
          <a:ext cx="135360" cy="333549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478075</xdr:colOff>
      <xdr:row>76</xdr:row>
      <xdr:rowOff>19031</xdr:rowOff>
    </xdr:from>
    <xdr:to>
      <xdr:col>38</xdr:col>
      <xdr:colOff>613434</xdr:colOff>
      <xdr:row>79</xdr:row>
      <xdr:rowOff>201914</xdr:rowOff>
    </xdr:to>
    <xdr:cxnSp macro="">
      <xdr:nvCxnSpPr>
        <xdr:cNvPr id="32" name="직선 연결선 31"/>
        <xdr:cNvCxnSpPr/>
      </xdr:nvCxnSpPr>
      <xdr:spPr>
        <a:xfrm flipH="1" flipV="1">
          <a:off x="27852925" y="15944831"/>
          <a:ext cx="135359" cy="811533"/>
        </a:xfrm>
        <a:prstGeom prst="line">
          <a:avLst/>
        </a:prstGeom>
        <a:ln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63090</xdr:colOff>
      <xdr:row>77</xdr:row>
      <xdr:rowOff>11941</xdr:rowOff>
    </xdr:from>
    <xdr:to>
      <xdr:col>38</xdr:col>
      <xdr:colOff>592130</xdr:colOff>
      <xdr:row>79</xdr:row>
      <xdr:rowOff>83539</xdr:rowOff>
    </xdr:to>
    <xdr:sp macro="" textlink="">
      <xdr:nvSpPr>
        <xdr:cNvPr id="33" name="TextBox 32"/>
        <xdr:cNvSpPr txBox="1"/>
      </xdr:nvSpPr>
      <xdr:spPr>
        <a:xfrm>
          <a:off x="26752140" y="16147291"/>
          <a:ext cx="1214840" cy="4906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ko-KR" altLang="en-US" sz="1000">
              <a:solidFill>
                <a:schemeClr val="bg1"/>
              </a:solidFill>
            </a:rPr>
            <a:t>좌권부 내경</a:t>
          </a:r>
          <a:r>
            <a:rPr lang="en-US" altLang="ko-KR" sz="1000">
              <a:solidFill>
                <a:schemeClr val="bg1"/>
              </a:solidFill>
            </a:rPr>
            <a:t>(</a:t>
          </a:r>
          <a:r>
            <a:rPr lang="ko-KR" altLang="en-US" sz="1000">
              <a:solidFill>
                <a:schemeClr val="bg1"/>
              </a:solidFill>
            </a:rPr>
            <a:t>하단</a:t>
          </a:r>
          <a:r>
            <a:rPr lang="en-US" altLang="ko-KR" sz="1000">
              <a:solidFill>
                <a:schemeClr val="bg1"/>
              </a:solidFill>
            </a:rPr>
            <a:t>) </a:t>
          </a:r>
        </a:p>
        <a:p>
          <a:pPr algn="l"/>
          <a:r>
            <a:rPr lang="en-US" altLang="ko-KR" sz="1000">
              <a:solidFill>
                <a:schemeClr val="bg1"/>
              </a:solidFill>
            </a:rPr>
            <a:t>0.5~1.0</a:t>
          </a:r>
          <a:r>
            <a:rPr lang="ko-KR" altLang="en-US" sz="1000">
              <a:solidFill>
                <a:schemeClr val="bg1"/>
              </a:solidFill>
            </a:rPr>
            <a:t>권</a:t>
          </a:r>
        </a:p>
      </xdr:txBody>
    </xdr:sp>
    <xdr:clientData/>
  </xdr:twoCellAnchor>
  <xdr:twoCellAnchor>
    <xdr:from>
      <xdr:col>30</xdr:col>
      <xdr:colOff>0</xdr:colOff>
      <xdr:row>1</xdr:row>
      <xdr:rowOff>0</xdr:rowOff>
    </xdr:from>
    <xdr:to>
      <xdr:col>36</xdr:col>
      <xdr:colOff>457200</xdr:colOff>
      <xdr:row>14</xdr:row>
      <xdr:rowOff>19050</xdr:rowOff>
    </xdr:to>
    <xdr:graphicFrame macro="">
      <xdr:nvGraphicFramePr>
        <xdr:cNvPr id="34" name="차트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</xdr:row>
      <xdr:rowOff>0</xdr:rowOff>
    </xdr:from>
    <xdr:to>
      <xdr:col>44</xdr:col>
      <xdr:colOff>457200</xdr:colOff>
      <xdr:row>14</xdr:row>
      <xdr:rowOff>19050</xdr:rowOff>
    </xdr:to>
    <xdr:graphicFrame macro="">
      <xdr:nvGraphicFramePr>
        <xdr:cNvPr id="35" name="차트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0</xdr:colOff>
      <xdr:row>15</xdr:row>
      <xdr:rowOff>0</xdr:rowOff>
    </xdr:from>
    <xdr:to>
      <xdr:col>44</xdr:col>
      <xdr:colOff>457200</xdr:colOff>
      <xdr:row>28</xdr:row>
      <xdr:rowOff>19050</xdr:rowOff>
    </xdr:to>
    <xdr:graphicFrame macro="">
      <xdr:nvGraphicFramePr>
        <xdr:cNvPr id="36" name="차트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36</xdr:col>
      <xdr:colOff>457200</xdr:colOff>
      <xdr:row>41</xdr:row>
      <xdr:rowOff>19049</xdr:rowOff>
    </xdr:to>
    <xdr:graphicFrame macro="">
      <xdr:nvGraphicFramePr>
        <xdr:cNvPr id="37" name="차트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14</xdr:row>
      <xdr:rowOff>127000</xdr:rowOff>
    </xdr:from>
    <xdr:to>
      <xdr:col>36</xdr:col>
      <xdr:colOff>457200</xdr:colOff>
      <xdr:row>27</xdr:row>
      <xdr:rowOff>146050</xdr:rowOff>
    </xdr:to>
    <xdr:graphicFrame macro="">
      <xdr:nvGraphicFramePr>
        <xdr:cNvPr id="38" name="차트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45" zoomScaleNormal="145" workbookViewId="0">
      <selection activeCell="B8" sqref="B8"/>
    </sheetView>
  </sheetViews>
  <sheetFormatPr defaultRowHeight="16.5" x14ac:dyDescent="0.3"/>
  <sheetData>
    <row r="1" spans="1:3" x14ac:dyDescent="0.3">
      <c r="A1" t="s">
        <v>46</v>
      </c>
    </row>
    <row r="2" spans="1:3" x14ac:dyDescent="0.3">
      <c r="A2" t="s">
        <v>44</v>
      </c>
      <c r="C2" t="s">
        <v>45</v>
      </c>
    </row>
    <row r="3" spans="1:3" x14ac:dyDescent="0.3">
      <c r="A3">
        <v>10</v>
      </c>
      <c r="C3">
        <v>960</v>
      </c>
    </row>
    <row r="4" spans="1:3" x14ac:dyDescent="0.3">
      <c r="A4">
        <v>25</v>
      </c>
      <c r="C4">
        <v>975</v>
      </c>
    </row>
    <row r="5" spans="1:3" x14ac:dyDescent="0.3">
      <c r="A5">
        <v>50</v>
      </c>
      <c r="C5">
        <v>990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D1001"/>
  <sheetViews>
    <sheetView tabSelected="1" zoomScale="85" zoomScaleNormal="85" workbookViewId="0">
      <pane ySplit="1" topLeftCell="A2" activePane="bottomLeft" state="frozen"/>
      <selection pane="bottomLeft" activeCell="Q6" sqref="Q6"/>
    </sheetView>
  </sheetViews>
  <sheetFormatPr defaultRowHeight="16.5" x14ac:dyDescent="0.3"/>
  <cols>
    <col min="12" max="12" width="9.25" bestFit="1" customWidth="1"/>
    <col min="13" max="13" width="9" customWidth="1"/>
    <col min="17" max="17" width="24.25" bestFit="1" customWidth="1"/>
    <col min="18" max="18" width="9.125" customWidth="1"/>
    <col min="19" max="19" width="19.5" bestFit="1" customWidth="1"/>
    <col min="20" max="20" width="10.875" customWidth="1"/>
    <col min="21" max="21" width="9.375" style="3" bestFit="1" customWidth="1"/>
    <col min="23" max="23" width="10" style="8" bestFit="1" customWidth="1"/>
    <col min="24" max="24" width="10" customWidth="1"/>
    <col min="25" max="25" width="10" style="17" customWidth="1"/>
    <col min="26" max="26" width="10" style="6" bestFit="1" customWidth="1"/>
    <col min="27" max="27" width="17.5" bestFit="1" customWidth="1"/>
    <col min="28" max="28" width="10" bestFit="1" customWidth="1"/>
    <col min="29" max="29" width="11.375" bestFit="1" customWidth="1"/>
  </cols>
  <sheetData>
    <row r="1" spans="1:30" ht="18" x14ac:dyDescent="0.3">
      <c r="A1" s="22" t="s">
        <v>0</v>
      </c>
      <c r="B1" s="22" t="s">
        <v>47</v>
      </c>
      <c r="C1" s="23" t="s">
        <v>48</v>
      </c>
      <c r="D1" s="23" t="s">
        <v>49</v>
      </c>
      <c r="E1" s="22" t="s">
        <v>10</v>
      </c>
      <c r="F1" s="22" t="s">
        <v>11</v>
      </c>
      <c r="G1" s="22" t="s">
        <v>12</v>
      </c>
      <c r="H1" s="22" t="s">
        <v>1</v>
      </c>
      <c r="I1" s="23" t="s">
        <v>2</v>
      </c>
      <c r="J1" s="23" t="s">
        <v>3</v>
      </c>
      <c r="K1" s="2"/>
      <c r="L1" s="4"/>
      <c r="M1" s="4"/>
      <c r="N1" s="2" t="s">
        <v>4</v>
      </c>
      <c r="O1" s="2" t="s">
        <v>7</v>
      </c>
      <c r="P1" s="4"/>
      <c r="Q1" s="2" t="s">
        <v>9</v>
      </c>
      <c r="R1" s="4"/>
      <c r="S1" s="2" t="s">
        <v>8</v>
      </c>
      <c r="T1" s="4"/>
      <c r="U1" s="3" t="s">
        <v>6</v>
      </c>
      <c r="V1" s="5"/>
      <c r="W1" s="8" t="s">
        <v>5</v>
      </c>
      <c r="X1" s="5" t="s">
        <v>26</v>
      </c>
      <c r="AD1" s="24" t="str">
        <f ca="1">MID(CELL("filename",A1),FIND("]",CELL("filename",A1))+1,255)</f>
        <v>zero-1</v>
      </c>
    </row>
    <row r="2" spans="1:30" x14ac:dyDescent="0.3">
      <c r="A2">
        <v>1</v>
      </c>
      <c r="E2">
        <v>-508.25115966800001</v>
      </c>
      <c r="F2">
        <v>135.001495361</v>
      </c>
      <c r="G2">
        <v>397.09863281299999</v>
      </c>
      <c r="H2">
        <v>45.753553864170001</v>
      </c>
      <c r="I2">
        <v>0</v>
      </c>
      <c r="J2">
        <v>-4.0426275746989999</v>
      </c>
      <c r="K2" s="1"/>
      <c r="L2" s="1">
        <v>0</v>
      </c>
      <c r="M2">
        <f>IF(L2&gt;0,M1+L2,M1+L1)</f>
        <v>0</v>
      </c>
      <c r="N2">
        <f>M2/360</f>
        <v>0</v>
      </c>
      <c r="O2">
        <f>H2</f>
        <v>45.753553864170001</v>
      </c>
      <c r="P2">
        <f>IFERROR(MATCH(N2-0.5,N:N,1),0)</f>
        <v>0</v>
      </c>
      <c r="Q2">
        <f>IF(V2=0,0,U2+INDEX(O:O,P2))</f>
        <v>0</v>
      </c>
      <c r="R2">
        <f>IF(Q2=0,MAX(Q:Q),Q2)</f>
        <v>102.64164637614101</v>
      </c>
      <c r="S2">
        <f t="shared" ref="S2:S65" si="0">IF(P2=0,0,SQRT((E2-INDEX(E:E,P2))^2+(F2-INDEX(F:F,P2))^2+(G2-INDEX(G:G,P2))^2))</f>
        <v>0</v>
      </c>
      <c r="T2">
        <f>IF(S2=0,MAX(S:S),S2)</f>
        <v>105.86700886950219</v>
      </c>
      <c r="U2" s="3">
        <f>J2</f>
        <v>-4.0426275746989999</v>
      </c>
      <c r="V2">
        <f>IFERROR(MATCH(N2-1,N:N,1),0)</f>
        <v>0</v>
      </c>
      <c r="W2" s="8">
        <f t="shared" ref="W2:W65" si="1">IF(V2=0,0,U2-INDEX(U:U,V2))</f>
        <v>0</v>
      </c>
      <c r="X2" s="1">
        <f>IF(W2=0,MAX(W:W),W2)</f>
        <v>50.912154624450011</v>
      </c>
      <c r="Y2" s="18"/>
      <c r="Z2" s="16" t="s">
        <v>27</v>
      </c>
      <c r="AA2" s="1"/>
      <c r="AB2" s="1"/>
      <c r="AC2" s="1"/>
    </row>
    <row r="3" spans="1:30" x14ac:dyDescent="0.3">
      <c r="A3">
        <v>2</v>
      </c>
      <c r="E3">
        <v>-507.83455732210001</v>
      </c>
      <c r="F3">
        <v>135.40516030809999</v>
      </c>
      <c r="G3">
        <v>400.18700438194003</v>
      </c>
      <c r="H3">
        <v>45.838905249287002</v>
      </c>
      <c r="I3">
        <v>3.9240345872243001</v>
      </c>
      <c r="J3">
        <v>-3.8589938622609998</v>
      </c>
      <c r="L3" s="1">
        <f>I3-I2</f>
        <v>3.9240345872243001</v>
      </c>
      <c r="M3">
        <f>IF(L3&gt;0,M2+L3,M2+L2)</f>
        <v>3.9240345872243001</v>
      </c>
      <c r="N3">
        <f t="shared" ref="N3:N66" si="2">M3/360</f>
        <v>1.0900096075623056E-2</v>
      </c>
      <c r="O3">
        <f t="shared" ref="O3:O66" si="3">H3</f>
        <v>45.838905249287002</v>
      </c>
      <c r="P3">
        <f t="shared" ref="P3:P66" si="4">IFERROR(MATCH(N3-0.5,N:N,1),0)</f>
        <v>0</v>
      </c>
      <c r="Q3">
        <f>IF(V3=0,0,U3+INDEX(O:O,P3))</f>
        <v>0</v>
      </c>
      <c r="R3">
        <f t="shared" ref="R3:R66" si="5">IF(Q3=0,MAX(Q:Q),Q3)</f>
        <v>102.64164637614101</v>
      </c>
      <c r="S3">
        <f t="shared" si="0"/>
        <v>0</v>
      </c>
      <c r="T3">
        <f t="shared" ref="T3:T66" si="6">IF(S3=0,MAX(S:S),S3)</f>
        <v>105.86700886950219</v>
      </c>
      <c r="U3" s="3">
        <f>J3</f>
        <v>-3.8589938622609998</v>
      </c>
      <c r="V3">
        <f t="shared" ref="V3:V66" si="7">IFERROR(MATCH(N3-1,N:N,1),0)</f>
        <v>0</v>
      </c>
      <c r="W3" s="8">
        <f t="shared" si="1"/>
        <v>0</v>
      </c>
      <c r="X3" s="1">
        <f t="shared" ref="X3:X66" si="8">IF(W3=0,MAX(W:W),W3)</f>
        <v>50.912154624450011</v>
      </c>
      <c r="Y3" s="18"/>
      <c r="Z3" s="9" t="s">
        <v>15</v>
      </c>
      <c r="AA3" s="9" t="s">
        <v>13</v>
      </c>
      <c r="AB3" s="9" t="s">
        <v>42</v>
      </c>
      <c r="AC3" s="11" t="s">
        <v>25</v>
      </c>
    </row>
    <row r="4" spans="1:30" x14ac:dyDescent="0.3">
      <c r="A4">
        <v>3</v>
      </c>
      <c r="E4">
        <v>-507.41046923179999</v>
      </c>
      <c r="F4">
        <v>135.46604865045001</v>
      </c>
      <c r="G4">
        <v>403.3003427068</v>
      </c>
      <c r="H4">
        <v>45.795242138859997</v>
      </c>
      <c r="I4">
        <v>7.8483319024537996</v>
      </c>
      <c r="J4">
        <v>-3.6837392324980001</v>
      </c>
      <c r="L4" s="1">
        <f t="shared" ref="L4:L67" si="9">I4-I3</f>
        <v>3.9242973152294995</v>
      </c>
      <c r="M4">
        <f t="shared" ref="M4:M67" si="10">IF(L4&gt;0,M3+L4,M3+L3)</f>
        <v>7.8483319024537996</v>
      </c>
      <c r="N4">
        <f t="shared" si="2"/>
        <v>2.1800921951260554E-2</v>
      </c>
      <c r="O4">
        <f t="shared" si="3"/>
        <v>45.795242138859997</v>
      </c>
      <c r="P4">
        <f t="shared" si="4"/>
        <v>0</v>
      </c>
      <c r="Q4">
        <f>IF(V4=0,0,U4+INDEX(O:O,P4))</f>
        <v>0</v>
      </c>
      <c r="R4">
        <f t="shared" si="5"/>
        <v>102.64164637614101</v>
      </c>
      <c r="S4">
        <f t="shared" si="0"/>
        <v>0</v>
      </c>
      <c r="T4">
        <f t="shared" si="6"/>
        <v>105.86700886950219</v>
      </c>
      <c r="U4" s="3">
        <f t="shared" ref="U4:U66" si="11">J4</f>
        <v>-3.6837392324980001</v>
      </c>
      <c r="V4">
        <f t="shared" si="7"/>
        <v>0</v>
      </c>
      <c r="W4" s="8">
        <f t="shared" si="1"/>
        <v>0</v>
      </c>
      <c r="X4" s="1">
        <f t="shared" si="8"/>
        <v>50.912154624450011</v>
      </c>
      <c r="Y4" s="18"/>
      <c r="Z4" s="12">
        <v>1</v>
      </c>
      <c r="AA4" s="10" t="s">
        <v>14</v>
      </c>
      <c r="AB4" s="13">
        <f>MAX(N:N)</f>
        <v>10.031798306416942</v>
      </c>
      <c r="AC4" s="11" t="s">
        <v>30</v>
      </c>
    </row>
    <row r="5" spans="1:30" x14ac:dyDescent="0.3">
      <c r="A5">
        <v>4</v>
      </c>
      <c r="E5">
        <v>-506.8855612575</v>
      </c>
      <c r="F5">
        <v>135.45634491800999</v>
      </c>
      <c r="G5">
        <v>406.39864176534002</v>
      </c>
      <c r="H5">
        <v>45.891292204053002</v>
      </c>
      <c r="I5">
        <v>11.759801436176</v>
      </c>
      <c r="J5">
        <v>-3.409714804729</v>
      </c>
      <c r="L5" s="1">
        <f t="shared" si="9"/>
        <v>3.9114695337222001</v>
      </c>
      <c r="M5">
        <f t="shared" si="10"/>
        <v>11.759801436176</v>
      </c>
      <c r="N5">
        <f t="shared" si="2"/>
        <v>3.2666115100488891E-2</v>
      </c>
      <c r="O5">
        <f t="shared" si="3"/>
        <v>45.891292204053002</v>
      </c>
      <c r="P5">
        <f t="shared" si="4"/>
        <v>0</v>
      </c>
      <c r="Q5">
        <f t="shared" ref="Q5:Q68" si="12">IF(P5=0,0,O5+INDEX(O:O,P5))</f>
        <v>0</v>
      </c>
      <c r="R5">
        <f t="shared" si="5"/>
        <v>102.64164637614101</v>
      </c>
      <c r="S5">
        <f t="shared" si="0"/>
        <v>0</v>
      </c>
      <c r="T5">
        <f t="shared" si="6"/>
        <v>105.86700886950219</v>
      </c>
      <c r="U5" s="3">
        <f t="shared" si="11"/>
        <v>-3.409714804729</v>
      </c>
      <c r="V5">
        <f t="shared" si="7"/>
        <v>0</v>
      </c>
      <c r="W5" s="8">
        <f t="shared" si="1"/>
        <v>0</v>
      </c>
      <c r="X5" s="1">
        <f t="shared" si="8"/>
        <v>50.912154624450011</v>
      </c>
      <c r="Y5" s="18"/>
      <c r="Z5" s="12">
        <v>2</v>
      </c>
      <c r="AA5" s="14" t="s">
        <v>16</v>
      </c>
      <c r="AB5" s="13">
        <f>MAX(U:U)</f>
        <v>445.26800962999999</v>
      </c>
      <c r="AC5" s="15">
        <f>INDEX(N:N,MATCH(AB5,U:U,0))</f>
        <v>10.031798306416942</v>
      </c>
    </row>
    <row r="6" spans="1:30" x14ac:dyDescent="0.3">
      <c r="A6">
        <v>5</v>
      </c>
      <c r="E6">
        <v>-506.41062487950001</v>
      </c>
      <c r="F6">
        <v>135.20302099546001</v>
      </c>
      <c r="G6">
        <v>409.49483003854999</v>
      </c>
      <c r="H6">
        <v>45.959827281789998</v>
      </c>
      <c r="I6">
        <v>15.671155598698</v>
      </c>
      <c r="J6">
        <v>-3.195122687489</v>
      </c>
      <c r="L6" s="1">
        <f t="shared" si="9"/>
        <v>3.9113541625220005</v>
      </c>
      <c r="M6">
        <f t="shared" si="10"/>
        <v>15.671155598698</v>
      </c>
      <c r="N6">
        <f t="shared" si="2"/>
        <v>4.353098777416111E-2</v>
      </c>
      <c r="O6">
        <f t="shared" si="3"/>
        <v>45.959827281789998</v>
      </c>
      <c r="P6">
        <f t="shared" si="4"/>
        <v>0</v>
      </c>
      <c r="Q6">
        <f t="shared" si="12"/>
        <v>0</v>
      </c>
      <c r="R6">
        <f t="shared" si="5"/>
        <v>102.64164637614101</v>
      </c>
      <c r="S6">
        <f t="shared" si="0"/>
        <v>0</v>
      </c>
      <c r="T6">
        <f t="shared" si="6"/>
        <v>105.86700886950219</v>
      </c>
      <c r="U6" s="3">
        <f t="shared" si="11"/>
        <v>-3.195122687489</v>
      </c>
      <c r="V6">
        <f t="shared" si="7"/>
        <v>0</v>
      </c>
      <c r="W6" s="8">
        <f t="shared" si="1"/>
        <v>0</v>
      </c>
      <c r="X6" s="1">
        <f t="shared" si="8"/>
        <v>50.912154624450011</v>
      </c>
      <c r="Y6" s="18"/>
      <c r="Z6" s="12">
        <v>3</v>
      </c>
      <c r="AA6" s="19" t="s">
        <v>37</v>
      </c>
      <c r="AB6" s="20">
        <f>INDEX(U:U,MATCH(AC6,N:N))</f>
        <v>445.26800962999999</v>
      </c>
      <c r="AC6" s="15">
        <f>AB4</f>
        <v>10.031798306416942</v>
      </c>
    </row>
    <row r="7" spans="1:30" x14ac:dyDescent="0.3">
      <c r="A7">
        <v>6</v>
      </c>
      <c r="E7">
        <v>-505.92790979720002</v>
      </c>
      <c r="F7">
        <v>134.74790307409</v>
      </c>
      <c r="G7">
        <v>412.56656957478998</v>
      </c>
      <c r="H7">
        <v>46.038755851734003</v>
      </c>
      <c r="I7">
        <v>19.575722162546999</v>
      </c>
      <c r="J7">
        <v>-2.978966980974</v>
      </c>
      <c r="L7" s="1">
        <f t="shared" si="9"/>
        <v>3.9045665638489986</v>
      </c>
      <c r="M7">
        <f t="shared" si="10"/>
        <v>19.575722162546999</v>
      </c>
      <c r="N7">
        <f t="shared" si="2"/>
        <v>5.4377006007074999E-2</v>
      </c>
      <c r="O7">
        <f t="shared" si="3"/>
        <v>46.038755851734003</v>
      </c>
      <c r="P7">
        <f t="shared" si="4"/>
        <v>0</v>
      </c>
      <c r="Q7">
        <f t="shared" si="12"/>
        <v>0</v>
      </c>
      <c r="R7">
        <f t="shared" si="5"/>
        <v>102.64164637614101</v>
      </c>
      <c r="S7">
        <f t="shared" si="0"/>
        <v>0</v>
      </c>
      <c r="T7">
        <f t="shared" si="6"/>
        <v>105.86700886950219</v>
      </c>
      <c r="U7" s="3">
        <f t="shared" si="11"/>
        <v>-2.978966980974</v>
      </c>
      <c r="V7">
        <f t="shared" si="7"/>
        <v>0</v>
      </c>
      <c r="W7" s="8">
        <f t="shared" si="1"/>
        <v>0</v>
      </c>
      <c r="X7" s="1">
        <f t="shared" si="8"/>
        <v>50.912154624450011</v>
      </c>
      <c r="Y7" s="18"/>
      <c r="Z7" s="12">
        <v>4</v>
      </c>
      <c r="AA7" s="14" t="s">
        <v>17</v>
      </c>
      <c r="AB7" s="13">
        <f>MAX(W:W)</f>
        <v>50.912154624450011</v>
      </c>
      <c r="AC7" s="15">
        <f>INDEX(N:N,MATCH(AB7,W:W,0))</f>
        <v>7.5309949046081357</v>
      </c>
    </row>
    <row r="8" spans="1:30" x14ac:dyDescent="0.3">
      <c r="A8">
        <v>7</v>
      </c>
      <c r="E8">
        <v>-505.3999445023</v>
      </c>
      <c r="F8">
        <v>134.08432270502999</v>
      </c>
      <c r="G8">
        <v>415.59270711688998</v>
      </c>
      <c r="H8">
        <v>46.116482007534003</v>
      </c>
      <c r="I8">
        <v>23.470074589869</v>
      </c>
      <c r="J8">
        <v>-2.7225007711579998</v>
      </c>
      <c r="L8" s="1">
        <f t="shared" si="9"/>
        <v>3.8943524273220014</v>
      </c>
      <c r="M8">
        <f t="shared" si="10"/>
        <v>23.470074589869</v>
      </c>
      <c r="N8">
        <f t="shared" si="2"/>
        <v>6.5194651638525003E-2</v>
      </c>
      <c r="O8">
        <f t="shared" si="3"/>
        <v>46.116482007534003</v>
      </c>
      <c r="P8">
        <f t="shared" si="4"/>
        <v>0</v>
      </c>
      <c r="Q8">
        <f t="shared" si="12"/>
        <v>0</v>
      </c>
      <c r="R8">
        <f t="shared" si="5"/>
        <v>102.64164637614101</v>
      </c>
      <c r="S8">
        <f t="shared" si="0"/>
        <v>0</v>
      </c>
      <c r="T8">
        <f t="shared" si="6"/>
        <v>105.86700886950219</v>
      </c>
      <c r="U8" s="3">
        <f t="shared" si="11"/>
        <v>-2.7225007711579998</v>
      </c>
      <c r="V8">
        <f t="shared" si="7"/>
        <v>0</v>
      </c>
      <c r="W8" s="8">
        <f t="shared" si="1"/>
        <v>0</v>
      </c>
      <c r="X8" s="1">
        <f t="shared" si="8"/>
        <v>50.912154624450011</v>
      </c>
      <c r="Y8" s="18"/>
      <c r="Z8" s="12">
        <v>5</v>
      </c>
      <c r="AA8" s="14" t="s">
        <v>21</v>
      </c>
      <c r="AB8" s="13">
        <f>MIN(X:X)</f>
        <v>21.066996450830004</v>
      </c>
      <c r="AC8" s="15">
        <f>INDEX(N:N,MATCH(AB8,X:X,0))</f>
        <v>10.031798306416942</v>
      </c>
    </row>
    <row r="9" spans="1:30" x14ac:dyDescent="0.3">
      <c r="A9">
        <v>8</v>
      </c>
      <c r="E9">
        <v>-504.9917152607</v>
      </c>
      <c r="F9">
        <v>133.22009925366001</v>
      </c>
      <c r="G9">
        <v>418.58645843114999</v>
      </c>
      <c r="H9">
        <v>46.207536226865997</v>
      </c>
      <c r="I9">
        <v>27.366350172021999</v>
      </c>
      <c r="J9">
        <v>-2.5907883757639998</v>
      </c>
      <c r="L9" s="1">
        <f t="shared" si="9"/>
        <v>3.8962755821529989</v>
      </c>
      <c r="M9">
        <f t="shared" si="10"/>
        <v>27.366350172021999</v>
      </c>
      <c r="N9">
        <f t="shared" si="2"/>
        <v>7.6017639366727771E-2</v>
      </c>
      <c r="O9">
        <f t="shared" si="3"/>
        <v>46.207536226865997</v>
      </c>
      <c r="P9">
        <f t="shared" si="4"/>
        <v>0</v>
      </c>
      <c r="Q9">
        <f t="shared" si="12"/>
        <v>0</v>
      </c>
      <c r="R9">
        <f t="shared" si="5"/>
        <v>102.64164637614101</v>
      </c>
      <c r="S9">
        <f t="shared" si="0"/>
        <v>0</v>
      </c>
      <c r="T9">
        <f t="shared" si="6"/>
        <v>105.86700886950219</v>
      </c>
      <c r="U9" s="3">
        <f t="shared" si="11"/>
        <v>-2.5907883757639998</v>
      </c>
      <c r="V9">
        <f t="shared" si="7"/>
        <v>0</v>
      </c>
      <c r="W9" s="8">
        <f t="shared" si="1"/>
        <v>0</v>
      </c>
      <c r="X9" s="1">
        <f t="shared" si="8"/>
        <v>50.912154624450011</v>
      </c>
      <c r="Y9" s="18"/>
      <c r="Z9" s="12">
        <v>6</v>
      </c>
      <c r="AA9" s="14" t="s">
        <v>18</v>
      </c>
      <c r="AB9" s="13">
        <f>MAX(Q:Q)</f>
        <v>102.64164637614101</v>
      </c>
      <c r="AC9" s="15">
        <f>INDEX(N:N,MATCH(AB9,Q:Q,0))</f>
        <v>2.6468155800391946</v>
      </c>
    </row>
    <row r="10" spans="1:30" x14ac:dyDescent="0.3">
      <c r="A10">
        <v>9</v>
      </c>
      <c r="E10">
        <v>-504.55673556710002</v>
      </c>
      <c r="F10">
        <v>132.19443667235001</v>
      </c>
      <c r="G10">
        <v>421.52493544479</v>
      </c>
      <c r="H10">
        <v>46.340690266701003</v>
      </c>
      <c r="I10">
        <v>31.249877083561</v>
      </c>
      <c r="J10">
        <v>-2.4345175202339999</v>
      </c>
      <c r="L10" s="1">
        <f t="shared" si="9"/>
        <v>3.8835269115390005</v>
      </c>
      <c r="M10">
        <f t="shared" si="10"/>
        <v>31.249877083561</v>
      </c>
      <c r="N10">
        <f t="shared" si="2"/>
        <v>8.6805214121002783E-2</v>
      </c>
      <c r="O10">
        <f t="shared" si="3"/>
        <v>46.340690266701003</v>
      </c>
      <c r="P10">
        <f t="shared" si="4"/>
        <v>0</v>
      </c>
      <c r="Q10">
        <f t="shared" si="12"/>
        <v>0</v>
      </c>
      <c r="R10">
        <f t="shared" si="5"/>
        <v>102.64164637614101</v>
      </c>
      <c r="S10">
        <f t="shared" si="0"/>
        <v>0</v>
      </c>
      <c r="T10">
        <f t="shared" si="6"/>
        <v>105.86700886950219</v>
      </c>
      <c r="U10" s="3">
        <f t="shared" si="11"/>
        <v>-2.4345175202339999</v>
      </c>
      <c r="V10">
        <f t="shared" si="7"/>
        <v>0</v>
      </c>
      <c r="W10" s="8">
        <f t="shared" si="1"/>
        <v>0</v>
      </c>
      <c r="X10" s="1">
        <f t="shared" si="8"/>
        <v>50.912154624450011</v>
      </c>
      <c r="Y10" s="18"/>
      <c r="Z10" s="12">
        <v>7</v>
      </c>
      <c r="AA10" s="14" t="s">
        <v>22</v>
      </c>
      <c r="AB10" s="13">
        <f>MIN(R:R)</f>
        <v>80.006043548750995</v>
      </c>
      <c r="AC10" s="15">
        <f>INDEX(N:N,MATCH(AB10,R:R,0))</f>
        <v>9.9081800553660564</v>
      </c>
    </row>
    <row r="11" spans="1:30" x14ac:dyDescent="0.3">
      <c r="A11">
        <v>10</v>
      </c>
      <c r="E11">
        <v>-504.03708598089997</v>
      </c>
      <c r="F11">
        <v>130.95758658459999</v>
      </c>
      <c r="G11">
        <v>424.36594428500001</v>
      </c>
      <c r="H11">
        <v>46.452742668863003</v>
      </c>
      <c r="I11">
        <v>35.116703701394002</v>
      </c>
      <c r="J11">
        <v>-2.1946277111920001</v>
      </c>
      <c r="L11" s="1">
        <f t="shared" si="9"/>
        <v>3.8668266178330022</v>
      </c>
      <c r="M11">
        <f t="shared" si="10"/>
        <v>35.116703701394002</v>
      </c>
      <c r="N11">
        <f t="shared" si="2"/>
        <v>9.7546399170538894E-2</v>
      </c>
      <c r="O11">
        <f t="shared" si="3"/>
        <v>46.452742668863003</v>
      </c>
      <c r="P11">
        <f t="shared" si="4"/>
        <v>0</v>
      </c>
      <c r="Q11">
        <f t="shared" si="12"/>
        <v>0</v>
      </c>
      <c r="R11">
        <f t="shared" si="5"/>
        <v>102.64164637614101</v>
      </c>
      <c r="S11">
        <f t="shared" si="0"/>
        <v>0</v>
      </c>
      <c r="T11">
        <f t="shared" si="6"/>
        <v>105.86700886950219</v>
      </c>
      <c r="U11" s="3">
        <f t="shared" si="11"/>
        <v>-2.1946277111920001</v>
      </c>
      <c r="V11">
        <f t="shared" si="7"/>
        <v>0</v>
      </c>
      <c r="W11" s="8">
        <f t="shared" si="1"/>
        <v>0</v>
      </c>
      <c r="X11" s="1">
        <f t="shared" si="8"/>
        <v>50.912154624450011</v>
      </c>
      <c r="Y11" s="18"/>
      <c r="Z11" s="12">
        <v>8</v>
      </c>
      <c r="AA11" s="14" t="s">
        <v>19</v>
      </c>
      <c r="AB11" s="13">
        <f>MAX(S:S)</f>
        <v>105.86700886950219</v>
      </c>
      <c r="AC11" s="15">
        <f>INDEX(N:N,MATCH(AB11,S:S,0))</f>
        <v>7.9504053628307476</v>
      </c>
    </row>
    <row r="12" spans="1:30" x14ac:dyDescent="0.3">
      <c r="A12">
        <v>11</v>
      </c>
      <c r="E12">
        <v>-503.58489395919997</v>
      </c>
      <c r="F12">
        <v>129.46139135382001</v>
      </c>
      <c r="G12">
        <v>427.09123910978002</v>
      </c>
      <c r="H12">
        <v>46.492649239077998</v>
      </c>
      <c r="I12">
        <v>38.984729660490999</v>
      </c>
      <c r="J12">
        <v>-2.0231132670949998</v>
      </c>
      <c r="L12" s="1">
        <f t="shared" si="9"/>
        <v>3.8680259590969968</v>
      </c>
      <c r="M12">
        <f t="shared" si="10"/>
        <v>38.984729660490999</v>
      </c>
      <c r="N12">
        <f t="shared" si="2"/>
        <v>0.10829091572358611</v>
      </c>
      <c r="O12">
        <f t="shared" si="3"/>
        <v>46.492649239077998</v>
      </c>
      <c r="P12">
        <f t="shared" si="4"/>
        <v>0</v>
      </c>
      <c r="Q12">
        <f t="shared" si="12"/>
        <v>0</v>
      </c>
      <c r="R12">
        <f t="shared" si="5"/>
        <v>102.64164637614101</v>
      </c>
      <c r="S12">
        <f t="shared" si="0"/>
        <v>0</v>
      </c>
      <c r="T12">
        <f t="shared" si="6"/>
        <v>105.86700886950219</v>
      </c>
      <c r="U12" s="3">
        <f t="shared" si="11"/>
        <v>-2.0231132670949998</v>
      </c>
      <c r="V12">
        <f t="shared" si="7"/>
        <v>0</v>
      </c>
      <c r="W12" s="8">
        <f t="shared" si="1"/>
        <v>0</v>
      </c>
      <c r="X12" s="1">
        <f t="shared" si="8"/>
        <v>50.912154624450011</v>
      </c>
      <c r="Y12" s="18"/>
      <c r="Z12" s="12">
        <v>9</v>
      </c>
      <c r="AA12" s="14" t="s">
        <v>23</v>
      </c>
      <c r="AB12" s="13">
        <f>MIN(T:T)</f>
        <v>80.743800684667903</v>
      </c>
      <c r="AC12" s="15">
        <f>INDEX(N:N,MATCH(AB12,T:T,0))</f>
        <v>9.9081800553660564</v>
      </c>
    </row>
    <row r="13" spans="1:30" x14ac:dyDescent="0.3">
      <c r="A13">
        <v>12</v>
      </c>
      <c r="E13">
        <v>-503.1356100058</v>
      </c>
      <c r="F13">
        <v>127.79718640805</v>
      </c>
      <c r="G13">
        <v>429.71935376584003</v>
      </c>
      <c r="H13">
        <v>46.550209397270002</v>
      </c>
      <c r="I13">
        <v>42.850083951796996</v>
      </c>
      <c r="J13">
        <v>-1.8534849933169999</v>
      </c>
      <c r="L13" s="1">
        <f t="shared" si="9"/>
        <v>3.8653542913059979</v>
      </c>
      <c r="M13">
        <f t="shared" si="10"/>
        <v>42.850083951796996</v>
      </c>
      <c r="N13">
        <f t="shared" si="2"/>
        <v>0.11902801097721388</v>
      </c>
      <c r="O13">
        <f t="shared" si="3"/>
        <v>46.550209397270002</v>
      </c>
      <c r="P13">
        <f t="shared" si="4"/>
        <v>0</v>
      </c>
      <c r="Q13">
        <f t="shared" si="12"/>
        <v>0</v>
      </c>
      <c r="R13">
        <f t="shared" si="5"/>
        <v>102.64164637614101</v>
      </c>
      <c r="S13">
        <f t="shared" si="0"/>
        <v>0</v>
      </c>
      <c r="T13">
        <f t="shared" si="6"/>
        <v>105.86700886950219</v>
      </c>
      <c r="U13" s="3">
        <f t="shared" si="11"/>
        <v>-1.8534849933169999</v>
      </c>
      <c r="V13">
        <f t="shared" si="7"/>
        <v>0</v>
      </c>
      <c r="W13" s="8">
        <f t="shared" si="1"/>
        <v>0</v>
      </c>
      <c r="X13" s="1">
        <f t="shared" si="8"/>
        <v>50.912154624450011</v>
      </c>
      <c r="Y13" s="18"/>
      <c r="Z13" s="12">
        <v>10</v>
      </c>
      <c r="AA13" s="14" t="s">
        <v>20</v>
      </c>
      <c r="AB13" s="13">
        <f>MAX(O:O)</f>
        <v>53.777568393639001</v>
      </c>
      <c r="AC13" s="15">
        <f>INDEX(N:N,MATCH(AB13,O:O,0))</f>
        <v>5.7489762799552739</v>
      </c>
    </row>
    <row r="14" spans="1:30" x14ac:dyDescent="0.3">
      <c r="A14">
        <v>13</v>
      </c>
      <c r="E14">
        <v>-502.5961418668</v>
      </c>
      <c r="F14">
        <v>125.9273281326</v>
      </c>
      <c r="G14">
        <v>432.18746122969998</v>
      </c>
      <c r="H14">
        <v>46.559827534809003</v>
      </c>
      <c r="I14">
        <v>46.70534945699</v>
      </c>
      <c r="J14">
        <v>-1.589508978629</v>
      </c>
      <c r="L14" s="1">
        <f t="shared" si="9"/>
        <v>3.8552655051930032</v>
      </c>
      <c r="M14">
        <f t="shared" si="10"/>
        <v>46.70534945699</v>
      </c>
      <c r="N14">
        <f t="shared" si="2"/>
        <v>0.12973708182497223</v>
      </c>
      <c r="O14">
        <f t="shared" si="3"/>
        <v>46.559827534809003</v>
      </c>
      <c r="P14">
        <f t="shared" si="4"/>
        <v>0</v>
      </c>
      <c r="Q14">
        <f t="shared" si="12"/>
        <v>0</v>
      </c>
      <c r="R14">
        <f t="shared" si="5"/>
        <v>102.64164637614101</v>
      </c>
      <c r="S14">
        <f t="shared" si="0"/>
        <v>0</v>
      </c>
      <c r="T14">
        <f t="shared" si="6"/>
        <v>105.86700886950219</v>
      </c>
      <c r="U14" s="3">
        <f t="shared" si="11"/>
        <v>-1.589508978629</v>
      </c>
      <c r="V14">
        <f t="shared" si="7"/>
        <v>0</v>
      </c>
      <c r="W14" s="8">
        <f t="shared" si="1"/>
        <v>0</v>
      </c>
      <c r="X14" s="1">
        <f t="shared" si="8"/>
        <v>50.912154624450011</v>
      </c>
      <c r="Y14" s="18"/>
      <c r="Z14" s="12">
        <v>11</v>
      </c>
      <c r="AA14" s="14" t="s">
        <v>24</v>
      </c>
      <c r="AB14" s="13">
        <f>MIN(O:O)</f>
        <v>39.720217603175001</v>
      </c>
      <c r="AC14" s="15">
        <f>INDEX(N:N,MATCH(AB14,O:O,0))</f>
        <v>9.6090921780900551</v>
      </c>
    </row>
    <row r="15" spans="1:30" x14ac:dyDescent="0.3">
      <c r="A15">
        <v>14</v>
      </c>
      <c r="E15">
        <v>-502.13175046769999</v>
      </c>
      <c r="F15">
        <v>123.89603961874001</v>
      </c>
      <c r="G15">
        <v>434.54006305819001</v>
      </c>
      <c r="H15">
        <v>46.580908711188997</v>
      </c>
      <c r="I15">
        <v>50.565247843910001</v>
      </c>
      <c r="J15">
        <v>-1.397561985047</v>
      </c>
      <c r="L15" s="1">
        <f t="shared" si="9"/>
        <v>3.8598983869200012</v>
      </c>
      <c r="M15">
        <f t="shared" si="10"/>
        <v>50.565247843910001</v>
      </c>
      <c r="N15">
        <f t="shared" si="2"/>
        <v>0.14045902178863889</v>
      </c>
      <c r="O15">
        <f t="shared" si="3"/>
        <v>46.580908711188997</v>
      </c>
      <c r="P15">
        <f t="shared" si="4"/>
        <v>0</v>
      </c>
      <c r="Q15">
        <f t="shared" si="12"/>
        <v>0</v>
      </c>
      <c r="R15">
        <f t="shared" si="5"/>
        <v>102.64164637614101</v>
      </c>
      <c r="S15">
        <f t="shared" si="0"/>
        <v>0</v>
      </c>
      <c r="T15">
        <f t="shared" si="6"/>
        <v>105.86700886950219</v>
      </c>
      <c r="U15" s="3">
        <f t="shared" si="11"/>
        <v>-1.397561985047</v>
      </c>
      <c r="V15">
        <f t="shared" si="7"/>
        <v>0</v>
      </c>
      <c r="W15" s="8">
        <f t="shared" si="1"/>
        <v>0</v>
      </c>
      <c r="X15" s="1">
        <f t="shared" si="8"/>
        <v>50.912154624450011</v>
      </c>
      <c r="Y15" s="18"/>
      <c r="Z15" s="7"/>
      <c r="AA15" s="1"/>
      <c r="AB15" s="1"/>
      <c r="AC15" s="1"/>
    </row>
    <row r="16" spans="1:30" x14ac:dyDescent="0.3">
      <c r="A16">
        <v>15</v>
      </c>
      <c r="E16">
        <v>-501.66413662460002</v>
      </c>
      <c r="F16">
        <v>121.71088507463</v>
      </c>
      <c r="G16">
        <v>436.74963328052002</v>
      </c>
      <c r="H16">
        <v>46.60324385781</v>
      </c>
      <c r="I16">
        <v>54.422535037067</v>
      </c>
      <c r="J16">
        <v>-1.197148946515</v>
      </c>
      <c r="L16" s="1">
        <f t="shared" si="9"/>
        <v>3.8572871931569992</v>
      </c>
      <c r="M16">
        <f t="shared" si="10"/>
        <v>54.422535037067</v>
      </c>
      <c r="N16">
        <f t="shared" si="2"/>
        <v>0.15117370843629721</v>
      </c>
      <c r="O16">
        <f t="shared" si="3"/>
        <v>46.60324385781</v>
      </c>
      <c r="P16">
        <f t="shared" si="4"/>
        <v>0</v>
      </c>
      <c r="Q16">
        <f t="shared" si="12"/>
        <v>0</v>
      </c>
      <c r="R16">
        <f t="shared" si="5"/>
        <v>102.64164637614101</v>
      </c>
      <c r="S16">
        <f t="shared" si="0"/>
        <v>0</v>
      </c>
      <c r="T16">
        <f t="shared" si="6"/>
        <v>105.86700886950219</v>
      </c>
      <c r="U16" s="3">
        <f t="shared" si="11"/>
        <v>-1.197148946515</v>
      </c>
      <c r="V16">
        <f t="shared" si="7"/>
        <v>0</v>
      </c>
      <c r="W16" s="8">
        <f t="shared" si="1"/>
        <v>0</v>
      </c>
      <c r="X16" s="1">
        <f t="shared" si="8"/>
        <v>50.912154624450011</v>
      </c>
      <c r="Y16" s="18"/>
    </row>
    <row r="17" spans="1:29" x14ac:dyDescent="0.3">
      <c r="A17">
        <v>16</v>
      </c>
      <c r="E17">
        <v>-501.2841533376</v>
      </c>
      <c r="F17">
        <v>119.38290600962</v>
      </c>
      <c r="G17">
        <v>438.82634487108999</v>
      </c>
      <c r="H17">
        <v>46.639660270180997</v>
      </c>
      <c r="I17">
        <v>58.282533878582001</v>
      </c>
      <c r="J17">
        <v>-1.079126131744</v>
      </c>
      <c r="L17" s="1">
        <f t="shared" si="9"/>
        <v>3.8599988415150008</v>
      </c>
      <c r="M17">
        <f t="shared" si="10"/>
        <v>58.282533878582001</v>
      </c>
      <c r="N17">
        <f t="shared" si="2"/>
        <v>0.16189592744050557</v>
      </c>
      <c r="O17">
        <f t="shared" si="3"/>
        <v>46.639660270180997</v>
      </c>
      <c r="P17">
        <f t="shared" si="4"/>
        <v>0</v>
      </c>
      <c r="Q17">
        <f t="shared" si="12"/>
        <v>0</v>
      </c>
      <c r="R17">
        <f t="shared" si="5"/>
        <v>102.64164637614101</v>
      </c>
      <c r="S17">
        <f t="shared" si="0"/>
        <v>0</v>
      </c>
      <c r="T17">
        <f t="shared" si="6"/>
        <v>105.86700886950219</v>
      </c>
      <c r="U17" s="3">
        <f t="shared" si="11"/>
        <v>-1.079126131744</v>
      </c>
      <c r="V17">
        <f t="shared" si="7"/>
        <v>0</v>
      </c>
      <c r="W17" s="8">
        <f t="shared" si="1"/>
        <v>0</v>
      </c>
      <c r="X17" s="1">
        <f t="shared" si="8"/>
        <v>50.912154624450011</v>
      </c>
      <c r="Y17" s="18"/>
    </row>
    <row r="18" spans="1:29" x14ac:dyDescent="0.3">
      <c r="A18">
        <v>17</v>
      </c>
      <c r="E18">
        <v>-500.86685315570003</v>
      </c>
      <c r="F18">
        <v>116.91481968310001</v>
      </c>
      <c r="G18">
        <v>440.72641406240001</v>
      </c>
      <c r="H18">
        <v>46.663458080821002</v>
      </c>
      <c r="I18">
        <v>62.137523624567997</v>
      </c>
      <c r="J18">
        <v>-0.915430769044</v>
      </c>
      <c r="L18" s="1">
        <f t="shared" si="9"/>
        <v>3.8549897459859963</v>
      </c>
      <c r="M18">
        <f t="shared" si="10"/>
        <v>62.137523624567997</v>
      </c>
      <c r="N18">
        <f t="shared" si="2"/>
        <v>0.17260423229046665</v>
      </c>
      <c r="O18">
        <f t="shared" si="3"/>
        <v>46.663458080821002</v>
      </c>
      <c r="P18">
        <f t="shared" si="4"/>
        <v>0</v>
      </c>
      <c r="Q18">
        <f t="shared" si="12"/>
        <v>0</v>
      </c>
      <c r="R18">
        <f t="shared" si="5"/>
        <v>102.64164637614101</v>
      </c>
      <c r="S18">
        <f t="shared" si="0"/>
        <v>0</v>
      </c>
      <c r="T18">
        <f t="shared" si="6"/>
        <v>105.86700886950219</v>
      </c>
      <c r="U18" s="3">
        <f t="shared" si="11"/>
        <v>-0.915430769044</v>
      </c>
      <c r="V18">
        <f t="shared" si="7"/>
        <v>0</v>
      </c>
      <c r="W18" s="8">
        <f t="shared" si="1"/>
        <v>0</v>
      </c>
      <c r="X18" s="1">
        <f t="shared" si="8"/>
        <v>50.912154624450011</v>
      </c>
      <c r="Y18" s="18"/>
    </row>
    <row r="19" spans="1:29" x14ac:dyDescent="0.3">
      <c r="A19">
        <v>18</v>
      </c>
      <c r="E19">
        <v>-500.51527820320001</v>
      </c>
      <c r="F19">
        <v>114.30167604525001</v>
      </c>
      <c r="G19">
        <v>442.43624872614998</v>
      </c>
      <c r="H19">
        <v>46.656818891919002</v>
      </c>
      <c r="I19">
        <v>65.994845093359999</v>
      </c>
      <c r="J19">
        <v>-0.80779930213700002</v>
      </c>
      <c r="L19" s="1">
        <f t="shared" si="9"/>
        <v>3.8573214687920014</v>
      </c>
      <c r="M19">
        <f t="shared" si="10"/>
        <v>65.994845093359999</v>
      </c>
      <c r="N19">
        <f t="shared" si="2"/>
        <v>0.18331901414822221</v>
      </c>
      <c r="O19">
        <f t="shared" si="3"/>
        <v>46.656818891919002</v>
      </c>
      <c r="P19">
        <f t="shared" si="4"/>
        <v>0</v>
      </c>
      <c r="Q19">
        <f t="shared" si="12"/>
        <v>0</v>
      </c>
      <c r="R19">
        <f t="shared" si="5"/>
        <v>102.64164637614101</v>
      </c>
      <c r="S19">
        <f t="shared" si="0"/>
        <v>0</v>
      </c>
      <c r="T19">
        <f t="shared" si="6"/>
        <v>105.86700886950219</v>
      </c>
      <c r="U19" s="3">
        <f t="shared" si="11"/>
        <v>-0.80779930213700002</v>
      </c>
      <c r="V19">
        <f t="shared" si="7"/>
        <v>0</v>
      </c>
      <c r="W19" s="8">
        <f t="shared" si="1"/>
        <v>0</v>
      </c>
      <c r="X19" s="1">
        <f t="shared" si="8"/>
        <v>50.912154624450011</v>
      </c>
      <c r="Y19" s="18"/>
    </row>
    <row r="20" spans="1:29" x14ac:dyDescent="0.3">
      <c r="A20">
        <v>19</v>
      </c>
      <c r="E20">
        <v>-500.15325886850002</v>
      </c>
      <c r="F20">
        <v>111.57591281286</v>
      </c>
      <c r="G20">
        <v>443.95808019664003</v>
      </c>
      <c r="H20">
        <v>46.643156144888998</v>
      </c>
      <c r="I20">
        <v>69.852237175035</v>
      </c>
      <c r="J20">
        <v>-0.67923932159400002</v>
      </c>
      <c r="L20" s="1">
        <f t="shared" si="9"/>
        <v>3.8573920816750018</v>
      </c>
      <c r="M20">
        <f t="shared" si="10"/>
        <v>69.852237175035</v>
      </c>
      <c r="N20">
        <f t="shared" si="2"/>
        <v>0.19403399215287501</v>
      </c>
      <c r="O20">
        <f t="shared" si="3"/>
        <v>46.643156144888998</v>
      </c>
      <c r="P20">
        <f t="shared" si="4"/>
        <v>0</v>
      </c>
      <c r="Q20">
        <f t="shared" si="12"/>
        <v>0</v>
      </c>
      <c r="R20">
        <f t="shared" si="5"/>
        <v>102.64164637614101</v>
      </c>
      <c r="S20">
        <f t="shared" si="0"/>
        <v>0</v>
      </c>
      <c r="T20">
        <f t="shared" si="6"/>
        <v>105.86700886950219</v>
      </c>
      <c r="U20" s="3">
        <f t="shared" si="11"/>
        <v>-0.67923932159400002</v>
      </c>
      <c r="V20">
        <f t="shared" si="7"/>
        <v>0</v>
      </c>
      <c r="W20" s="8">
        <f t="shared" si="1"/>
        <v>0</v>
      </c>
      <c r="X20" s="1">
        <f t="shared" si="8"/>
        <v>50.912154624450011</v>
      </c>
      <c r="Y20" s="18"/>
    </row>
    <row r="21" spans="1:29" x14ac:dyDescent="0.3">
      <c r="A21">
        <v>20</v>
      </c>
      <c r="E21">
        <v>-499.79792042169998</v>
      </c>
      <c r="F21">
        <v>108.7566942678</v>
      </c>
      <c r="G21">
        <v>445.30018624727001</v>
      </c>
      <c r="H21">
        <v>46.638224382600001</v>
      </c>
      <c r="I21">
        <v>73.709970891129004</v>
      </c>
      <c r="J21">
        <v>-0.546697171925</v>
      </c>
      <c r="L21" s="1">
        <f t="shared" si="9"/>
        <v>3.8577337160940033</v>
      </c>
      <c r="M21">
        <f t="shared" si="10"/>
        <v>73.709970891129004</v>
      </c>
      <c r="N21">
        <f t="shared" si="2"/>
        <v>0.20474991914202501</v>
      </c>
      <c r="O21">
        <f t="shared" si="3"/>
        <v>46.638224382600001</v>
      </c>
      <c r="P21">
        <f t="shared" si="4"/>
        <v>0</v>
      </c>
      <c r="Q21">
        <f t="shared" si="12"/>
        <v>0</v>
      </c>
      <c r="R21">
        <f t="shared" si="5"/>
        <v>102.64164637614101</v>
      </c>
      <c r="S21">
        <f t="shared" si="0"/>
        <v>0</v>
      </c>
      <c r="T21">
        <f t="shared" si="6"/>
        <v>105.86700886950219</v>
      </c>
      <c r="U21" s="3">
        <f t="shared" si="11"/>
        <v>-0.546697171925</v>
      </c>
      <c r="V21">
        <f t="shared" si="7"/>
        <v>0</v>
      </c>
      <c r="W21" s="8">
        <f t="shared" si="1"/>
        <v>0</v>
      </c>
      <c r="X21" s="1">
        <f t="shared" si="8"/>
        <v>50.912154624450011</v>
      </c>
      <c r="Y21" s="18"/>
    </row>
    <row r="22" spans="1:29" x14ac:dyDescent="0.3">
      <c r="A22">
        <v>21</v>
      </c>
      <c r="E22">
        <v>-499.48874585210001</v>
      </c>
      <c r="F22">
        <v>105.84102454929</v>
      </c>
      <c r="G22">
        <v>446.43179102745</v>
      </c>
      <c r="H22">
        <v>46.610969445591998</v>
      </c>
      <c r="I22">
        <v>77.570736133397006</v>
      </c>
      <c r="J22">
        <v>-0.44715027448</v>
      </c>
      <c r="L22" s="1">
        <f t="shared" si="9"/>
        <v>3.8607652422680019</v>
      </c>
      <c r="M22">
        <f t="shared" si="10"/>
        <v>77.570736133397006</v>
      </c>
      <c r="N22">
        <f t="shared" si="2"/>
        <v>0.2154742670372139</v>
      </c>
      <c r="O22">
        <f t="shared" si="3"/>
        <v>46.610969445591998</v>
      </c>
      <c r="P22">
        <f t="shared" si="4"/>
        <v>0</v>
      </c>
      <c r="Q22">
        <f t="shared" si="12"/>
        <v>0</v>
      </c>
      <c r="R22">
        <f t="shared" si="5"/>
        <v>102.64164637614101</v>
      </c>
      <c r="S22">
        <f t="shared" si="0"/>
        <v>0</v>
      </c>
      <c r="T22">
        <f t="shared" si="6"/>
        <v>105.86700886950219</v>
      </c>
      <c r="U22" s="3">
        <f t="shared" si="11"/>
        <v>-0.44715027448</v>
      </c>
      <c r="V22">
        <f t="shared" si="7"/>
        <v>0</v>
      </c>
      <c r="W22" s="8">
        <f t="shared" si="1"/>
        <v>0</v>
      </c>
      <c r="X22" s="1">
        <f t="shared" si="8"/>
        <v>50.912154624450011</v>
      </c>
      <c r="Y22" s="18"/>
    </row>
    <row r="23" spans="1:29" x14ac:dyDescent="0.3">
      <c r="A23">
        <v>22</v>
      </c>
      <c r="E23">
        <v>-499.174705088</v>
      </c>
      <c r="F23">
        <v>102.85851018595</v>
      </c>
      <c r="G23">
        <v>447.37082101215998</v>
      </c>
      <c r="H23">
        <v>46.592210801001997</v>
      </c>
      <c r="I23">
        <v>81.432452890996004</v>
      </c>
      <c r="J23">
        <v>-0.33001675532399999</v>
      </c>
      <c r="L23" s="1">
        <f t="shared" si="9"/>
        <v>3.8617167575989981</v>
      </c>
      <c r="M23">
        <f t="shared" si="10"/>
        <v>81.432452890996004</v>
      </c>
      <c r="N23">
        <f t="shared" si="2"/>
        <v>0.22620125803054444</v>
      </c>
      <c r="O23">
        <f t="shared" si="3"/>
        <v>46.592210801001997</v>
      </c>
      <c r="P23">
        <f t="shared" si="4"/>
        <v>0</v>
      </c>
      <c r="Q23">
        <f t="shared" si="12"/>
        <v>0</v>
      </c>
      <c r="R23">
        <f t="shared" si="5"/>
        <v>102.64164637614101</v>
      </c>
      <c r="S23">
        <f t="shared" si="0"/>
        <v>0</v>
      </c>
      <c r="T23">
        <f t="shared" si="6"/>
        <v>105.86700886950219</v>
      </c>
      <c r="U23" s="3">
        <f t="shared" si="11"/>
        <v>-0.33001675532399999</v>
      </c>
      <c r="V23">
        <f t="shared" si="7"/>
        <v>0</v>
      </c>
      <c r="W23" s="8">
        <f t="shared" si="1"/>
        <v>0</v>
      </c>
      <c r="X23" s="1">
        <f t="shared" si="8"/>
        <v>50.912154624450011</v>
      </c>
      <c r="Y23" s="18"/>
    </row>
    <row r="24" spans="1:29" x14ac:dyDescent="0.3">
      <c r="A24">
        <v>23</v>
      </c>
      <c r="E24">
        <v>-498.88244436690002</v>
      </c>
      <c r="F24">
        <v>99.815817704807003</v>
      </c>
      <c r="G24">
        <v>448.10038542917999</v>
      </c>
      <c r="H24">
        <v>46.566227773122002</v>
      </c>
      <c r="I24">
        <v>85.296261679195993</v>
      </c>
      <c r="J24">
        <v>-0.22021224141699999</v>
      </c>
      <c r="L24" s="1">
        <f t="shared" si="9"/>
        <v>3.8638087881999894</v>
      </c>
      <c r="M24">
        <f t="shared" si="10"/>
        <v>85.296261679195993</v>
      </c>
      <c r="N24">
        <f t="shared" si="2"/>
        <v>0.23693406021998886</v>
      </c>
      <c r="O24">
        <f t="shared" si="3"/>
        <v>46.566227773122002</v>
      </c>
      <c r="P24">
        <f t="shared" si="4"/>
        <v>0</v>
      </c>
      <c r="Q24">
        <f t="shared" si="12"/>
        <v>0</v>
      </c>
      <c r="R24">
        <f t="shared" si="5"/>
        <v>102.64164637614101</v>
      </c>
      <c r="S24">
        <f t="shared" si="0"/>
        <v>0</v>
      </c>
      <c r="T24">
        <f t="shared" si="6"/>
        <v>105.86700886950219</v>
      </c>
      <c r="U24" s="3">
        <f t="shared" si="11"/>
        <v>-0.22021224141699999</v>
      </c>
      <c r="V24">
        <f t="shared" si="7"/>
        <v>0</v>
      </c>
      <c r="W24" s="8">
        <f t="shared" si="1"/>
        <v>0</v>
      </c>
      <c r="X24" s="1">
        <f t="shared" si="8"/>
        <v>50.912154624450011</v>
      </c>
      <c r="Y24" s="18"/>
    </row>
    <row r="25" spans="1:29" x14ac:dyDescent="0.3">
      <c r="A25">
        <v>24</v>
      </c>
      <c r="E25">
        <v>-498.60934982269998</v>
      </c>
      <c r="F25">
        <v>96.729183762971999</v>
      </c>
      <c r="G25">
        <v>448.62391420004002</v>
      </c>
      <c r="H25">
        <v>46.540573549613001</v>
      </c>
      <c r="I25">
        <v>89.162462430228999</v>
      </c>
      <c r="J25">
        <v>-0.114753122845</v>
      </c>
      <c r="L25" s="1">
        <f t="shared" si="9"/>
        <v>3.8662007510330056</v>
      </c>
      <c r="M25">
        <f t="shared" si="10"/>
        <v>89.162462430228999</v>
      </c>
      <c r="N25">
        <f t="shared" si="2"/>
        <v>0.2476735067506361</v>
      </c>
      <c r="O25">
        <f t="shared" si="3"/>
        <v>46.540573549613001</v>
      </c>
      <c r="P25">
        <f t="shared" si="4"/>
        <v>0</v>
      </c>
      <c r="Q25">
        <f t="shared" si="12"/>
        <v>0</v>
      </c>
      <c r="R25">
        <f t="shared" si="5"/>
        <v>102.64164637614101</v>
      </c>
      <c r="S25">
        <f t="shared" si="0"/>
        <v>0</v>
      </c>
      <c r="T25">
        <f t="shared" si="6"/>
        <v>105.86700886950219</v>
      </c>
      <c r="U25" s="3">
        <f t="shared" si="11"/>
        <v>-0.114753122845</v>
      </c>
      <c r="V25">
        <f t="shared" si="7"/>
        <v>0</v>
      </c>
      <c r="W25" s="8">
        <f t="shared" si="1"/>
        <v>0</v>
      </c>
      <c r="X25" s="1">
        <f t="shared" si="8"/>
        <v>50.912154624450011</v>
      </c>
      <c r="Y25" s="18"/>
    </row>
    <row r="26" spans="1:29" x14ac:dyDescent="0.3">
      <c r="A26">
        <v>25</v>
      </c>
      <c r="E26">
        <v>-498.37374896950001</v>
      </c>
      <c r="F26">
        <v>93.610256416913003</v>
      </c>
      <c r="G26">
        <v>448.92961578557998</v>
      </c>
      <c r="H26">
        <v>46.504545620458003</v>
      </c>
      <c r="I26">
        <v>93.032026899963</v>
      </c>
      <c r="J26">
        <v>-3.0477616347000001E-2</v>
      </c>
      <c r="L26" s="1">
        <f t="shared" si="9"/>
        <v>3.8695644697340015</v>
      </c>
      <c r="M26">
        <f t="shared" si="10"/>
        <v>93.032026899963</v>
      </c>
      <c r="N26">
        <f t="shared" si="2"/>
        <v>0.25842229694434166</v>
      </c>
      <c r="O26">
        <f t="shared" si="3"/>
        <v>46.504545620458003</v>
      </c>
      <c r="P26">
        <f t="shared" si="4"/>
        <v>0</v>
      </c>
      <c r="Q26">
        <f t="shared" si="12"/>
        <v>0</v>
      </c>
      <c r="R26">
        <f t="shared" si="5"/>
        <v>102.64164637614101</v>
      </c>
      <c r="S26">
        <f t="shared" si="0"/>
        <v>0</v>
      </c>
      <c r="T26">
        <f t="shared" si="6"/>
        <v>105.86700886950219</v>
      </c>
      <c r="U26" s="3">
        <f t="shared" si="11"/>
        <v>-3.0477616347000001E-2</v>
      </c>
      <c r="V26">
        <f>IFERROR(MATCH(N26-1,N:N,1),0)</f>
        <v>0</v>
      </c>
      <c r="W26" s="8">
        <f t="shared" si="1"/>
        <v>0</v>
      </c>
      <c r="X26" s="1">
        <f t="shared" si="8"/>
        <v>50.912154624450011</v>
      </c>
      <c r="Y26" s="18"/>
    </row>
    <row r="27" spans="1:29" x14ac:dyDescent="0.3">
      <c r="A27">
        <v>26</v>
      </c>
      <c r="E27">
        <v>-498.16581510899999</v>
      </c>
      <c r="F27">
        <v>90.476063656655</v>
      </c>
      <c r="G27">
        <v>449.02980597254998</v>
      </c>
      <c r="H27">
        <v>46.473150523386003</v>
      </c>
      <c r="I27">
        <v>96.904774609417998</v>
      </c>
      <c r="J27">
        <v>4.2101215991600001E-2</v>
      </c>
      <c r="L27" s="1">
        <f t="shared" si="9"/>
        <v>3.8727477094549982</v>
      </c>
      <c r="M27">
        <f t="shared" si="10"/>
        <v>96.904774609417998</v>
      </c>
      <c r="N27">
        <f t="shared" si="2"/>
        <v>0.26917992947060554</v>
      </c>
      <c r="O27">
        <f t="shared" si="3"/>
        <v>46.473150523386003</v>
      </c>
      <c r="P27">
        <f t="shared" si="4"/>
        <v>0</v>
      </c>
      <c r="Q27">
        <f t="shared" si="12"/>
        <v>0</v>
      </c>
      <c r="R27">
        <f t="shared" si="5"/>
        <v>102.64164637614101</v>
      </c>
      <c r="S27">
        <f t="shared" si="0"/>
        <v>0</v>
      </c>
      <c r="T27">
        <f t="shared" si="6"/>
        <v>105.86700886950219</v>
      </c>
      <c r="U27" s="3">
        <f t="shared" si="11"/>
        <v>4.2101215991600001E-2</v>
      </c>
      <c r="V27">
        <f t="shared" si="7"/>
        <v>0</v>
      </c>
      <c r="W27" s="8">
        <f t="shared" si="1"/>
        <v>0</v>
      </c>
      <c r="X27" s="1">
        <f t="shared" si="8"/>
        <v>50.912154624450011</v>
      </c>
      <c r="Y27" s="18"/>
      <c r="Z27" s="7"/>
      <c r="AA27" s="1"/>
      <c r="AB27" s="1"/>
      <c r="AC27" s="1"/>
    </row>
    <row r="28" spans="1:29" x14ac:dyDescent="0.3">
      <c r="A28">
        <v>27</v>
      </c>
      <c r="E28">
        <v>-497.97273457559999</v>
      </c>
      <c r="F28">
        <v>87.341592538059004</v>
      </c>
      <c r="G28">
        <v>448.91138011548998</v>
      </c>
      <c r="H28">
        <v>46.435039551434002</v>
      </c>
      <c r="I28">
        <v>100.78020592404999</v>
      </c>
      <c r="J28">
        <v>0.11740067687529999</v>
      </c>
      <c r="L28" s="1">
        <f t="shared" si="9"/>
        <v>3.8754313146319959</v>
      </c>
      <c r="M28">
        <f t="shared" si="10"/>
        <v>100.78020592404999</v>
      </c>
      <c r="N28">
        <f t="shared" si="2"/>
        <v>0.27994501645569442</v>
      </c>
      <c r="O28">
        <f t="shared" si="3"/>
        <v>46.435039551434002</v>
      </c>
      <c r="P28">
        <f t="shared" si="4"/>
        <v>0</v>
      </c>
      <c r="Q28">
        <f t="shared" si="12"/>
        <v>0</v>
      </c>
      <c r="R28">
        <f t="shared" si="5"/>
        <v>102.64164637614101</v>
      </c>
      <c r="S28">
        <f t="shared" si="0"/>
        <v>0</v>
      </c>
      <c r="T28">
        <f t="shared" si="6"/>
        <v>105.86700886950219</v>
      </c>
      <c r="U28" s="3">
        <f t="shared" si="11"/>
        <v>0.11740067687529999</v>
      </c>
      <c r="V28">
        <f t="shared" si="7"/>
        <v>0</v>
      </c>
      <c r="W28" s="8">
        <f t="shared" si="1"/>
        <v>0</v>
      </c>
      <c r="X28" s="1">
        <f t="shared" si="8"/>
        <v>50.912154624450011</v>
      </c>
      <c r="Y28" s="18"/>
      <c r="Z28" s="7"/>
      <c r="AA28" s="1"/>
      <c r="AB28" s="1"/>
      <c r="AC28" s="1"/>
    </row>
    <row r="29" spans="1:29" x14ac:dyDescent="0.3">
      <c r="A29">
        <v>28</v>
      </c>
      <c r="E29">
        <v>-497.79679256140003</v>
      </c>
      <c r="F29">
        <v>84.221827168865005</v>
      </c>
      <c r="G29">
        <v>448.57688395976999</v>
      </c>
      <c r="H29">
        <v>46.392227477970998</v>
      </c>
      <c r="I29">
        <v>104.65883163647</v>
      </c>
      <c r="J29">
        <v>0.1935454200974</v>
      </c>
      <c r="L29" s="1">
        <f t="shared" si="9"/>
        <v>3.8786257124200034</v>
      </c>
      <c r="M29">
        <f t="shared" si="10"/>
        <v>104.65883163647</v>
      </c>
      <c r="N29">
        <f t="shared" si="2"/>
        <v>0.2907189767679722</v>
      </c>
      <c r="O29">
        <f t="shared" si="3"/>
        <v>46.392227477970998</v>
      </c>
      <c r="P29">
        <f t="shared" si="4"/>
        <v>0</v>
      </c>
      <c r="Q29">
        <f t="shared" si="12"/>
        <v>0</v>
      </c>
      <c r="R29">
        <f t="shared" si="5"/>
        <v>102.64164637614101</v>
      </c>
      <c r="S29">
        <f t="shared" si="0"/>
        <v>0</v>
      </c>
      <c r="T29">
        <f t="shared" si="6"/>
        <v>105.86700886950219</v>
      </c>
      <c r="U29" s="3">
        <f t="shared" si="11"/>
        <v>0.1935454200974</v>
      </c>
      <c r="V29">
        <f t="shared" si="7"/>
        <v>0</v>
      </c>
      <c r="W29" s="8">
        <f t="shared" si="1"/>
        <v>0</v>
      </c>
      <c r="X29" s="1">
        <f t="shared" si="8"/>
        <v>50.912154624450011</v>
      </c>
      <c r="Y29" s="18"/>
      <c r="Z29" s="7"/>
      <c r="AA29" s="1"/>
      <c r="AB29" s="1"/>
      <c r="AC29" s="1"/>
    </row>
    <row r="30" spans="1:29" x14ac:dyDescent="0.3">
      <c r="A30">
        <v>29</v>
      </c>
      <c r="E30">
        <v>-497.62538655959997</v>
      </c>
      <c r="F30">
        <v>81.130150327604994</v>
      </c>
      <c r="G30">
        <v>448.03971075525999</v>
      </c>
      <c r="H30">
        <v>46.357876194455002</v>
      </c>
      <c r="I30">
        <v>108.54051799990999</v>
      </c>
      <c r="J30">
        <v>0.28255350852990002</v>
      </c>
      <c r="L30" s="1">
        <f t="shared" si="9"/>
        <v>3.8816863634399965</v>
      </c>
      <c r="M30">
        <f t="shared" si="10"/>
        <v>108.54051799990999</v>
      </c>
      <c r="N30">
        <f t="shared" si="2"/>
        <v>0.3015014388886389</v>
      </c>
      <c r="O30">
        <f t="shared" si="3"/>
        <v>46.357876194455002</v>
      </c>
      <c r="P30">
        <f t="shared" si="4"/>
        <v>0</v>
      </c>
      <c r="Q30">
        <f t="shared" si="12"/>
        <v>0</v>
      </c>
      <c r="R30">
        <f t="shared" si="5"/>
        <v>102.64164637614101</v>
      </c>
      <c r="S30">
        <f t="shared" si="0"/>
        <v>0</v>
      </c>
      <c r="T30">
        <f t="shared" si="6"/>
        <v>105.86700886950219</v>
      </c>
      <c r="U30" s="3">
        <f t="shared" si="11"/>
        <v>0.28255350852990002</v>
      </c>
      <c r="V30">
        <f t="shared" si="7"/>
        <v>0</v>
      </c>
      <c r="W30" s="8">
        <f t="shared" si="1"/>
        <v>0</v>
      </c>
      <c r="X30" s="1">
        <f t="shared" si="8"/>
        <v>50.912154624450011</v>
      </c>
      <c r="Y30" s="18"/>
      <c r="Z30" s="7"/>
      <c r="AA30" s="1"/>
      <c r="AB30" s="1"/>
      <c r="AC30" s="1"/>
    </row>
    <row r="31" spans="1:29" x14ac:dyDescent="0.3">
      <c r="A31">
        <v>30</v>
      </c>
      <c r="E31">
        <v>-497.49183468989997</v>
      </c>
      <c r="F31">
        <v>78.081633939770001</v>
      </c>
      <c r="G31">
        <v>447.28861214936001</v>
      </c>
      <c r="H31">
        <v>46.315709205666003</v>
      </c>
      <c r="I31">
        <v>112.42569299141</v>
      </c>
      <c r="J31">
        <v>0.35275124672949998</v>
      </c>
      <c r="L31" s="1">
        <f t="shared" si="9"/>
        <v>3.8851749915000084</v>
      </c>
      <c r="M31">
        <f t="shared" si="10"/>
        <v>112.42569299141</v>
      </c>
      <c r="N31">
        <f t="shared" si="2"/>
        <v>0.31229359164280557</v>
      </c>
      <c r="O31">
        <f t="shared" si="3"/>
        <v>46.315709205666003</v>
      </c>
      <c r="P31">
        <f t="shared" si="4"/>
        <v>0</v>
      </c>
      <c r="Q31">
        <f t="shared" si="12"/>
        <v>0</v>
      </c>
      <c r="R31">
        <f t="shared" si="5"/>
        <v>102.64164637614101</v>
      </c>
      <c r="S31">
        <f t="shared" si="0"/>
        <v>0</v>
      </c>
      <c r="T31">
        <f t="shared" si="6"/>
        <v>105.86700886950219</v>
      </c>
      <c r="U31" s="3">
        <f t="shared" si="11"/>
        <v>0.35275124672949998</v>
      </c>
      <c r="V31">
        <f t="shared" si="7"/>
        <v>0</v>
      </c>
      <c r="W31" s="8">
        <f t="shared" si="1"/>
        <v>0</v>
      </c>
      <c r="X31" s="1">
        <f t="shared" si="8"/>
        <v>50.912154624450011</v>
      </c>
      <c r="Y31" s="18"/>
      <c r="Z31" s="7"/>
      <c r="AA31" s="1"/>
      <c r="AB31" s="1"/>
      <c r="AC31" s="1"/>
    </row>
    <row r="32" spans="1:29" x14ac:dyDescent="0.3">
      <c r="A32">
        <v>31</v>
      </c>
      <c r="E32">
        <v>-497.38005728360002</v>
      </c>
      <c r="F32">
        <v>75.086549353589007</v>
      </c>
      <c r="G32">
        <v>446.34374808369</v>
      </c>
      <c r="H32">
        <v>46.284514052474997</v>
      </c>
      <c r="I32">
        <v>116.31428333021</v>
      </c>
      <c r="J32">
        <v>0.41895181300790002</v>
      </c>
      <c r="L32" s="1">
        <f t="shared" si="9"/>
        <v>3.8885903388000003</v>
      </c>
      <c r="M32">
        <f t="shared" si="10"/>
        <v>116.31428333021</v>
      </c>
      <c r="N32">
        <f t="shared" si="2"/>
        <v>0.32309523147280556</v>
      </c>
      <c r="O32">
        <f t="shared" si="3"/>
        <v>46.284514052474997</v>
      </c>
      <c r="P32">
        <f t="shared" si="4"/>
        <v>0</v>
      </c>
      <c r="Q32">
        <f t="shared" si="12"/>
        <v>0</v>
      </c>
      <c r="R32">
        <f t="shared" si="5"/>
        <v>102.64164637614101</v>
      </c>
      <c r="S32">
        <f t="shared" si="0"/>
        <v>0</v>
      </c>
      <c r="T32">
        <f t="shared" si="6"/>
        <v>105.86700886950219</v>
      </c>
      <c r="U32" s="3">
        <f t="shared" si="11"/>
        <v>0.41895181300790002</v>
      </c>
      <c r="V32">
        <f t="shared" si="7"/>
        <v>0</v>
      </c>
      <c r="W32" s="8">
        <f t="shared" si="1"/>
        <v>0</v>
      </c>
      <c r="X32" s="1">
        <f t="shared" si="8"/>
        <v>50.912154624450011</v>
      </c>
      <c r="Y32" s="18"/>
      <c r="Z32" s="7"/>
      <c r="AA32" s="1"/>
      <c r="AB32" s="1"/>
      <c r="AC32" s="1"/>
    </row>
    <row r="33" spans="1:29" x14ac:dyDescent="0.3">
      <c r="A33">
        <v>32</v>
      </c>
      <c r="E33">
        <v>-497.28022561450001</v>
      </c>
      <c r="F33">
        <v>72.163615479490005</v>
      </c>
      <c r="G33">
        <v>445.19379753999999</v>
      </c>
      <c r="H33">
        <v>46.248967093856997</v>
      </c>
      <c r="I33">
        <v>120.20543660468999</v>
      </c>
      <c r="J33">
        <v>0.49260723661740002</v>
      </c>
      <c r="L33" s="1">
        <f t="shared" si="9"/>
        <v>3.8911532744799899</v>
      </c>
      <c r="M33">
        <f t="shared" si="10"/>
        <v>120.20543660468999</v>
      </c>
      <c r="N33">
        <f t="shared" si="2"/>
        <v>0.33390399056858333</v>
      </c>
      <c r="O33">
        <f t="shared" si="3"/>
        <v>46.248967093856997</v>
      </c>
      <c r="P33">
        <f t="shared" si="4"/>
        <v>0</v>
      </c>
      <c r="Q33">
        <f t="shared" si="12"/>
        <v>0</v>
      </c>
      <c r="R33">
        <f t="shared" si="5"/>
        <v>102.64164637614101</v>
      </c>
      <c r="S33">
        <f t="shared" si="0"/>
        <v>0</v>
      </c>
      <c r="T33">
        <f t="shared" si="6"/>
        <v>105.86700886950219</v>
      </c>
      <c r="U33" s="3">
        <f t="shared" si="11"/>
        <v>0.49260723661740002</v>
      </c>
      <c r="V33">
        <f t="shared" si="7"/>
        <v>0</v>
      </c>
      <c r="W33" s="8">
        <f t="shared" si="1"/>
        <v>0</v>
      </c>
      <c r="X33" s="1">
        <f t="shared" si="8"/>
        <v>50.912154624450011</v>
      </c>
      <c r="Y33" s="18"/>
      <c r="Z33" s="7"/>
      <c r="AA33" s="1"/>
      <c r="AB33" s="1"/>
      <c r="AC33" s="1"/>
    </row>
    <row r="34" spans="1:29" x14ac:dyDescent="0.3">
      <c r="A34">
        <v>33</v>
      </c>
      <c r="E34">
        <v>-497.20741011400003</v>
      </c>
      <c r="F34">
        <v>69.325210425297001</v>
      </c>
      <c r="G34">
        <v>443.84722280625999</v>
      </c>
      <c r="H34">
        <v>46.211245198535998</v>
      </c>
      <c r="I34">
        <v>124.09970102154</v>
      </c>
      <c r="J34">
        <v>0.55852906362779997</v>
      </c>
      <c r="L34" s="1">
        <f t="shared" si="9"/>
        <v>3.8942644168500067</v>
      </c>
      <c r="M34">
        <f t="shared" si="10"/>
        <v>124.09970102154</v>
      </c>
      <c r="N34">
        <f t="shared" si="2"/>
        <v>0.34472139172650001</v>
      </c>
      <c r="O34">
        <f t="shared" si="3"/>
        <v>46.211245198535998</v>
      </c>
      <c r="P34">
        <f t="shared" si="4"/>
        <v>0</v>
      </c>
      <c r="Q34">
        <f t="shared" si="12"/>
        <v>0</v>
      </c>
      <c r="R34">
        <f t="shared" si="5"/>
        <v>102.64164637614101</v>
      </c>
      <c r="S34">
        <f t="shared" si="0"/>
        <v>0</v>
      </c>
      <c r="T34">
        <f t="shared" si="6"/>
        <v>105.86700886950219</v>
      </c>
      <c r="U34" s="3">
        <f t="shared" si="11"/>
        <v>0.55852906362779997</v>
      </c>
      <c r="V34">
        <f t="shared" si="7"/>
        <v>0</v>
      </c>
      <c r="W34" s="8">
        <f t="shared" si="1"/>
        <v>0</v>
      </c>
      <c r="X34" s="1">
        <f t="shared" si="8"/>
        <v>50.912154624450011</v>
      </c>
      <c r="Y34" s="18"/>
      <c r="Z34" s="7"/>
      <c r="AA34" s="1"/>
      <c r="AB34" s="1"/>
      <c r="AC34" s="1"/>
    </row>
    <row r="35" spans="1:29" x14ac:dyDescent="0.3">
      <c r="A35">
        <v>34</v>
      </c>
      <c r="E35">
        <v>-497.12960722179997</v>
      </c>
      <c r="F35">
        <v>66.576511230554004</v>
      </c>
      <c r="G35">
        <v>442.32552849180001</v>
      </c>
      <c r="H35">
        <v>46.191580355219998</v>
      </c>
      <c r="I35">
        <v>127.99626350672</v>
      </c>
      <c r="J35">
        <v>0.64707671912469999</v>
      </c>
      <c r="L35" s="1">
        <f t="shared" si="9"/>
        <v>3.8965624851799987</v>
      </c>
      <c r="M35">
        <f t="shared" si="10"/>
        <v>127.99626350672</v>
      </c>
      <c r="N35">
        <f t="shared" si="2"/>
        <v>0.35554517640755556</v>
      </c>
      <c r="O35">
        <f t="shared" si="3"/>
        <v>46.191580355219998</v>
      </c>
      <c r="P35">
        <f t="shared" si="4"/>
        <v>0</v>
      </c>
      <c r="Q35">
        <f t="shared" si="12"/>
        <v>0</v>
      </c>
      <c r="R35">
        <f t="shared" si="5"/>
        <v>102.64164637614101</v>
      </c>
      <c r="S35">
        <f t="shared" si="0"/>
        <v>0</v>
      </c>
      <c r="T35">
        <f t="shared" si="6"/>
        <v>105.86700886950219</v>
      </c>
      <c r="U35" s="3">
        <f t="shared" si="11"/>
        <v>0.64707671912469999</v>
      </c>
      <c r="V35">
        <f t="shared" si="7"/>
        <v>0</v>
      </c>
      <c r="W35" s="8">
        <f t="shared" si="1"/>
        <v>0</v>
      </c>
      <c r="X35" s="1">
        <f t="shared" si="8"/>
        <v>50.912154624450011</v>
      </c>
      <c r="Y35" s="18"/>
      <c r="Z35" s="7"/>
      <c r="AA35" s="1"/>
      <c r="AB35" s="1"/>
      <c r="AC35" s="1"/>
    </row>
    <row r="36" spans="1:29" x14ac:dyDescent="0.3">
      <c r="A36">
        <v>35</v>
      </c>
      <c r="E36">
        <v>-497.06963912470002</v>
      </c>
      <c r="F36">
        <v>63.95357932556</v>
      </c>
      <c r="G36">
        <v>440.59580046809998</v>
      </c>
      <c r="H36">
        <v>46.141818281386001</v>
      </c>
      <c r="I36">
        <v>131.89488001155999</v>
      </c>
      <c r="J36">
        <v>0.73961396629609999</v>
      </c>
      <c r="L36" s="1">
        <f t="shared" si="9"/>
        <v>3.8986165048399926</v>
      </c>
      <c r="M36">
        <f t="shared" si="10"/>
        <v>131.89488001155999</v>
      </c>
      <c r="N36">
        <f t="shared" si="2"/>
        <v>0.36637466669877777</v>
      </c>
      <c r="O36">
        <f t="shared" si="3"/>
        <v>46.141818281386001</v>
      </c>
      <c r="P36">
        <f t="shared" si="4"/>
        <v>0</v>
      </c>
      <c r="Q36">
        <f t="shared" si="12"/>
        <v>0</v>
      </c>
      <c r="R36">
        <f t="shared" si="5"/>
        <v>102.64164637614101</v>
      </c>
      <c r="S36">
        <f t="shared" si="0"/>
        <v>0</v>
      </c>
      <c r="T36">
        <f t="shared" si="6"/>
        <v>105.86700886950219</v>
      </c>
      <c r="U36" s="3">
        <f t="shared" si="11"/>
        <v>0.73961396629609999</v>
      </c>
      <c r="V36">
        <f t="shared" si="7"/>
        <v>0</v>
      </c>
      <c r="W36" s="8">
        <f t="shared" si="1"/>
        <v>0</v>
      </c>
      <c r="X36" s="1">
        <f t="shared" si="8"/>
        <v>50.912154624450011</v>
      </c>
      <c r="Y36" s="18"/>
      <c r="Z36" s="7"/>
      <c r="AA36" s="1"/>
      <c r="AB36" s="1"/>
      <c r="AC36" s="1"/>
    </row>
    <row r="37" spans="1:29" x14ac:dyDescent="0.3">
      <c r="A37">
        <v>36</v>
      </c>
      <c r="E37">
        <v>-497.04589750650001</v>
      </c>
      <c r="F37">
        <v>61.424634622578999</v>
      </c>
      <c r="G37">
        <v>438.73009671929998</v>
      </c>
      <c r="H37">
        <v>46.138058854564001</v>
      </c>
      <c r="I37">
        <v>135.79726325553</v>
      </c>
      <c r="J37">
        <v>0.81076432631259998</v>
      </c>
      <c r="L37" s="1">
        <f t="shared" si="9"/>
        <v>3.9023832439700072</v>
      </c>
      <c r="M37">
        <f t="shared" si="10"/>
        <v>135.79726325553</v>
      </c>
      <c r="N37">
        <f t="shared" si="2"/>
        <v>0.37721462015425</v>
      </c>
      <c r="O37">
        <f t="shared" si="3"/>
        <v>46.138058854564001</v>
      </c>
      <c r="P37">
        <f t="shared" si="4"/>
        <v>0</v>
      </c>
      <c r="Q37">
        <f t="shared" si="12"/>
        <v>0</v>
      </c>
      <c r="R37">
        <f t="shared" si="5"/>
        <v>102.64164637614101</v>
      </c>
      <c r="S37">
        <f t="shared" si="0"/>
        <v>0</v>
      </c>
      <c r="T37">
        <f t="shared" si="6"/>
        <v>105.86700886950219</v>
      </c>
      <c r="U37" s="3">
        <f t="shared" si="11"/>
        <v>0.81076432631259998</v>
      </c>
      <c r="V37">
        <f t="shared" si="7"/>
        <v>0</v>
      </c>
      <c r="W37" s="8">
        <f t="shared" si="1"/>
        <v>0</v>
      </c>
      <c r="X37" s="1">
        <f t="shared" si="8"/>
        <v>50.912154624450011</v>
      </c>
      <c r="Y37" s="18"/>
      <c r="Z37" s="7"/>
      <c r="AA37" s="1"/>
      <c r="AB37" s="1"/>
      <c r="AC37" s="1"/>
    </row>
    <row r="38" spans="1:29" x14ac:dyDescent="0.3">
      <c r="A38">
        <v>37</v>
      </c>
      <c r="E38">
        <v>-497.0696953977</v>
      </c>
      <c r="F38">
        <v>59.022967452856001</v>
      </c>
      <c r="G38">
        <v>436.70350186655003</v>
      </c>
      <c r="H38">
        <v>46.139752092285001</v>
      </c>
      <c r="I38">
        <v>139.70013055710001</v>
      </c>
      <c r="J38">
        <v>0.85260122504979996</v>
      </c>
      <c r="L38" s="1">
        <f t="shared" si="9"/>
        <v>3.9028673015700122</v>
      </c>
      <c r="M38">
        <f t="shared" si="10"/>
        <v>139.70013055710001</v>
      </c>
      <c r="N38">
        <f t="shared" si="2"/>
        <v>0.38805591821416668</v>
      </c>
      <c r="O38">
        <f t="shared" si="3"/>
        <v>46.139752092285001</v>
      </c>
      <c r="P38">
        <f t="shared" si="4"/>
        <v>0</v>
      </c>
      <c r="Q38">
        <f t="shared" si="12"/>
        <v>0</v>
      </c>
      <c r="R38">
        <f t="shared" si="5"/>
        <v>102.64164637614101</v>
      </c>
      <c r="S38">
        <f t="shared" si="0"/>
        <v>0</v>
      </c>
      <c r="T38">
        <f t="shared" si="6"/>
        <v>105.86700886950219</v>
      </c>
      <c r="U38" s="3">
        <f t="shared" si="11"/>
        <v>0.85260122504979996</v>
      </c>
      <c r="V38">
        <f t="shared" si="7"/>
        <v>0</v>
      </c>
      <c r="W38" s="8">
        <f t="shared" si="1"/>
        <v>0</v>
      </c>
      <c r="X38" s="1">
        <f t="shared" si="8"/>
        <v>50.912154624450011</v>
      </c>
      <c r="Y38" s="18"/>
      <c r="Z38" s="7"/>
      <c r="AA38" s="1"/>
      <c r="AB38" s="1"/>
      <c r="AC38" s="1"/>
    </row>
    <row r="39" spans="1:29" x14ac:dyDescent="0.3">
      <c r="A39">
        <v>38</v>
      </c>
      <c r="E39">
        <v>-497.08439858880001</v>
      </c>
      <c r="F39">
        <v>56.776034355253003</v>
      </c>
      <c r="G39">
        <v>434.50643562059997</v>
      </c>
      <c r="H39">
        <v>46.126838437007002</v>
      </c>
      <c r="I39">
        <v>143.60286747487001</v>
      </c>
      <c r="J39">
        <v>0.92340635866510001</v>
      </c>
      <c r="L39" s="1">
        <f t="shared" si="9"/>
        <v>3.9027369177699995</v>
      </c>
      <c r="M39">
        <f t="shared" si="10"/>
        <v>143.60286747487001</v>
      </c>
      <c r="N39">
        <f t="shared" si="2"/>
        <v>0.39889685409686115</v>
      </c>
      <c r="O39">
        <f t="shared" si="3"/>
        <v>46.126838437007002</v>
      </c>
      <c r="P39">
        <f t="shared" si="4"/>
        <v>0</v>
      </c>
      <c r="Q39">
        <f t="shared" si="12"/>
        <v>0</v>
      </c>
      <c r="R39">
        <f t="shared" si="5"/>
        <v>102.64164637614101</v>
      </c>
      <c r="S39">
        <f t="shared" si="0"/>
        <v>0</v>
      </c>
      <c r="T39">
        <f t="shared" si="6"/>
        <v>105.86700886950219</v>
      </c>
      <c r="U39" s="3">
        <f t="shared" si="11"/>
        <v>0.92340635866510001</v>
      </c>
      <c r="V39">
        <f t="shared" si="7"/>
        <v>0</v>
      </c>
      <c r="W39" s="8">
        <f t="shared" si="1"/>
        <v>0</v>
      </c>
      <c r="X39" s="1">
        <f t="shared" si="8"/>
        <v>50.912154624450011</v>
      </c>
      <c r="Y39" s="18"/>
      <c r="Z39" s="7"/>
      <c r="AA39" s="1"/>
      <c r="AB39" s="1"/>
      <c r="AC39" s="1"/>
    </row>
    <row r="40" spans="1:29" x14ac:dyDescent="0.3">
      <c r="A40">
        <v>39</v>
      </c>
      <c r="E40">
        <v>-497.08038200049998</v>
      </c>
      <c r="F40">
        <v>54.690350820192002</v>
      </c>
      <c r="G40">
        <v>432.15571179245001</v>
      </c>
      <c r="H40">
        <v>46.107493984557003</v>
      </c>
      <c r="I40">
        <v>147.50559518016999</v>
      </c>
      <c r="J40">
        <v>1.0316810329820001</v>
      </c>
      <c r="L40" s="1">
        <f t="shared" si="9"/>
        <v>3.9027277052999807</v>
      </c>
      <c r="M40">
        <f t="shared" si="10"/>
        <v>147.50559518016999</v>
      </c>
      <c r="N40">
        <f t="shared" si="2"/>
        <v>0.4097377643893611</v>
      </c>
      <c r="O40">
        <f t="shared" si="3"/>
        <v>46.107493984557003</v>
      </c>
      <c r="P40">
        <f t="shared" si="4"/>
        <v>0</v>
      </c>
      <c r="Q40">
        <f t="shared" si="12"/>
        <v>0</v>
      </c>
      <c r="R40">
        <f t="shared" si="5"/>
        <v>102.64164637614101</v>
      </c>
      <c r="S40">
        <f t="shared" si="0"/>
        <v>0</v>
      </c>
      <c r="T40">
        <f t="shared" si="6"/>
        <v>105.86700886950219</v>
      </c>
      <c r="U40" s="3">
        <f t="shared" si="11"/>
        <v>1.0316810329820001</v>
      </c>
      <c r="V40">
        <f t="shared" si="7"/>
        <v>0</v>
      </c>
      <c r="W40" s="8">
        <f t="shared" si="1"/>
        <v>0</v>
      </c>
      <c r="X40" s="1">
        <f t="shared" si="8"/>
        <v>50.912154624450011</v>
      </c>
      <c r="Y40" s="18"/>
      <c r="Z40" s="7"/>
      <c r="AA40" s="1"/>
      <c r="AB40" s="1"/>
      <c r="AC40" s="1"/>
    </row>
    <row r="41" spans="1:29" x14ac:dyDescent="0.3">
      <c r="A41">
        <v>40</v>
      </c>
      <c r="E41">
        <v>-497.08991788079999</v>
      </c>
      <c r="F41">
        <v>52.768198494288001</v>
      </c>
      <c r="G41">
        <v>429.66947971101001</v>
      </c>
      <c r="H41">
        <v>46.089304675064</v>
      </c>
      <c r="I41">
        <v>151.4097707654</v>
      </c>
      <c r="J41">
        <v>1.1439203856435001</v>
      </c>
      <c r="L41" s="1">
        <f t="shared" si="9"/>
        <v>3.9041755852300071</v>
      </c>
      <c r="M41">
        <f t="shared" si="10"/>
        <v>151.4097707654</v>
      </c>
      <c r="N41">
        <f t="shared" si="2"/>
        <v>0.42058269657055553</v>
      </c>
      <c r="O41">
        <f t="shared" si="3"/>
        <v>46.089304675064</v>
      </c>
      <c r="P41">
        <f t="shared" si="4"/>
        <v>0</v>
      </c>
      <c r="Q41">
        <f t="shared" si="12"/>
        <v>0</v>
      </c>
      <c r="R41">
        <f t="shared" si="5"/>
        <v>102.64164637614101</v>
      </c>
      <c r="S41">
        <f t="shared" si="0"/>
        <v>0</v>
      </c>
      <c r="T41">
        <f t="shared" si="6"/>
        <v>105.86700886950219</v>
      </c>
      <c r="U41" s="3">
        <f t="shared" si="11"/>
        <v>1.1439203856435001</v>
      </c>
      <c r="V41">
        <f t="shared" si="7"/>
        <v>0</v>
      </c>
      <c r="W41" s="8">
        <f t="shared" si="1"/>
        <v>0</v>
      </c>
      <c r="X41" s="1">
        <f t="shared" si="8"/>
        <v>50.912154624450011</v>
      </c>
      <c r="Y41" s="18"/>
      <c r="Z41" s="7"/>
      <c r="AA41" s="1"/>
      <c r="AB41" s="1"/>
      <c r="AC41" s="1"/>
    </row>
    <row r="42" spans="1:29" x14ac:dyDescent="0.3">
      <c r="A42">
        <v>41</v>
      </c>
      <c r="E42">
        <v>-497.1467728527</v>
      </c>
      <c r="F42">
        <v>50.988605126145998</v>
      </c>
      <c r="G42">
        <v>427.07984797252999</v>
      </c>
      <c r="H42">
        <v>46.105862721968002</v>
      </c>
      <c r="I42">
        <v>155.31533313254999</v>
      </c>
      <c r="J42">
        <v>1.2230737324609</v>
      </c>
      <c r="L42" s="1">
        <f t="shared" si="9"/>
        <v>3.9055623671499973</v>
      </c>
      <c r="M42">
        <f t="shared" si="10"/>
        <v>155.31533313254999</v>
      </c>
      <c r="N42">
        <f t="shared" si="2"/>
        <v>0.43143148092375</v>
      </c>
      <c r="O42">
        <f t="shared" si="3"/>
        <v>46.105862721968002</v>
      </c>
      <c r="P42">
        <f t="shared" si="4"/>
        <v>0</v>
      </c>
      <c r="Q42">
        <f t="shared" si="12"/>
        <v>0</v>
      </c>
      <c r="R42">
        <f t="shared" si="5"/>
        <v>102.64164637614101</v>
      </c>
      <c r="S42">
        <f t="shared" si="0"/>
        <v>0</v>
      </c>
      <c r="T42">
        <f t="shared" si="6"/>
        <v>105.86700886950219</v>
      </c>
      <c r="U42" s="3">
        <f t="shared" si="11"/>
        <v>1.2230737324609</v>
      </c>
      <c r="V42">
        <f t="shared" si="7"/>
        <v>0</v>
      </c>
      <c r="W42" s="8">
        <f t="shared" si="1"/>
        <v>0</v>
      </c>
      <c r="X42" s="1">
        <f t="shared" si="8"/>
        <v>50.912154624450011</v>
      </c>
      <c r="Y42" s="18"/>
      <c r="Z42" s="7"/>
      <c r="AA42" s="1"/>
      <c r="AB42" s="1"/>
      <c r="AC42" s="1"/>
    </row>
    <row r="43" spans="1:29" x14ac:dyDescent="0.3">
      <c r="A43">
        <v>42</v>
      </c>
      <c r="E43">
        <v>-497.1866999838</v>
      </c>
      <c r="F43">
        <v>49.405750523382999</v>
      </c>
      <c r="G43">
        <v>424.36531686863998</v>
      </c>
      <c r="H43">
        <v>46.105370671473999</v>
      </c>
      <c r="I43">
        <v>159.21880455578</v>
      </c>
      <c r="J43">
        <v>1.3370387351438999</v>
      </c>
      <c r="L43" s="1">
        <f t="shared" si="9"/>
        <v>3.9034714232300018</v>
      </c>
      <c r="M43">
        <f t="shared" si="10"/>
        <v>159.21880455578</v>
      </c>
      <c r="N43">
        <f t="shared" si="2"/>
        <v>0.4422744570993889</v>
      </c>
      <c r="O43">
        <f t="shared" si="3"/>
        <v>46.105370671473999</v>
      </c>
      <c r="P43">
        <f t="shared" si="4"/>
        <v>0</v>
      </c>
      <c r="Q43">
        <f t="shared" si="12"/>
        <v>0</v>
      </c>
      <c r="R43">
        <f t="shared" si="5"/>
        <v>102.64164637614101</v>
      </c>
      <c r="S43">
        <f t="shared" si="0"/>
        <v>0</v>
      </c>
      <c r="T43">
        <f t="shared" si="6"/>
        <v>105.86700886950219</v>
      </c>
      <c r="U43" s="3">
        <f t="shared" si="11"/>
        <v>1.3370387351438999</v>
      </c>
      <c r="V43">
        <f t="shared" si="7"/>
        <v>0</v>
      </c>
      <c r="W43" s="8">
        <f t="shared" si="1"/>
        <v>0</v>
      </c>
      <c r="X43" s="1">
        <f t="shared" si="8"/>
        <v>50.912154624450011</v>
      </c>
      <c r="Y43" s="18"/>
      <c r="Z43" s="7"/>
      <c r="AA43" s="1"/>
      <c r="AB43" s="1"/>
      <c r="AC43" s="1"/>
    </row>
    <row r="44" spans="1:29" x14ac:dyDescent="0.3">
      <c r="A44">
        <v>43</v>
      </c>
      <c r="E44">
        <v>-497.21996751180001</v>
      </c>
      <c r="F44">
        <v>48.020770229518</v>
      </c>
      <c r="G44">
        <v>421.54452737967</v>
      </c>
      <c r="H44">
        <v>46.095235131256999</v>
      </c>
      <c r="I44">
        <v>163.12164043651001</v>
      </c>
      <c r="J44">
        <v>1.4741400760272001</v>
      </c>
      <c r="L44" s="1">
        <f t="shared" si="9"/>
        <v>3.9028358807300094</v>
      </c>
      <c r="M44">
        <f t="shared" si="10"/>
        <v>163.12164043651001</v>
      </c>
      <c r="N44">
        <f t="shared" si="2"/>
        <v>0.45311566787919444</v>
      </c>
      <c r="O44">
        <f t="shared" si="3"/>
        <v>46.095235131256999</v>
      </c>
      <c r="P44">
        <f t="shared" si="4"/>
        <v>0</v>
      </c>
      <c r="Q44">
        <f t="shared" si="12"/>
        <v>0</v>
      </c>
      <c r="R44">
        <f t="shared" si="5"/>
        <v>102.64164637614101</v>
      </c>
      <c r="S44">
        <f t="shared" si="0"/>
        <v>0</v>
      </c>
      <c r="T44">
        <f t="shared" si="6"/>
        <v>105.86700886950219</v>
      </c>
      <c r="U44" s="3">
        <f t="shared" si="11"/>
        <v>1.4741400760272001</v>
      </c>
      <c r="V44">
        <f t="shared" si="7"/>
        <v>0</v>
      </c>
      <c r="W44" s="8">
        <f t="shared" si="1"/>
        <v>0</v>
      </c>
      <c r="X44" s="1">
        <f t="shared" si="8"/>
        <v>50.912154624450011</v>
      </c>
      <c r="Y44" s="18"/>
      <c r="Z44" s="7"/>
      <c r="AA44" s="1"/>
      <c r="AB44" s="1"/>
      <c r="AC44" s="1"/>
    </row>
    <row r="45" spans="1:29" x14ac:dyDescent="0.3">
      <c r="A45">
        <v>44</v>
      </c>
      <c r="E45">
        <v>-497.29963012770003</v>
      </c>
      <c r="F45">
        <v>46.783882311382001</v>
      </c>
      <c r="G45">
        <v>418.65672840078003</v>
      </c>
      <c r="H45">
        <v>46.133621205175999</v>
      </c>
      <c r="I45">
        <v>167.02456004902001</v>
      </c>
      <c r="J45">
        <v>1.5763817939911999</v>
      </c>
      <c r="L45" s="1">
        <f t="shared" si="9"/>
        <v>3.9029196125100043</v>
      </c>
      <c r="M45">
        <f t="shared" si="10"/>
        <v>167.02456004902001</v>
      </c>
      <c r="N45">
        <f t="shared" si="2"/>
        <v>0.46395711124727779</v>
      </c>
      <c r="O45">
        <f t="shared" si="3"/>
        <v>46.133621205175999</v>
      </c>
      <c r="P45">
        <f t="shared" si="4"/>
        <v>0</v>
      </c>
      <c r="Q45">
        <f t="shared" si="12"/>
        <v>0</v>
      </c>
      <c r="R45">
        <f t="shared" si="5"/>
        <v>102.64164637614101</v>
      </c>
      <c r="S45">
        <f t="shared" si="0"/>
        <v>0</v>
      </c>
      <c r="T45">
        <f t="shared" si="6"/>
        <v>105.86700886950219</v>
      </c>
      <c r="U45" s="3">
        <f t="shared" si="11"/>
        <v>1.5763817939911999</v>
      </c>
      <c r="V45">
        <f t="shared" si="7"/>
        <v>0</v>
      </c>
      <c r="W45" s="8">
        <f t="shared" si="1"/>
        <v>0</v>
      </c>
      <c r="X45" s="1">
        <f t="shared" si="8"/>
        <v>50.912154624450011</v>
      </c>
      <c r="Y45" s="18"/>
      <c r="Z45" s="7"/>
      <c r="AA45" s="1"/>
      <c r="AB45" s="1"/>
      <c r="AC45" s="1"/>
    </row>
    <row r="46" spans="1:29" x14ac:dyDescent="0.3">
      <c r="A46">
        <v>45</v>
      </c>
      <c r="E46">
        <v>-497.34920499740002</v>
      </c>
      <c r="F46">
        <v>45.747861582052998</v>
      </c>
      <c r="G46">
        <v>415.69006374062002</v>
      </c>
      <c r="H46">
        <v>46.17239925514</v>
      </c>
      <c r="I46">
        <v>170.92227644278</v>
      </c>
      <c r="J46">
        <v>1.7230183049414001</v>
      </c>
      <c r="L46" s="1">
        <f t="shared" si="9"/>
        <v>3.8977163937599926</v>
      </c>
      <c r="M46">
        <f t="shared" si="10"/>
        <v>170.92227644278</v>
      </c>
      <c r="N46">
        <f t="shared" si="2"/>
        <v>0.47478410122994447</v>
      </c>
      <c r="O46">
        <f t="shared" si="3"/>
        <v>46.17239925514</v>
      </c>
      <c r="P46">
        <f t="shared" si="4"/>
        <v>0</v>
      </c>
      <c r="Q46">
        <f t="shared" si="12"/>
        <v>0</v>
      </c>
      <c r="R46">
        <f t="shared" si="5"/>
        <v>102.64164637614101</v>
      </c>
      <c r="S46">
        <f t="shared" si="0"/>
        <v>0</v>
      </c>
      <c r="T46">
        <f t="shared" si="6"/>
        <v>105.86700886950219</v>
      </c>
      <c r="U46" s="3">
        <f t="shared" si="11"/>
        <v>1.7230183049414001</v>
      </c>
      <c r="V46">
        <f t="shared" si="7"/>
        <v>0</v>
      </c>
      <c r="W46" s="8">
        <f t="shared" si="1"/>
        <v>0</v>
      </c>
      <c r="X46" s="1">
        <f t="shared" si="8"/>
        <v>50.912154624450011</v>
      </c>
      <c r="Y46" s="18"/>
      <c r="Z46" s="7"/>
      <c r="AA46" s="1"/>
      <c r="AB46" s="1"/>
      <c r="AC46" s="1"/>
    </row>
    <row r="47" spans="1:29" x14ac:dyDescent="0.3">
      <c r="A47">
        <v>46</v>
      </c>
      <c r="E47">
        <v>-497.41859170020001</v>
      </c>
      <c r="F47">
        <v>44.900368974842003</v>
      </c>
      <c r="G47">
        <v>412.66452081029001</v>
      </c>
      <c r="H47">
        <v>46.226266810405001</v>
      </c>
      <c r="I47">
        <v>174.81623984314001</v>
      </c>
      <c r="J47">
        <v>1.8622511665000001</v>
      </c>
      <c r="L47" s="1">
        <f t="shared" si="9"/>
        <v>3.8939634003600077</v>
      </c>
      <c r="M47">
        <f t="shared" si="10"/>
        <v>174.81623984314001</v>
      </c>
      <c r="N47">
        <f t="shared" si="2"/>
        <v>0.4856006662309445</v>
      </c>
      <c r="O47">
        <f t="shared" si="3"/>
        <v>46.226266810405001</v>
      </c>
      <c r="P47">
        <f t="shared" si="4"/>
        <v>0</v>
      </c>
      <c r="Q47">
        <f t="shared" si="12"/>
        <v>0</v>
      </c>
      <c r="R47">
        <f t="shared" si="5"/>
        <v>102.64164637614101</v>
      </c>
      <c r="S47">
        <f t="shared" si="0"/>
        <v>0</v>
      </c>
      <c r="T47">
        <f t="shared" si="6"/>
        <v>105.86700886950219</v>
      </c>
      <c r="U47" s="3">
        <f t="shared" si="11"/>
        <v>1.8622511665000001</v>
      </c>
      <c r="V47">
        <f t="shared" si="7"/>
        <v>0</v>
      </c>
      <c r="W47" s="8">
        <f t="shared" si="1"/>
        <v>0</v>
      </c>
      <c r="X47" s="1">
        <f t="shared" si="8"/>
        <v>50.912154624450011</v>
      </c>
      <c r="Y47" s="18"/>
      <c r="Z47" s="7"/>
      <c r="AA47" s="1"/>
      <c r="AB47" s="1"/>
      <c r="AC47" s="1"/>
    </row>
    <row r="48" spans="1:29" x14ac:dyDescent="0.3">
      <c r="A48">
        <v>47</v>
      </c>
      <c r="E48">
        <v>-497.49989056639998</v>
      </c>
      <c r="F48">
        <v>44.252737578346</v>
      </c>
      <c r="G48">
        <v>409.59055310809998</v>
      </c>
      <c r="H48">
        <v>46.287331953844998</v>
      </c>
      <c r="I48">
        <v>178.70486937717999</v>
      </c>
      <c r="J48">
        <v>2.0015675295033</v>
      </c>
      <c r="L48" s="1">
        <f t="shared" si="9"/>
        <v>3.8886295340399784</v>
      </c>
      <c r="M48">
        <f t="shared" si="10"/>
        <v>178.70486937717999</v>
      </c>
      <c r="N48">
        <f t="shared" si="2"/>
        <v>0.49640241493661108</v>
      </c>
      <c r="O48">
        <f t="shared" si="3"/>
        <v>46.287331953844998</v>
      </c>
      <c r="P48">
        <f t="shared" si="4"/>
        <v>0</v>
      </c>
      <c r="Q48">
        <f t="shared" si="12"/>
        <v>0</v>
      </c>
      <c r="R48">
        <f t="shared" si="5"/>
        <v>102.64164637614101</v>
      </c>
      <c r="S48">
        <f t="shared" si="0"/>
        <v>0</v>
      </c>
      <c r="T48">
        <f t="shared" si="6"/>
        <v>105.86700886950219</v>
      </c>
      <c r="U48" s="3">
        <f t="shared" si="11"/>
        <v>2.0015675295033</v>
      </c>
      <c r="V48">
        <f t="shared" si="7"/>
        <v>0</v>
      </c>
      <c r="W48" s="8">
        <f t="shared" si="1"/>
        <v>0</v>
      </c>
      <c r="X48" s="1">
        <f t="shared" si="8"/>
        <v>50.912154624450011</v>
      </c>
      <c r="Y48" s="18"/>
      <c r="Z48" s="16" t="s">
        <v>28</v>
      </c>
      <c r="AA48" s="1"/>
      <c r="AB48" s="7" t="s">
        <v>33</v>
      </c>
      <c r="AC48" s="8">
        <v>11</v>
      </c>
    </row>
    <row r="49" spans="1:29" x14ac:dyDescent="0.3">
      <c r="A49">
        <v>48</v>
      </c>
      <c r="E49">
        <v>-497.543686514</v>
      </c>
      <c r="F49">
        <v>43.841492509151998</v>
      </c>
      <c r="G49">
        <v>406.47507906341002</v>
      </c>
      <c r="H49">
        <v>46.323450074089003</v>
      </c>
      <c r="I49">
        <v>-177.41298751439999</v>
      </c>
      <c r="J49">
        <v>2.1911024583751</v>
      </c>
      <c r="L49" s="1">
        <f t="shared" si="9"/>
        <v>-356.11785689158</v>
      </c>
      <c r="M49">
        <f t="shared" si="10"/>
        <v>182.59349891121997</v>
      </c>
      <c r="N49">
        <f t="shared" si="2"/>
        <v>0.50720416364227772</v>
      </c>
      <c r="O49">
        <f t="shared" si="3"/>
        <v>46.323450074089003</v>
      </c>
      <c r="P49">
        <f t="shared" si="4"/>
        <v>2</v>
      </c>
      <c r="Q49">
        <f t="shared" si="12"/>
        <v>92.077003938258997</v>
      </c>
      <c r="R49">
        <f t="shared" si="5"/>
        <v>92.077003938258997</v>
      </c>
      <c r="S49">
        <f t="shared" si="0"/>
        <v>92.264369317626574</v>
      </c>
      <c r="T49">
        <f t="shared" si="6"/>
        <v>92.264369317626574</v>
      </c>
      <c r="U49" s="3">
        <f t="shared" si="11"/>
        <v>2.1911024583751</v>
      </c>
      <c r="V49">
        <f t="shared" si="7"/>
        <v>0</v>
      </c>
      <c r="W49" s="8">
        <f t="shared" si="1"/>
        <v>0</v>
      </c>
      <c r="X49" s="1">
        <f t="shared" si="8"/>
        <v>50.912154624450011</v>
      </c>
      <c r="Y49" s="18"/>
      <c r="Z49" s="11" t="s">
        <v>15</v>
      </c>
      <c r="AA49" s="11" t="s">
        <v>41</v>
      </c>
      <c r="AB49" s="9" t="s">
        <v>42</v>
      </c>
      <c r="AC49" s="9" t="s">
        <v>43</v>
      </c>
    </row>
    <row r="50" spans="1:29" x14ac:dyDescent="0.3">
      <c r="A50">
        <v>49</v>
      </c>
      <c r="E50">
        <v>-497.60012997500002</v>
      </c>
      <c r="F50">
        <v>43.628603498978002</v>
      </c>
      <c r="G50">
        <v>403.34027420391999</v>
      </c>
      <c r="H50">
        <v>46.372313236701999</v>
      </c>
      <c r="I50">
        <v>-173.53472975650001</v>
      </c>
      <c r="J50">
        <v>2.3775954612947001</v>
      </c>
      <c r="L50" s="1">
        <f t="shared" si="9"/>
        <v>3.8782577578999735</v>
      </c>
      <c r="M50">
        <f t="shared" si="10"/>
        <v>186.47175666911994</v>
      </c>
      <c r="N50">
        <f t="shared" si="2"/>
        <v>0.51797710185866652</v>
      </c>
      <c r="O50">
        <f t="shared" si="3"/>
        <v>46.372313236701999</v>
      </c>
      <c r="P50">
        <f t="shared" si="4"/>
        <v>3</v>
      </c>
      <c r="Q50">
        <f t="shared" si="12"/>
        <v>92.211218485989008</v>
      </c>
      <c r="R50">
        <f t="shared" si="5"/>
        <v>92.211218485989008</v>
      </c>
      <c r="S50">
        <f t="shared" si="0"/>
        <v>92.399258619489331</v>
      </c>
      <c r="T50">
        <f t="shared" si="6"/>
        <v>92.399258619489331</v>
      </c>
      <c r="U50" s="3">
        <f t="shared" si="11"/>
        <v>2.3775954612947001</v>
      </c>
      <c r="V50">
        <f>IFERROR(MATCH(N50-1,N:N,1),0)</f>
        <v>0</v>
      </c>
      <c r="W50" s="8">
        <f t="shared" si="1"/>
        <v>0</v>
      </c>
      <c r="X50" s="1">
        <f t="shared" si="8"/>
        <v>50.912154624450011</v>
      </c>
      <c r="Y50" s="18"/>
      <c r="Z50" s="21">
        <v>1</v>
      </c>
      <c r="AA50" s="14" t="s">
        <v>29</v>
      </c>
      <c r="AB50" s="13">
        <f>AB9+AC48</f>
        <v>113.64164637614101</v>
      </c>
      <c r="AC50" s="13">
        <f>AC9</f>
        <v>2.6468155800391946</v>
      </c>
    </row>
    <row r="51" spans="1:29" x14ac:dyDescent="0.3">
      <c r="A51">
        <v>50</v>
      </c>
      <c r="E51">
        <v>-497.6761247897</v>
      </c>
      <c r="F51">
        <v>43.613920859888999</v>
      </c>
      <c r="G51">
        <v>400.19880437316999</v>
      </c>
      <c r="H51">
        <v>46.434417424774999</v>
      </c>
      <c r="I51">
        <v>-169.6607550249</v>
      </c>
      <c r="J51">
        <v>2.5531491676120002</v>
      </c>
      <c r="L51" s="1">
        <f t="shared" si="9"/>
        <v>3.8739747316000148</v>
      </c>
      <c r="M51">
        <f t="shared" si="10"/>
        <v>190.34573140071996</v>
      </c>
      <c r="N51">
        <f t="shared" si="2"/>
        <v>0.52873814277977771</v>
      </c>
      <c r="O51">
        <f t="shared" si="3"/>
        <v>46.434417424774999</v>
      </c>
      <c r="P51">
        <f t="shared" si="4"/>
        <v>4</v>
      </c>
      <c r="Q51">
        <f t="shared" si="12"/>
        <v>92.229659563634996</v>
      </c>
      <c r="R51">
        <f t="shared" si="5"/>
        <v>92.229659563634996</v>
      </c>
      <c r="S51">
        <f t="shared" si="0"/>
        <v>92.418560805749252</v>
      </c>
      <c r="T51">
        <f t="shared" si="6"/>
        <v>92.418560805749252</v>
      </c>
      <c r="U51" s="3">
        <f t="shared" si="11"/>
        <v>2.5531491676120002</v>
      </c>
      <c r="V51">
        <f t="shared" si="7"/>
        <v>0</v>
      </c>
      <c r="W51" s="8">
        <f t="shared" si="1"/>
        <v>0</v>
      </c>
      <c r="X51" s="1">
        <f t="shared" si="8"/>
        <v>50.912154624450011</v>
      </c>
      <c r="Y51" s="18"/>
      <c r="Z51" s="21">
        <v>2</v>
      </c>
      <c r="AA51" s="14" t="s">
        <v>31</v>
      </c>
      <c r="AB51" s="13">
        <f>INDEX(S:S,MATCH(AC51,N:N)+1)-AC48</f>
        <v>81.264369317626574</v>
      </c>
      <c r="AC51" s="13">
        <v>0.5</v>
      </c>
    </row>
    <row r="52" spans="1:29" x14ac:dyDescent="0.3">
      <c r="A52">
        <v>51</v>
      </c>
      <c r="E52">
        <v>-497.73456959470002</v>
      </c>
      <c r="F52">
        <v>43.808764529521</v>
      </c>
      <c r="G52">
        <v>397.06271250115998</v>
      </c>
      <c r="H52">
        <v>46.499590769840999</v>
      </c>
      <c r="I52">
        <v>-165.7937335499</v>
      </c>
      <c r="J52">
        <v>2.7542066277048001</v>
      </c>
      <c r="L52" s="1">
        <f t="shared" si="9"/>
        <v>3.8670214750000014</v>
      </c>
      <c r="M52">
        <f t="shared" si="10"/>
        <v>194.21275287571996</v>
      </c>
      <c r="N52">
        <f t="shared" si="2"/>
        <v>0.53947986909922208</v>
      </c>
      <c r="O52">
        <f t="shared" si="3"/>
        <v>46.499590769840999</v>
      </c>
      <c r="P52">
        <f t="shared" si="4"/>
        <v>5</v>
      </c>
      <c r="Q52">
        <f t="shared" si="12"/>
        <v>92.390882973894009</v>
      </c>
      <c r="R52">
        <f t="shared" si="5"/>
        <v>92.390882973894009</v>
      </c>
      <c r="S52">
        <f t="shared" si="0"/>
        <v>92.575262433886508</v>
      </c>
      <c r="T52">
        <f t="shared" si="6"/>
        <v>92.575262433886508</v>
      </c>
      <c r="U52" s="3">
        <f t="shared" si="11"/>
        <v>2.7542066277048001</v>
      </c>
      <c r="V52">
        <f t="shared" si="7"/>
        <v>0</v>
      </c>
      <c r="W52" s="8">
        <f t="shared" si="1"/>
        <v>0</v>
      </c>
      <c r="X52" s="1">
        <f t="shared" si="8"/>
        <v>50.912154624450011</v>
      </c>
      <c r="Y52" s="18"/>
      <c r="Z52" s="21">
        <v>3</v>
      </c>
      <c r="AA52" s="14" t="s">
        <v>32</v>
      </c>
      <c r="AB52" s="13">
        <f>INDEX(S:S,MATCH(AC52,N:N)+1)+AC48</f>
        <v>107.16740428505872</v>
      </c>
      <c r="AC52" s="13">
        <v>1</v>
      </c>
    </row>
    <row r="53" spans="1:29" x14ac:dyDescent="0.3">
      <c r="A53">
        <v>52</v>
      </c>
      <c r="E53">
        <v>-497.76494945669998</v>
      </c>
      <c r="F53">
        <v>44.176005045254001</v>
      </c>
      <c r="G53">
        <v>393.94182208253</v>
      </c>
      <c r="H53">
        <v>46.603920229408999</v>
      </c>
      <c r="I53">
        <v>-161.93808130310001</v>
      </c>
      <c r="J53">
        <v>2.9889544399885999</v>
      </c>
      <c r="L53" s="1">
        <f t="shared" si="9"/>
        <v>3.8556522467999912</v>
      </c>
      <c r="M53">
        <f t="shared" si="10"/>
        <v>198.06840512251995</v>
      </c>
      <c r="N53">
        <f t="shared" si="2"/>
        <v>0.55019001422922209</v>
      </c>
      <c r="O53">
        <f t="shared" si="3"/>
        <v>46.603920229408999</v>
      </c>
      <c r="P53">
        <f t="shared" si="4"/>
        <v>6</v>
      </c>
      <c r="Q53">
        <f t="shared" si="12"/>
        <v>92.563747511198997</v>
      </c>
      <c r="R53">
        <f t="shared" si="5"/>
        <v>92.563747511198997</v>
      </c>
      <c r="S53">
        <f t="shared" si="0"/>
        <v>92.749994031242338</v>
      </c>
      <c r="T53">
        <f t="shared" si="6"/>
        <v>92.749994031242338</v>
      </c>
      <c r="U53" s="3">
        <f t="shared" si="11"/>
        <v>2.9889544399885999</v>
      </c>
      <c r="V53">
        <f t="shared" si="7"/>
        <v>0</v>
      </c>
      <c r="W53" s="8">
        <f t="shared" si="1"/>
        <v>0</v>
      </c>
      <c r="X53" s="1">
        <f t="shared" si="8"/>
        <v>50.912154624450011</v>
      </c>
      <c r="Y53" s="18"/>
      <c r="Z53" s="21">
        <v>4</v>
      </c>
      <c r="AA53" s="14" t="s">
        <v>34</v>
      </c>
      <c r="AB53" s="13">
        <f>INDEX(W:W,MATCH(AC53,N:N)+1)+AC48</f>
        <v>35.914850183252</v>
      </c>
      <c r="AC53" s="13">
        <v>1</v>
      </c>
    </row>
    <row r="54" spans="1:29" x14ac:dyDescent="0.3">
      <c r="A54">
        <v>53</v>
      </c>
      <c r="E54">
        <v>-497.80714548840001</v>
      </c>
      <c r="F54">
        <v>44.792970443378998</v>
      </c>
      <c r="G54">
        <v>390.86063565452002</v>
      </c>
      <c r="H54">
        <v>46.665856047422999</v>
      </c>
      <c r="I54">
        <v>-158.08740252800001</v>
      </c>
      <c r="J54">
        <v>3.2188288710194</v>
      </c>
      <c r="L54" s="1">
        <f t="shared" si="9"/>
        <v>3.8506787750999933</v>
      </c>
      <c r="M54">
        <f t="shared" si="10"/>
        <v>201.91908389761994</v>
      </c>
      <c r="N54">
        <f t="shared" si="2"/>
        <v>0.56088634416005534</v>
      </c>
      <c r="O54">
        <f t="shared" si="3"/>
        <v>46.665856047422999</v>
      </c>
      <c r="P54">
        <f t="shared" si="4"/>
        <v>7</v>
      </c>
      <c r="Q54">
        <f t="shared" si="12"/>
        <v>92.704611899157001</v>
      </c>
      <c r="R54">
        <f t="shared" si="5"/>
        <v>92.704611899157001</v>
      </c>
      <c r="S54">
        <f t="shared" si="0"/>
        <v>92.892326297202615</v>
      </c>
      <c r="T54">
        <f t="shared" si="6"/>
        <v>92.892326297202615</v>
      </c>
      <c r="U54" s="3">
        <f t="shared" si="11"/>
        <v>3.2188288710194</v>
      </c>
      <c r="V54">
        <f t="shared" si="7"/>
        <v>0</v>
      </c>
      <c r="W54" s="8">
        <f t="shared" si="1"/>
        <v>0</v>
      </c>
      <c r="X54" s="1">
        <f t="shared" si="8"/>
        <v>50.912154624450011</v>
      </c>
      <c r="Y54" s="18"/>
      <c r="Z54" s="21">
        <v>5</v>
      </c>
      <c r="AA54" s="14" t="s">
        <v>35</v>
      </c>
      <c r="AB54" s="13">
        <f>AB53+AC48</f>
        <v>46.914850183252</v>
      </c>
      <c r="AC54" s="13">
        <v>1</v>
      </c>
    </row>
    <row r="55" spans="1:29" x14ac:dyDescent="0.3">
      <c r="A55">
        <v>54</v>
      </c>
      <c r="E55">
        <v>-497.82698454749999</v>
      </c>
      <c r="F55">
        <v>45.627655856026003</v>
      </c>
      <c r="G55">
        <v>387.83104699768001</v>
      </c>
      <c r="H55">
        <v>46.714839725944003</v>
      </c>
      <c r="I55">
        <v>-154.24370995149999</v>
      </c>
      <c r="J55">
        <v>3.4756200983241001</v>
      </c>
      <c r="L55" s="1">
        <f t="shared" si="9"/>
        <v>3.8436925765000183</v>
      </c>
      <c r="M55">
        <f t="shared" si="10"/>
        <v>205.76277647411996</v>
      </c>
      <c r="N55">
        <f t="shared" si="2"/>
        <v>0.57156326798366652</v>
      </c>
      <c r="O55">
        <f t="shared" si="3"/>
        <v>46.714839725944003</v>
      </c>
      <c r="P55">
        <f t="shared" si="4"/>
        <v>8</v>
      </c>
      <c r="Q55">
        <f t="shared" si="12"/>
        <v>92.831321733478006</v>
      </c>
      <c r="R55">
        <f t="shared" si="5"/>
        <v>92.831321733478006</v>
      </c>
      <c r="S55">
        <f t="shared" si="0"/>
        <v>93.019575386513239</v>
      </c>
      <c r="T55">
        <f t="shared" si="6"/>
        <v>93.019575386513239</v>
      </c>
      <c r="U55" s="3">
        <f t="shared" si="11"/>
        <v>3.4756200983241001</v>
      </c>
      <c r="V55">
        <f t="shared" si="7"/>
        <v>0</v>
      </c>
      <c r="W55" s="8">
        <f t="shared" si="1"/>
        <v>0</v>
      </c>
      <c r="X55" s="1">
        <f t="shared" si="8"/>
        <v>50.912154624450011</v>
      </c>
      <c r="Y55" s="18"/>
      <c r="Z55" s="21">
        <v>6</v>
      </c>
      <c r="AA55" s="14" t="s">
        <v>36</v>
      </c>
      <c r="AB55" s="13">
        <f>AB5</f>
        <v>445.26800962999999</v>
      </c>
      <c r="AC55" s="13">
        <f>AC5</f>
        <v>10.031798306416942</v>
      </c>
    </row>
    <row r="56" spans="1:29" x14ac:dyDescent="0.3">
      <c r="A56">
        <v>55</v>
      </c>
      <c r="E56">
        <v>-497.84155329309999</v>
      </c>
      <c r="F56">
        <v>46.631698663728002</v>
      </c>
      <c r="G56">
        <v>384.85311005862002</v>
      </c>
      <c r="H56">
        <v>46.796749154179999</v>
      </c>
      <c r="I56">
        <v>-150.40687311330001</v>
      </c>
      <c r="J56">
        <v>3.7403543608991998</v>
      </c>
      <c r="L56" s="1">
        <f t="shared" si="9"/>
        <v>3.8368368381999858</v>
      </c>
      <c r="M56">
        <f t="shared" si="10"/>
        <v>209.59961331231995</v>
      </c>
      <c r="N56">
        <f t="shared" si="2"/>
        <v>0.58222114808977765</v>
      </c>
      <c r="O56">
        <f t="shared" si="3"/>
        <v>46.796749154179999</v>
      </c>
      <c r="P56">
        <f t="shared" si="4"/>
        <v>9</v>
      </c>
      <c r="Q56">
        <f t="shared" si="12"/>
        <v>93.004285381046003</v>
      </c>
      <c r="R56">
        <f t="shared" si="5"/>
        <v>93.004285381046003</v>
      </c>
      <c r="S56">
        <f t="shared" si="0"/>
        <v>93.202010307224171</v>
      </c>
      <c r="T56">
        <f t="shared" si="6"/>
        <v>93.202010307224171</v>
      </c>
      <c r="U56" s="3">
        <f t="shared" si="11"/>
        <v>3.7403543608991998</v>
      </c>
      <c r="V56">
        <f t="shared" si="7"/>
        <v>0</v>
      </c>
      <c r="W56" s="8">
        <f t="shared" si="1"/>
        <v>0</v>
      </c>
      <c r="X56" s="1">
        <f t="shared" si="8"/>
        <v>50.912154624450011</v>
      </c>
      <c r="Y56" s="18"/>
      <c r="Z56" s="21">
        <v>7</v>
      </c>
      <c r="AA56" s="14" t="s">
        <v>38</v>
      </c>
      <c r="AB56" s="13">
        <f>INDEX(W:W,MATCH(AC56,N:N))</f>
        <v>36.142680398090022</v>
      </c>
      <c r="AC56" s="13">
        <f>AB4-0.5</f>
        <v>9.5317983064169418</v>
      </c>
    </row>
    <row r="57" spans="1:29" x14ac:dyDescent="0.3">
      <c r="A57">
        <v>56</v>
      </c>
      <c r="E57">
        <v>-497.85071034010002</v>
      </c>
      <c r="F57">
        <v>47.839528242329003</v>
      </c>
      <c r="G57">
        <v>381.95193127852002</v>
      </c>
      <c r="H57">
        <v>46.870378255645001</v>
      </c>
      <c r="I57">
        <v>-146.5770683474</v>
      </c>
      <c r="J57">
        <v>4.0125492673969001</v>
      </c>
      <c r="L57" s="1">
        <f t="shared" si="9"/>
        <v>3.8298047659000076</v>
      </c>
      <c r="M57">
        <f t="shared" si="10"/>
        <v>213.42941807821995</v>
      </c>
      <c r="N57">
        <f t="shared" si="2"/>
        <v>0.59285949466172205</v>
      </c>
      <c r="O57">
        <f t="shared" si="3"/>
        <v>46.870378255645001</v>
      </c>
      <c r="P57">
        <f t="shared" si="4"/>
        <v>10</v>
      </c>
      <c r="Q57">
        <f t="shared" si="12"/>
        <v>93.211068522346011</v>
      </c>
      <c r="R57">
        <f t="shared" si="5"/>
        <v>93.211068522346011</v>
      </c>
      <c r="S57">
        <f t="shared" si="0"/>
        <v>93.417043462775084</v>
      </c>
      <c r="T57">
        <f t="shared" si="6"/>
        <v>93.417043462775084</v>
      </c>
      <c r="U57" s="3">
        <f t="shared" si="11"/>
        <v>4.0125492673969001</v>
      </c>
      <c r="V57">
        <f t="shared" si="7"/>
        <v>0</v>
      </c>
      <c r="W57" s="8">
        <f t="shared" si="1"/>
        <v>0</v>
      </c>
      <c r="X57" s="1">
        <f t="shared" si="8"/>
        <v>50.912154624450011</v>
      </c>
      <c r="Y57" s="18"/>
      <c r="Z57" s="21">
        <v>8</v>
      </c>
      <c r="AA57" s="14" t="s">
        <v>39</v>
      </c>
      <c r="AB57" s="13">
        <f>INDEX(S:S,MATCH(AC57,N:N)+1)-AC48</f>
        <v>70.327767401805744</v>
      </c>
      <c r="AC57" s="13">
        <f>AB4-0.5</f>
        <v>9.5317983064169418</v>
      </c>
    </row>
    <row r="58" spans="1:29" x14ac:dyDescent="0.3">
      <c r="A58">
        <v>57</v>
      </c>
      <c r="E58">
        <v>-497.8539596741</v>
      </c>
      <c r="F58">
        <v>49.241785244154997</v>
      </c>
      <c r="G58">
        <v>379.13951712096002</v>
      </c>
      <c r="H58">
        <v>46.939318578711998</v>
      </c>
      <c r="I58">
        <v>-142.75362171910001</v>
      </c>
      <c r="J58">
        <v>4.2913586305395004</v>
      </c>
      <c r="L58" s="1">
        <f t="shared" si="9"/>
        <v>3.8234466282999904</v>
      </c>
      <c r="M58">
        <f t="shared" si="10"/>
        <v>217.25286470651994</v>
      </c>
      <c r="N58">
        <f t="shared" si="2"/>
        <v>0.60348017974033319</v>
      </c>
      <c r="O58">
        <f t="shared" si="3"/>
        <v>46.939318578711998</v>
      </c>
      <c r="P58">
        <f t="shared" si="4"/>
        <v>11</v>
      </c>
      <c r="Q58">
        <f t="shared" si="12"/>
        <v>93.392061247575</v>
      </c>
      <c r="R58">
        <f t="shared" si="5"/>
        <v>93.392061247575</v>
      </c>
      <c r="S58">
        <f t="shared" si="0"/>
        <v>93.600923893202733</v>
      </c>
      <c r="T58">
        <f t="shared" si="6"/>
        <v>93.600923893202733</v>
      </c>
      <c r="U58" s="3">
        <f t="shared" si="11"/>
        <v>4.2913586305395004</v>
      </c>
      <c r="V58">
        <f t="shared" si="7"/>
        <v>0</v>
      </c>
      <c r="W58" s="8">
        <f t="shared" si="1"/>
        <v>0</v>
      </c>
      <c r="X58" s="1">
        <f t="shared" si="8"/>
        <v>50.912154624450011</v>
      </c>
      <c r="Y58" s="18"/>
      <c r="Z58" s="21">
        <v>9</v>
      </c>
      <c r="AA58" s="14" t="s">
        <v>40</v>
      </c>
      <c r="AB58" s="13">
        <f>INDEX(S:S,MATCH(AC58,N:N)+1)+AC48</f>
        <v>104.86150273131884</v>
      </c>
      <c r="AC58" s="13">
        <f>AB4-1</f>
        <v>9.0317983064169418</v>
      </c>
    </row>
    <row r="59" spans="1:29" x14ac:dyDescent="0.3">
      <c r="A59">
        <v>58</v>
      </c>
      <c r="E59">
        <v>-497.82248639599999</v>
      </c>
      <c r="F59">
        <v>50.849672120897999</v>
      </c>
      <c r="G59">
        <v>376.43951849045999</v>
      </c>
      <c r="H59">
        <v>46.982246977351998</v>
      </c>
      <c r="I59">
        <v>-138.9380190665</v>
      </c>
      <c r="J59">
        <v>4.6040371886660996</v>
      </c>
      <c r="L59" s="1">
        <f t="shared" si="9"/>
        <v>3.8156026526000062</v>
      </c>
      <c r="M59">
        <f t="shared" si="10"/>
        <v>221.06846735911995</v>
      </c>
      <c r="N59">
        <f t="shared" si="2"/>
        <v>0.6140790759975554</v>
      </c>
      <c r="O59">
        <f t="shared" si="3"/>
        <v>46.982246977351998</v>
      </c>
      <c r="P59">
        <f t="shared" si="4"/>
        <v>12</v>
      </c>
      <c r="Q59">
        <f t="shared" si="12"/>
        <v>93.474896216429997</v>
      </c>
      <c r="R59">
        <f t="shared" si="5"/>
        <v>93.474896216429997</v>
      </c>
      <c r="S59">
        <f t="shared" si="0"/>
        <v>93.694207629809398</v>
      </c>
      <c r="T59">
        <f t="shared" si="6"/>
        <v>93.694207629809398</v>
      </c>
      <c r="U59" s="3">
        <f t="shared" si="11"/>
        <v>4.6040371886660996</v>
      </c>
      <c r="V59">
        <f t="shared" si="7"/>
        <v>0</v>
      </c>
      <c r="W59" s="8">
        <f t="shared" si="1"/>
        <v>0</v>
      </c>
      <c r="X59" s="1">
        <f t="shared" si="8"/>
        <v>50.912154624450011</v>
      </c>
      <c r="Y59" s="18"/>
      <c r="Z59" s="7"/>
      <c r="AA59" s="1"/>
      <c r="AB59" s="1"/>
      <c r="AC59" s="1"/>
    </row>
    <row r="60" spans="1:29" x14ac:dyDescent="0.3">
      <c r="A60">
        <v>59</v>
      </c>
      <c r="E60">
        <v>-497.7929278757</v>
      </c>
      <c r="F60">
        <v>52.625847125851003</v>
      </c>
      <c r="G60">
        <v>373.84710971971998</v>
      </c>
      <c r="H60">
        <v>47.033597694774997</v>
      </c>
      <c r="I60">
        <v>-135.12595098809999</v>
      </c>
      <c r="J60">
        <v>4.9129753020955</v>
      </c>
      <c r="L60" s="1">
        <f t="shared" si="9"/>
        <v>3.8120680784000172</v>
      </c>
      <c r="M60">
        <f t="shared" si="10"/>
        <v>224.88053543751997</v>
      </c>
      <c r="N60">
        <f t="shared" si="2"/>
        <v>0.62466815399311104</v>
      </c>
      <c r="O60">
        <f t="shared" si="3"/>
        <v>47.033597694774997</v>
      </c>
      <c r="P60">
        <f t="shared" si="4"/>
        <v>13</v>
      </c>
      <c r="Q60">
        <f t="shared" si="12"/>
        <v>93.583807092044992</v>
      </c>
      <c r="R60">
        <f t="shared" si="5"/>
        <v>93.583807092044992</v>
      </c>
      <c r="S60">
        <f t="shared" si="0"/>
        <v>93.813549962529194</v>
      </c>
      <c r="T60">
        <f t="shared" si="6"/>
        <v>93.813549962529194</v>
      </c>
      <c r="U60" s="3">
        <f t="shared" si="11"/>
        <v>4.9129753020955</v>
      </c>
      <c r="V60">
        <f t="shared" si="7"/>
        <v>0</v>
      </c>
      <c r="W60" s="8">
        <f t="shared" si="1"/>
        <v>0</v>
      </c>
      <c r="X60" s="1">
        <f t="shared" si="8"/>
        <v>50.912154624450011</v>
      </c>
      <c r="Y60" s="18"/>
      <c r="Z60" s="7"/>
      <c r="AA60" s="1"/>
      <c r="AB60" s="1"/>
      <c r="AC60" s="1"/>
    </row>
    <row r="61" spans="1:29" x14ac:dyDescent="0.3">
      <c r="A61">
        <v>60</v>
      </c>
      <c r="E61">
        <v>-497.73036555940001</v>
      </c>
      <c r="F61">
        <v>54.572359079141002</v>
      </c>
      <c r="G61">
        <v>371.38080916633999</v>
      </c>
      <c r="H61">
        <v>47.080202865901001</v>
      </c>
      <c r="I61">
        <v>-131.32165603870001</v>
      </c>
      <c r="J61">
        <v>5.2515487738587003</v>
      </c>
      <c r="L61" s="1">
        <f t="shared" si="9"/>
        <v>3.8042949493999743</v>
      </c>
      <c r="M61">
        <f t="shared" si="10"/>
        <v>228.68483038691994</v>
      </c>
      <c r="N61">
        <f t="shared" si="2"/>
        <v>0.6352356399636665</v>
      </c>
      <c r="O61">
        <f t="shared" si="3"/>
        <v>47.080202865901001</v>
      </c>
      <c r="P61">
        <f t="shared" si="4"/>
        <v>14</v>
      </c>
      <c r="Q61">
        <f t="shared" si="12"/>
        <v>93.640030400710003</v>
      </c>
      <c r="R61">
        <f t="shared" si="5"/>
        <v>93.640030400710003</v>
      </c>
      <c r="S61">
        <f t="shared" si="0"/>
        <v>93.875749386347209</v>
      </c>
      <c r="T61">
        <f t="shared" si="6"/>
        <v>93.875749386347209</v>
      </c>
      <c r="U61" s="3">
        <f t="shared" si="11"/>
        <v>5.2515487738587003</v>
      </c>
      <c r="V61">
        <f t="shared" si="7"/>
        <v>0</v>
      </c>
      <c r="W61" s="8">
        <f t="shared" si="1"/>
        <v>0</v>
      </c>
      <c r="X61" s="1">
        <f t="shared" si="8"/>
        <v>50.912154624450011</v>
      </c>
      <c r="Y61" s="18"/>
      <c r="Z61" s="7"/>
      <c r="AA61" s="1"/>
      <c r="AB61" s="1"/>
      <c r="AC61" s="1"/>
    </row>
    <row r="62" spans="1:29" x14ac:dyDescent="0.3">
      <c r="A62">
        <v>61</v>
      </c>
      <c r="E62">
        <v>-497.68332585870002</v>
      </c>
      <c r="F62">
        <v>56.680315605814002</v>
      </c>
      <c r="G62">
        <v>369.05058479968</v>
      </c>
      <c r="H62">
        <v>47.123512554276999</v>
      </c>
      <c r="I62">
        <v>-127.51836006160001</v>
      </c>
      <c r="J62">
        <v>5.5702690871289002</v>
      </c>
      <c r="L62" s="1">
        <f t="shared" si="9"/>
        <v>3.8032959771000066</v>
      </c>
      <c r="M62">
        <f t="shared" si="10"/>
        <v>232.48812636401993</v>
      </c>
      <c r="N62">
        <f t="shared" si="2"/>
        <v>0.64580035101116651</v>
      </c>
      <c r="O62">
        <f t="shared" si="3"/>
        <v>47.123512554276999</v>
      </c>
      <c r="P62">
        <f t="shared" si="4"/>
        <v>15</v>
      </c>
      <c r="Q62">
        <f t="shared" si="12"/>
        <v>93.704421265465996</v>
      </c>
      <c r="R62">
        <f t="shared" si="5"/>
        <v>93.704421265465996</v>
      </c>
      <c r="S62">
        <f t="shared" si="0"/>
        <v>93.950060131197631</v>
      </c>
      <c r="T62">
        <f t="shared" si="6"/>
        <v>93.950060131197631</v>
      </c>
      <c r="U62" s="3">
        <f t="shared" si="11"/>
        <v>5.5702690871289002</v>
      </c>
      <c r="V62">
        <f t="shared" si="7"/>
        <v>0</v>
      </c>
      <c r="W62" s="8">
        <f t="shared" si="1"/>
        <v>0</v>
      </c>
      <c r="X62" s="1">
        <f t="shared" si="8"/>
        <v>50.912154624450011</v>
      </c>
      <c r="Y62" s="18"/>
      <c r="Z62" s="7"/>
      <c r="AA62" s="1"/>
      <c r="AB62" s="1"/>
      <c r="AC62" s="1"/>
    </row>
    <row r="63" spans="1:29" x14ac:dyDescent="0.3">
      <c r="A63">
        <v>62</v>
      </c>
      <c r="E63">
        <v>-497.61592306249997</v>
      </c>
      <c r="F63">
        <v>58.943462738477002</v>
      </c>
      <c r="G63">
        <v>366.87121318598003</v>
      </c>
      <c r="H63">
        <v>47.157209592519003</v>
      </c>
      <c r="I63">
        <v>-123.7197828179</v>
      </c>
      <c r="J63">
        <v>5.9034401889210999</v>
      </c>
      <c r="L63" s="1">
        <f t="shared" si="9"/>
        <v>3.7985772437000094</v>
      </c>
      <c r="M63">
        <f t="shared" si="10"/>
        <v>236.28670360771994</v>
      </c>
      <c r="N63">
        <f t="shared" si="2"/>
        <v>0.65635195446588868</v>
      </c>
      <c r="O63">
        <f t="shared" si="3"/>
        <v>47.157209592519003</v>
      </c>
      <c r="P63">
        <f t="shared" si="4"/>
        <v>16</v>
      </c>
      <c r="Q63">
        <f t="shared" si="12"/>
        <v>93.76045345032901</v>
      </c>
      <c r="R63">
        <f t="shared" si="5"/>
        <v>93.76045345032901</v>
      </c>
      <c r="S63">
        <f t="shared" si="0"/>
        <v>94.016652432844992</v>
      </c>
      <c r="T63">
        <f t="shared" si="6"/>
        <v>94.016652432844992</v>
      </c>
      <c r="U63" s="3">
        <f t="shared" si="11"/>
        <v>5.9034401889210999</v>
      </c>
      <c r="V63">
        <f t="shared" si="7"/>
        <v>0</v>
      </c>
      <c r="W63" s="8">
        <f t="shared" si="1"/>
        <v>0</v>
      </c>
      <c r="X63" s="1">
        <f t="shared" si="8"/>
        <v>50.912154624450011</v>
      </c>
      <c r="Y63" s="18"/>
      <c r="Z63" s="7"/>
      <c r="AA63" s="1"/>
      <c r="AB63" s="1"/>
      <c r="AC63" s="1"/>
    </row>
    <row r="64" spans="1:29" x14ac:dyDescent="0.3">
      <c r="A64">
        <v>63</v>
      </c>
      <c r="E64">
        <v>-497.5249142088</v>
      </c>
      <c r="F64">
        <v>61.341714956738002</v>
      </c>
      <c r="G64">
        <v>364.84228807903997</v>
      </c>
      <c r="H64">
        <v>47.194959001615999</v>
      </c>
      <c r="I64">
        <v>-119.9263087523</v>
      </c>
      <c r="J64">
        <v>6.2535139445818997</v>
      </c>
      <c r="L64" s="1">
        <f t="shared" si="9"/>
        <v>3.7934740655999946</v>
      </c>
      <c r="M64">
        <f t="shared" si="10"/>
        <v>240.08017767331995</v>
      </c>
      <c r="N64">
        <f t="shared" si="2"/>
        <v>0.6668893824258888</v>
      </c>
      <c r="O64">
        <f t="shared" si="3"/>
        <v>47.194959001615999</v>
      </c>
      <c r="P64">
        <f t="shared" si="4"/>
        <v>17</v>
      </c>
      <c r="Q64">
        <f t="shared" si="12"/>
        <v>93.834619271796996</v>
      </c>
      <c r="R64">
        <f t="shared" si="5"/>
        <v>93.834619271796996</v>
      </c>
      <c r="S64">
        <f t="shared" si="0"/>
        <v>94.109257764971943</v>
      </c>
      <c r="T64">
        <f t="shared" si="6"/>
        <v>94.109257764971943</v>
      </c>
      <c r="U64" s="3">
        <f t="shared" si="11"/>
        <v>6.2535139445818997</v>
      </c>
      <c r="V64">
        <f t="shared" si="7"/>
        <v>0</v>
      </c>
      <c r="W64" s="8">
        <f t="shared" si="1"/>
        <v>0</v>
      </c>
      <c r="X64" s="1">
        <f t="shared" si="8"/>
        <v>50.912154624450011</v>
      </c>
      <c r="Y64" s="18"/>
      <c r="Z64" s="7"/>
      <c r="AA64" s="1"/>
      <c r="AB64" s="1"/>
      <c r="AC64" s="1"/>
    </row>
    <row r="65" spans="1:29" x14ac:dyDescent="0.3">
      <c r="A65">
        <v>64</v>
      </c>
      <c r="E65">
        <v>-497.4200204819</v>
      </c>
      <c r="F65">
        <v>63.872783991871998</v>
      </c>
      <c r="G65">
        <v>362.98257943300001</v>
      </c>
      <c r="H65">
        <v>47.223824457564</v>
      </c>
      <c r="I65">
        <v>-116.1362862981</v>
      </c>
      <c r="J65">
        <v>6.6092113708431999</v>
      </c>
      <c r="L65" s="1">
        <f t="shared" si="9"/>
        <v>3.7900224541999989</v>
      </c>
      <c r="M65">
        <f t="shared" si="10"/>
        <v>243.87020012751995</v>
      </c>
      <c r="N65">
        <f t="shared" si="2"/>
        <v>0.67741722257644432</v>
      </c>
      <c r="O65">
        <f t="shared" si="3"/>
        <v>47.223824457564</v>
      </c>
      <c r="P65">
        <f t="shared" si="4"/>
        <v>18</v>
      </c>
      <c r="Q65">
        <f t="shared" si="12"/>
        <v>93.887282538384994</v>
      </c>
      <c r="R65">
        <f t="shared" si="5"/>
        <v>93.887282538384994</v>
      </c>
      <c r="S65">
        <f t="shared" si="0"/>
        <v>94.177715138105654</v>
      </c>
      <c r="T65">
        <f t="shared" si="6"/>
        <v>94.177715138105654</v>
      </c>
      <c r="U65" s="3">
        <f t="shared" si="11"/>
        <v>6.6092113708431999</v>
      </c>
      <c r="V65">
        <f t="shared" si="7"/>
        <v>0</v>
      </c>
      <c r="W65" s="8">
        <f t="shared" si="1"/>
        <v>0</v>
      </c>
      <c r="X65" s="1">
        <f t="shared" si="8"/>
        <v>50.912154624450011</v>
      </c>
      <c r="Y65" s="18"/>
      <c r="Z65" s="7"/>
      <c r="AA65" s="1"/>
      <c r="AB65" s="1"/>
      <c r="AC65" s="1"/>
    </row>
    <row r="66" spans="1:29" x14ac:dyDescent="0.3">
      <c r="A66">
        <v>65</v>
      </c>
      <c r="E66">
        <v>-497.29778724229999</v>
      </c>
      <c r="F66">
        <v>66.524227899834997</v>
      </c>
      <c r="G66">
        <v>361.30005912173999</v>
      </c>
      <c r="H66">
        <v>47.244303986399999</v>
      </c>
      <c r="I66">
        <v>-112.34924437710001</v>
      </c>
      <c r="J66">
        <v>6.9728319945243999</v>
      </c>
      <c r="L66" s="1">
        <f t="shared" si="9"/>
        <v>3.7870419209999966</v>
      </c>
      <c r="M66">
        <f t="shared" si="10"/>
        <v>247.65724204851995</v>
      </c>
      <c r="N66">
        <f t="shared" si="2"/>
        <v>0.68793678346811094</v>
      </c>
      <c r="O66">
        <f t="shared" si="3"/>
        <v>47.244303986399999</v>
      </c>
      <c r="P66">
        <f t="shared" si="4"/>
        <v>19</v>
      </c>
      <c r="Q66">
        <f t="shared" si="12"/>
        <v>93.901122878319001</v>
      </c>
      <c r="R66">
        <f t="shared" si="5"/>
        <v>93.901122878319001</v>
      </c>
      <c r="S66">
        <f t="shared" ref="S66:S129" si="13">IF(P66=0,0,SQRT((E66-INDEX(E:E,P66))^2+(F66-INDEX(F:F,P66))^2+(G66-INDEX(G:G,P66))^2))</f>
        <v>94.213152281908407</v>
      </c>
      <c r="T66">
        <f t="shared" si="6"/>
        <v>94.213152281908407</v>
      </c>
      <c r="U66" s="3">
        <f t="shared" si="11"/>
        <v>6.9728319945243999</v>
      </c>
      <c r="V66">
        <f t="shared" si="7"/>
        <v>0</v>
      </c>
      <c r="W66" s="8">
        <f t="shared" ref="W66:W129" si="14">IF(V66=0,0,U66-INDEX(U:U,V66))</f>
        <v>0</v>
      </c>
      <c r="X66" s="1">
        <f t="shared" si="8"/>
        <v>50.912154624450011</v>
      </c>
      <c r="Y66" s="18"/>
      <c r="Z66" s="7"/>
      <c r="AA66" s="1"/>
      <c r="AB66" s="1"/>
      <c r="AC66" s="1"/>
    </row>
    <row r="67" spans="1:29" x14ac:dyDescent="0.3">
      <c r="A67">
        <v>66</v>
      </c>
      <c r="E67">
        <v>-497.1542854548</v>
      </c>
      <c r="F67">
        <v>69.280342182528997</v>
      </c>
      <c r="G67">
        <v>359.79676467845002</v>
      </c>
      <c r="H67">
        <v>47.262591782266</v>
      </c>
      <c r="I67">
        <v>-108.565191445</v>
      </c>
      <c r="J67">
        <v>7.3474918825635998</v>
      </c>
      <c r="L67" s="1">
        <f t="shared" si="9"/>
        <v>3.7840529321000105</v>
      </c>
      <c r="M67">
        <f t="shared" si="10"/>
        <v>251.44129498061994</v>
      </c>
      <c r="N67">
        <f t="shared" ref="N67:N130" si="15">M67/360</f>
        <v>0.69844804161283314</v>
      </c>
      <c r="O67">
        <f t="shared" ref="O67:O130" si="16">H67</f>
        <v>47.262591782266</v>
      </c>
      <c r="P67">
        <f t="shared" ref="P67:P130" si="17">IFERROR(MATCH(N67-0.5,N:N,1),0)</f>
        <v>20</v>
      </c>
      <c r="Q67">
        <f t="shared" si="12"/>
        <v>93.905747927155005</v>
      </c>
      <c r="R67">
        <f t="shared" ref="R67:R130" si="18">IF(Q67=0,MAX(Q:Q),Q67)</f>
        <v>93.905747927155005</v>
      </c>
      <c r="S67">
        <f t="shared" si="13"/>
        <v>94.239249605637937</v>
      </c>
      <c r="T67">
        <f t="shared" ref="T67:T130" si="19">IF(S67=0,MAX(S:S),S67)</f>
        <v>94.239249605637937</v>
      </c>
      <c r="U67" s="3">
        <f t="shared" ref="U67:U130" si="20">J67</f>
        <v>7.3474918825635998</v>
      </c>
      <c r="V67">
        <f t="shared" ref="V67:V69" si="21">IFERROR(MATCH(N67-1,N:N,1),0)</f>
        <v>0</v>
      </c>
      <c r="W67" s="8">
        <f t="shared" si="14"/>
        <v>0</v>
      </c>
      <c r="X67" s="1">
        <f t="shared" ref="X67:X130" si="22">IF(W67=0,MAX(W:W),W67)</f>
        <v>50.912154624450011</v>
      </c>
      <c r="Y67" s="18"/>
      <c r="Z67" s="7"/>
      <c r="AA67" s="1"/>
      <c r="AB67" s="1"/>
      <c r="AC67" s="1"/>
    </row>
    <row r="68" spans="1:29" x14ac:dyDescent="0.3">
      <c r="A68">
        <v>67</v>
      </c>
      <c r="E68">
        <v>-496.99702538730003</v>
      </c>
      <c r="F68">
        <v>72.127532691504001</v>
      </c>
      <c r="G68">
        <v>358.47579166494</v>
      </c>
      <c r="H68">
        <v>47.282601762808</v>
      </c>
      <c r="I68">
        <v>-104.7831775998</v>
      </c>
      <c r="J68">
        <v>7.7249143129553</v>
      </c>
      <c r="L68" s="1">
        <f t="shared" ref="L68:L131" si="23">I68-I67</f>
        <v>3.7820138451999981</v>
      </c>
      <c r="M68">
        <f t="shared" ref="M68:M131" si="24">IF(L68&gt;0,M67+L68,M67+L67)</f>
        <v>255.22330882581994</v>
      </c>
      <c r="N68">
        <f t="shared" si="15"/>
        <v>0.70895363562727765</v>
      </c>
      <c r="O68">
        <f t="shared" si="16"/>
        <v>47.282601762808</v>
      </c>
      <c r="P68">
        <f t="shared" si="17"/>
        <v>21</v>
      </c>
      <c r="Q68">
        <f t="shared" si="12"/>
        <v>93.920826145408</v>
      </c>
      <c r="R68">
        <f t="shared" si="18"/>
        <v>93.920826145408</v>
      </c>
      <c r="S68">
        <f t="shared" si="13"/>
        <v>94.276274774538365</v>
      </c>
      <c r="T68">
        <f t="shared" si="19"/>
        <v>94.276274774538365</v>
      </c>
      <c r="U68" s="3">
        <f t="shared" si="20"/>
        <v>7.7249143129553</v>
      </c>
      <c r="V68">
        <f t="shared" si="21"/>
        <v>0</v>
      </c>
      <c r="W68" s="8">
        <f t="shared" si="14"/>
        <v>0</v>
      </c>
      <c r="X68" s="1">
        <f t="shared" si="22"/>
        <v>50.912154624450011</v>
      </c>
      <c r="Y68" s="18"/>
      <c r="Z68" s="7"/>
      <c r="AA68" s="1"/>
      <c r="AB68" s="1"/>
      <c r="AC68" s="1"/>
    </row>
    <row r="69" spans="1:29" x14ac:dyDescent="0.3">
      <c r="A69">
        <v>68</v>
      </c>
      <c r="E69">
        <v>-496.81921819920001</v>
      </c>
      <c r="F69">
        <v>75.055401746409004</v>
      </c>
      <c r="G69">
        <v>357.34798867096998</v>
      </c>
      <c r="H69">
        <v>47.298213600826003</v>
      </c>
      <c r="I69">
        <v>-101.0038224132</v>
      </c>
      <c r="J69">
        <v>8.1105714461843004</v>
      </c>
      <c r="L69" s="1">
        <f t="shared" si="23"/>
        <v>3.7793551866000001</v>
      </c>
      <c r="M69">
        <f t="shared" si="24"/>
        <v>259.00266401241993</v>
      </c>
      <c r="N69">
        <f t="shared" si="15"/>
        <v>0.71945184447894428</v>
      </c>
      <c r="O69">
        <f t="shared" si="16"/>
        <v>47.298213600826003</v>
      </c>
      <c r="P69">
        <f t="shared" si="17"/>
        <v>22</v>
      </c>
      <c r="Q69">
        <f t="shared" ref="Q69:Q80" si="25">IF(P69=0,0,O69+INDEX(O:O,P69))</f>
        <v>93.909183046418008</v>
      </c>
      <c r="R69">
        <f t="shared" si="18"/>
        <v>93.909183046418008</v>
      </c>
      <c r="S69">
        <f t="shared" si="13"/>
        <v>94.291064218934665</v>
      </c>
      <c r="T69">
        <f t="shared" si="19"/>
        <v>94.291064218934665</v>
      </c>
      <c r="U69" s="3">
        <f t="shared" si="20"/>
        <v>8.1105714461843004</v>
      </c>
      <c r="V69">
        <f t="shared" si="21"/>
        <v>0</v>
      </c>
      <c r="W69" s="8">
        <f t="shared" si="14"/>
        <v>0</v>
      </c>
      <c r="X69" s="1">
        <f t="shared" si="22"/>
        <v>50.912154624450011</v>
      </c>
      <c r="Y69" s="18"/>
      <c r="Z69" s="7"/>
      <c r="AA69" s="1"/>
      <c r="AB69" s="1"/>
      <c r="AC69" s="1"/>
    </row>
    <row r="70" spans="1:29" x14ac:dyDescent="0.3">
      <c r="A70">
        <v>69</v>
      </c>
      <c r="E70">
        <v>-496.62388697479997</v>
      </c>
      <c r="F70">
        <v>78.052703829143994</v>
      </c>
      <c r="G70">
        <v>356.42422303911002</v>
      </c>
      <c r="H70">
        <v>47.303237637382999</v>
      </c>
      <c r="I70">
        <v>-97.225964144070005</v>
      </c>
      <c r="J70">
        <v>8.5001273962163992</v>
      </c>
      <c r="L70" s="1">
        <f t="shared" si="23"/>
        <v>3.7778582691299931</v>
      </c>
      <c r="M70">
        <f t="shared" si="24"/>
        <v>262.78052228154991</v>
      </c>
      <c r="N70">
        <f t="shared" si="15"/>
        <v>0.72994589522652753</v>
      </c>
      <c r="O70">
        <f t="shared" si="16"/>
        <v>47.303237637382999</v>
      </c>
      <c r="P70">
        <f t="shared" si="17"/>
        <v>23</v>
      </c>
      <c r="Q70">
        <f t="shared" si="25"/>
        <v>93.895448438384989</v>
      </c>
      <c r="R70">
        <f t="shared" si="18"/>
        <v>93.895448438384989</v>
      </c>
      <c r="S70">
        <f t="shared" si="13"/>
        <v>94.303331780640505</v>
      </c>
      <c r="T70">
        <f t="shared" si="19"/>
        <v>94.303331780640505</v>
      </c>
      <c r="U70" s="3">
        <f t="shared" si="20"/>
        <v>8.5001273962163992</v>
      </c>
      <c r="V70">
        <f>IFERROR(MATCH(N70-1,N:N,1),0)</f>
        <v>0</v>
      </c>
      <c r="W70" s="8">
        <f t="shared" si="14"/>
        <v>0</v>
      </c>
      <c r="X70" s="1">
        <f t="shared" si="22"/>
        <v>50.912154624450011</v>
      </c>
      <c r="Y70" s="18"/>
      <c r="Z70" s="7"/>
      <c r="AA70" s="1"/>
      <c r="AB70" s="1"/>
      <c r="AC70" s="1"/>
    </row>
    <row r="71" spans="1:29" x14ac:dyDescent="0.3">
      <c r="A71">
        <v>70</v>
      </c>
      <c r="E71">
        <v>-496.40196518840003</v>
      </c>
      <c r="F71">
        <v>81.104267652537004</v>
      </c>
      <c r="G71">
        <v>355.70699310819998</v>
      </c>
      <c r="H71">
        <v>47.298874525172003</v>
      </c>
      <c r="I71">
        <v>-93.449918165379998</v>
      </c>
      <c r="J71">
        <v>8.9017995655804008</v>
      </c>
      <c r="L71" s="1">
        <f t="shared" si="23"/>
        <v>3.7760459786900071</v>
      </c>
      <c r="M71">
        <f t="shared" si="24"/>
        <v>266.55656826023994</v>
      </c>
      <c r="N71">
        <f t="shared" si="15"/>
        <v>0.74043491183399979</v>
      </c>
      <c r="O71">
        <f t="shared" si="16"/>
        <v>47.298874525172003</v>
      </c>
      <c r="P71">
        <f t="shared" si="17"/>
        <v>24</v>
      </c>
      <c r="Q71">
        <f t="shared" si="25"/>
        <v>93.865102298294005</v>
      </c>
      <c r="R71">
        <f t="shared" si="18"/>
        <v>93.865102298294005</v>
      </c>
      <c r="S71">
        <f t="shared" si="13"/>
        <v>94.301716988038478</v>
      </c>
      <c r="T71">
        <f t="shared" si="19"/>
        <v>94.301716988038478</v>
      </c>
      <c r="U71" s="3">
        <f t="shared" si="20"/>
        <v>8.9017995655804008</v>
      </c>
      <c r="V71">
        <f t="shared" ref="V71:V89" si="26">IFERROR(MATCH(N71-1,N:N,1),0)</f>
        <v>0</v>
      </c>
      <c r="W71" s="8">
        <f t="shared" si="14"/>
        <v>0</v>
      </c>
      <c r="X71" s="1">
        <f t="shared" si="22"/>
        <v>50.912154624450011</v>
      </c>
      <c r="Y71" s="18"/>
      <c r="Z71" s="7"/>
      <c r="AA71" s="1"/>
      <c r="AB71" s="1"/>
      <c r="AC71" s="1"/>
    </row>
    <row r="72" spans="1:29" x14ac:dyDescent="0.3">
      <c r="A72">
        <v>71</v>
      </c>
      <c r="E72">
        <v>-496.15502933149997</v>
      </c>
      <c r="F72">
        <v>84.195971645406004</v>
      </c>
      <c r="G72">
        <v>355.20035912505</v>
      </c>
      <c r="H72">
        <v>47.284196769128997</v>
      </c>
      <c r="I72">
        <v>-89.674563320580006</v>
      </c>
      <c r="J72">
        <v>9.3131224440537004</v>
      </c>
      <c r="L72" s="1">
        <f t="shared" si="23"/>
        <v>3.7753548447999918</v>
      </c>
      <c r="M72">
        <f t="shared" si="24"/>
        <v>270.33192310503995</v>
      </c>
      <c r="N72">
        <f t="shared" si="15"/>
        <v>0.75092200862511094</v>
      </c>
      <c r="O72">
        <f t="shared" si="16"/>
        <v>47.284196769128997</v>
      </c>
      <c r="P72">
        <f t="shared" si="17"/>
        <v>25</v>
      </c>
      <c r="Q72">
        <f t="shared" si="25"/>
        <v>93.824770318741997</v>
      </c>
      <c r="R72">
        <f t="shared" si="18"/>
        <v>93.824770318741997</v>
      </c>
      <c r="S72">
        <f t="shared" si="13"/>
        <v>94.292447936762798</v>
      </c>
      <c r="T72">
        <f t="shared" si="19"/>
        <v>94.292447936762798</v>
      </c>
      <c r="U72" s="3">
        <f t="shared" si="20"/>
        <v>9.3131224440537004</v>
      </c>
      <c r="V72">
        <f t="shared" si="26"/>
        <v>0</v>
      </c>
      <c r="W72" s="8">
        <f t="shared" si="14"/>
        <v>0</v>
      </c>
      <c r="X72" s="1">
        <f t="shared" si="22"/>
        <v>50.912154624450011</v>
      </c>
      <c r="Y72" s="18"/>
      <c r="Z72" s="7"/>
      <c r="AA72" s="1"/>
      <c r="AB72" s="1"/>
      <c r="AC72" s="1"/>
    </row>
    <row r="73" spans="1:29" x14ac:dyDescent="0.3">
      <c r="A73">
        <v>72</v>
      </c>
      <c r="E73">
        <v>-495.87613098780002</v>
      </c>
      <c r="F73">
        <v>87.310771768305997</v>
      </c>
      <c r="G73">
        <v>354.89060462394002</v>
      </c>
      <c r="H73">
        <v>47.274606191658997</v>
      </c>
      <c r="I73">
        <v>-85.90110322676</v>
      </c>
      <c r="J73">
        <v>9.7414281472205992</v>
      </c>
      <c r="L73" s="1">
        <f t="shared" si="23"/>
        <v>3.773460093820006</v>
      </c>
      <c r="M73">
        <f t="shared" si="24"/>
        <v>274.10538319885995</v>
      </c>
      <c r="N73">
        <f t="shared" si="15"/>
        <v>0.76140384221905544</v>
      </c>
      <c r="O73">
        <f t="shared" si="16"/>
        <v>47.274606191658997</v>
      </c>
      <c r="P73">
        <f t="shared" si="17"/>
        <v>26</v>
      </c>
      <c r="Q73">
        <f t="shared" si="25"/>
        <v>93.779151812116993</v>
      </c>
      <c r="R73">
        <f t="shared" si="18"/>
        <v>93.779151812116993</v>
      </c>
      <c r="S73">
        <f t="shared" si="13"/>
        <v>94.282857522879482</v>
      </c>
      <c r="T73">
        <f t="shared" si="19"/>
        <v>94.282857522879482</v>
      </c>
      <c r="U73" s="3">
        <f t="shared" si="20"/>
        <v>9.7414281472205992</v>
      </c>
      <c r="V73">
        <f t="shared" si="26"/>
        <v>0</v>
      </c>
      <c r="W73" s="8">
        <f t="shared" si="14"/>
        <v>0</v>
      </c>
      <c r="X73" s="1">
        <f t="shared" si="22"/>
        <v>50.912154624450011</v>
      </c>
      <c r="Y73" s="18"/>
      <c r="Z73" s="7"/>
      <c r="AA73" s="1"/>
      <c r="AB73" s="1"/>
      <c r="AC73" s="1"/>
    </row>
    <row r="74" spans="1:29" x14ac:dyDescent="0.3">
      <c r="A74">
        <v>73</v>
      </c>
      <c r="E74">
        <v>-495.57097279449999</v>
      </c>
      <c r="F74">
        <v>90.436973311775006</v>
      </c>
      <c r="G74">
        <v>354.79396228365999</v>
      </c>
      <c r="H74">
        <v>47.255140339808001</v>
      </c>
      <c r="I74">
        <v>-82.128169263960004</v>
      </c>
      <c r="J74">
        <v>10.179263812528999</v>
      </c>
      <c r="L74" s="1">
        <f t="shared" si="23"/>
        <v>3.7729339627999963</v>
      </c>
      <c r="M74">
        <f t="shared" si="24"/>
        <v>277.87831716165994</v>
      </c>
      <c r="N74">
        <f t="shared" si="15"/>
        <v>0.7718842143379443</v>
      </c>
      <c r="O74">
        <f t="shared" si="16"/>
        <v>47.255140339808001</v>
      </c>
      <c r="P74">
        <f t="shared" si="17"/>
        <v>27</v>
      </c>
      <c r="Q74">
        <f t="shared" si="25"/>
        <v>93.728290863194005</v>
      </c>
      <c r="R74">
        <f t="shared" si="18"/>
        <v>93.728290863194005</v>
      </c>
      <c r="S74">
        <f t="shared" si="13"/>
        <v>94.271570319206475</v>
      </c>
      <c r="T74">
        <f t="shared" si="19"/>
        <v>94.271570319206475</v>
      </c>
      <c r="U74" s="3">
        <f t="shared" si="20"/>
        <v>10.179263812528999</v>
      </c>
      <c r="V74">
        <f t="shared" si="26"/>
        <v>0</v>
      </c>
      <c r="W74" s="8">
        <f t="shared" si="14"/>
        <v>0</v>
      </c>
      <c r="X74" s="1">
        <f t="shared" si="22"/>
        <v>50.912154624450011</v>
      </c>
      <c r="Y74" s="18"/>
      <c r="Z74" s="7"/>
      <c r="AA74" s="1"/>
      <c r="AB74" s="1"/>
      <c r="AC74" s="1"/>
    </row>
    <row r="75" spans="1:29" x14ac:dyDescent="0.3">
      <c r="A75">
        <v>74</v>
      </c>
      <c r="E75">
        <v>-495.24673124809999</v>
      </c>
      <c r="F75">
        <v>93.560993807688007</v>
      </c>
      <c r="G75">
        <v>354.89882884166002</v>
      </c>
      <c r="H75">
        <v>47.238172746159997</v>
      </c>
      <c r="I75">
        <v>-78.354228721919995</v>
      </c>
      <c r="J75">
        <v>10.619863938016</v>
      </c>
      <c r="L75" s="1">
        <f t="shared" si="23"/>
        <v>3.7739405420400089</v>
      </c>
      <c r="M75">
        <f t="shared" si="24"/>
        <v>281.65225770369995</v>
      </c>
      <c r="N75">
        <f t="shared" si="15"/>
        <v>0.7823673825102776</v>
      </c>
      <c r="O75">
        <f t="shared" si="16"/>
        <v>47.238172746159997</v>
      </c>
      <c r="P75">
        <f t="shared" si="17"/>
        <v>28</v>
      </c>
      <c r="Q75">
        <f t="shared" si="25"/>
        <v>93.673212297594006</v>
      </c>
      <c r="R75">
        <f t="shared" si="18"/>
        <v>93.673212297594006</v>
      </c>
      <c r="S75">
        <f t="shared" si="13"/>
        <v>94.2574763257998</v>
      </c>
      <c r="T75">
        <f t="shared" si="19"/>
        <v>94.2574763257998</v>
      </c>
      <c r="U75" s="3">
        <f t="shared" si="20"/>
        <v>10.619863938016</v>
      </c>
      <c r="V75">
        <f t="shared" si="26"/>
        <v>0</v>
      </c>
      <c r="W75" s="8">
        <f t="shared" si="14"/>
        <v>0</v>
      </c>
      <c r="X75" s="1">
        <f t="shared" si="22"/>
        <v>50.912154624450011</v>
      </c>
      <c r="Y75" s="18"/>
      <c r="Z75" s="7"/>
      <c r="AA75" s="1"/>
      <c r="AB75" s="1"/>
      <c r="AC75" s="1"/>
    </row>
    <row r="76" spans="1:29" x14ac:dyDescent="0.3">
      <c r="A76">
        <v>75</v>
      </c>
      <c r="E76">
        <v>-494.89355177229999</v>
      </c>
      <c r="F76">
        <v>96.669438087719996</v>
      </c>
      <c r="G76">
        <v>355.19718527238001</v>
      </c>
      <c r="H76">
        <v>47.230203481060997</v>
      </c>
      <c r="I76">
        <v>-74.581353106440005</v>
      </c>
      <c r="J76">
        <v>11.07314559324</v>
      </c>
      <c r="L76" s="1">
        <f t="shared" si="23"/>
        <v>3.7728756154799896</v>
      </c>
      <c r="M76">
        <f t="shared" si="24"/>
        <v>285.42513331917996</v>
      </c>
      <c r="N76">
        <f t="shared" si="15"/>
        <v>0.79284759255327764</v>
      </c>
      <c r="O76">
        <f t="shared" si="16"/>
        <v>47.230203481060997</v>
      </c>
      <c r="P76">
        <f t="shared" si="17"/>
        <v>29</v>
      </c>
      <c r="Q76">
        <f t="shared" si="25"/>
        <v>93.622430959031988</v>
      </c>
      <c r="R76">
        <f t="shared" si="18"/>
        <v>93.622430959031988</v>
      </c>
      <c r="S76">
        <f t="shared" si="13"/>
        <v>94.250410883000583</v>
      </c>
      <c r="T76">
        <f t="shared" si="19"/>
        <v>94.250410883000583</v>
      </c>
      <c r="U76" s="3">
        <f t="shared" si="20"/>
        <v>11.07314559324</v>
      </c>
      <c r="V76">
        <f t="shared" si="26"/>
        <v>0</v>
      </c>
      <c r="W76" s="8">
        <f t="shared" si="14"/>
        <v>0</v>
      </c>
      <c r="X76" s="1">
        <f t="shared" si="22"/>
        <v>50.912154624450011</v>
      </c>
      <c r="Y76" s="18"/>
      <c r="Z76" s="7"/>
      <c r="AA76" s="1"/>
      <c r="AB76" s="1"/>
      <c r="AC76" s="1"/>
    </row>
    <row r="77" spans="1:29" x14ac:dyDescent="0.3">
      <c r="A77">
        <v>76</v>
      </c>
      <c r="E77">
        <v>-494.51276019160002</v>
      </c>
      <c r="F77">
        <v>99.749136648649994</v>
      </c>
      <c r="G77">
        <v>355.6939767394</v>
      </c>
      <c r="H77">
        <v>47.224770520478003</v>
      </c>
      <c r="I77">
        <v>-70.809769973369995</v>
      </c>
      <c r="J77">
        <v>11.536860406231</v>
      </c>
      <c r="L77" s="1">
        <f t="shared" si="23"/>
        <v>3.7715831330700098</v>
      </c>
      <c r="M77">
        <f t="shared" si="24"/>
        <v>289.19671645224997</v>
      </c>
      <c r="N77">
        <f t="shared" si="15"/>
        <v>0.80332421236736107</v>
      </c>
      <c r="O77">
        <f t="shared" si="16"/>
        <v>47.224770520478003</v>
      </c>
      <c r="P77">
        <f t="shared" si="17"/>
        <v>30</v>
      </c>
      <c r="Q77">
        <f t="shared" si="25"/>
        <v>93.582646714933006</v>
      </c>
      <c r="R77">
        <f t="shared" si="18"/>
        <v>93.582646714933006</v>
      </c>
      <c r="S77">
        <f t="shared" si="13"/>
        <v>94.255449102203045</v>
      </c>
      <c r="T77">
        <f t="shared" si="19"/>
        <v>94.255449102203045</v>
      </c>
      <c r="U77" s="3">
        <f t="shared" si="20"/>
        <v>11.536860406231</v>
      </c>
      <c r="V77">
        <f t="shared" si="26"/>
        <v>0</v>
      </c>
      <c r="W77" s="8">
        <f t="shared" si="14"/>
        <v>0</v>
      </c>
      <c r="X77" s="1">
        <f t="shared" si="22"/>
        <v>50.912154624450011</v>
      </c>
      <c r="Y77" s="18"/>
      <c r="Z77" s="7"/>
      <c r="AA77" s="1"/>
      <c r="AB77" s="1"/>
      <c r="AC77" s="1"/>
    </row>
    <row r="78" spans="1:29" x14ac:dyDescent="0.3">
      <c r="A78">
        <v>77</v>
      </c>
      <c r="E78">
        <v>-494.10656155390001</v>
      </c>
      <c r="F78">
        <v>102.7874017889</v>
      </c>
      <c r="G78">
        <v>356.38640403642</v>
      </c>
      <c r="H78">
        <v>47.222411320832997</v>
      </c>
      <c r="I78">
        <v>-67.039487140060004</v>
      </c>
      <c r="J78">
        <v>12.008524597080999</v>
      </c>
      <c r="L78" s="1">
        <f t="shared" si="23"/>
        <v>3.7702828333099916</v>
      </c>
      <c r="M78">
        <f t="shared" si="24"/>
        <v>292.96699928555995</v>
      </c>
      <c r="N78">
        <f t="shared" si="15"/>
        <v>0.81379722023766654</v>
      </c>
      <c r="O78">
        <f t="shared" si="16"/>
        <v>47.222411320832997</v>
      </c>
      <c r="P78">
        <f t="shared" si="17"/>
        <v>31</v>
      </c>
      <c r="Q78">
        <f t="shared" si="25"/>
        <v>93.538120526499</v>
      </c>
      <c r="R78">
        <f t="shared" si="18"/>
        <v>93.538120526499</v>
      </c>
      <c r="S78">
        <f t="shared" si="13"/>
        <v>94.260524500072052</v>
      </c>
      <c r="T78">
        <f t="shared" si="19"/>
        <v>94.260524500072052</v>
      </c>
      <c r="U78" s="3">
        <f t="shared" si="20"/>
        <v>12.008524597080999</v>
      </c>
      <c r="V78">
        <f t="shared" si="26"/>
        <v>0</v>
      </c>
      <c r="W78" s="8">
        <f t="shared" si="14"/>
        <v>0</v>
      </c>
      <c r="X78" s="1">
        <f t="shared" si="22"/>
        <v>50.912154624450011</v>
      </c>
      <c r="Y78" s="18"/>
      <c r="Z78" s="7"/>
      <c r="AA78" s="1"/>
      <c r="AB78" s="1"/>
      <c r="AC78" s="1"/>
    </row>
    <row r="79" spans="1:29" x14ac:dyDescent="0.3">
      <c r="A79">
        <v>78</v>
      </c>
      <c r="E79">
        <v>-493.6707662645</v>
      </c>
      <c r="F79">
        <v>105.77080744668</v>
      </c>
      <c r="G79">
        <v>357.27248250187</v>
      </c>
      <c r="H79">
        <v>47.221263966758002</v>
      </c>
      <c r="I79">
        <v>-63.27120487338</v>
      </c>
      <c r="J79">
        <v>12.491928127181</v>
      </c>
      <c r="L79" s="1">
        <f t="shared" si="23"/>
        <v>3.7682822666800035</v>
      </c>
      <c r="M79">
        <f t="shared" si="24"/>
        <v>296.73528155223994</v>
      </c>
      <c r="N79">
        <f t="shared" si="15"/>
        <v>0.82426467097844425</v>
      </c>
      <c r="O79">
        <f t="shared" si="16"/>
        <v>47.221263966758002</v>
      </c>
      <c r="P79">
        <f t="shared" si="17"/>
        <v>32</v>
      </c>
      <c r="Q79">
        <f t="shared" si="25"/>
        <v>93.505778019232991</v>
      </c>
      <c r="R79">
        <f t="shared" si="18"/>
        <v>93.505778019232991</v>
      </c>
      <c r="S79">
        <f t="shared" si="13"/>
        <v>94.281349624063552</v>
      </c>
      <c r="T79">
        <f t="shared" si="19"/>
        <v>94.281349624063552</v>
      </c>
      <c r="U79" s="3">
        <f t="shared" si="20"/>
        <v>12.491928127181</v>
      </c>
      <c r="V79">
        <f t="shared" si="26"/>
        <v>0</v>
      </c>
      <c r="W79" s="8">
        <f t="shared" si="14"/>
        <v>0</v>
      </c>
      <c r="X79" s="1">
        <f t="shared" si="22"/>
        <v>50.912154624450011</v>
      </c>
      <c r="Y79" s="18"/>
      <c r="Z79" s="7"/>
      <c r="AA79" s="1"/>
      <c r="AB79" s="1"/>
      <c r="AC79" s="1"/>
    </row>
    <row r="80" spans="1:29" x14ac:dyDescent="0.3">
      <c r="A80">
        <v>79</v>
      </c>
      <c r="E80">
        <v>-493.20912383260003</v>
      </c>
      <c r="F80">
        <v>108.69201933728</v>
      </c>
      <c r="G80">
        <v>358.33506325129002</v>
      </c>
      <c r="H80">
        <v>47.235514593052997</v>
      </c>
      <c r="I80">
        <v>-59.505235843149997</v>
      </c>
      <c r="J80">
        <v>12.984415366532</v>
      </c>
      <c r="L80" s="1">
        <f t="shared" si="23"/>
        <v>3.7659690302300035</v>
      </c>
      <c r="M80">
        <f t="shared" si="24"/>
        <v>300.50125058246994</v>
      </c>
      <c r="N80">
        <f t="shared" si="15"/>
        <v>0.83472569606241653</v>
      </c>
      <c r="O80">
        <f t="shared" si="16"/>
        <v>47.235514593052997</v>
      </c>
      <c r="P80">
        <f t="shared" si="17"/>
        <v>33</v>
      </c>
      <c r="Q80">
        <f t="shared" si="25"/>
        <v>93.484481686909987</v>
      </c>
      <c r="R80">
        <f t="shared" si="18"/>
        <v>93.484481686909987</v>
      </c>
      <c r="S80">
        <f t="shared" si="13"/>
        <v>94.315098899132352</v>
      </c>
      <c r="T80">
        <f t="shared" si="19"/>
        <v>94.315098899132352</v>
      </c>
      <c r="U80" s="3">
        <f t="shared" si="20"/>
        <v>12.984415366532</v>
      </c>
      <c r="V80">
        <f t="shared" si="26"/>
        <v>0</v>
      </c>
      <c r="W80" s="8">
        <f t="shared" si="14"/>
        <v>0</v>
      </c>
      <c r="X80" s="1">
        <f t="shared" si="22"/>
        <v>50.912154624450011</v>
      </c>
      <c r="Y80" s="18"/>
      <c r="Z80" s="7"/>
      <c r="AA80" s="1"/>
      <c r="AB80" s="1"/>
      <c r="AC80" s="1"/>
    </row>
    <row r="81" spans="1:29" x14ac:dyDescent="0.3">
      <c r="A81">
        <v>80</v>
      </c>
      <c r="E81">
        <v>-492.72579700630001</v>
      </c>
      <c r="F81">
        <v>111.54094244004</v>
      </c>
      <c r="G81">
        <v>359.57037561738002</v>
      </c>
      <c r="H81">
        <v>47.265207805044</v>
      </c>
      <c r="I81">
        <v>-55.742028786719999</v>
      </c>
      <c r="J81">
        <v>13.481735243219999</v>
      </c>
      <c r="L81" s="1">
        <f t="shared" si="23"/>
        <v>3.763207056429998</v>
      </c>
      <c r="M81">
        <f t="shared" si="24"/>
        <v>304.26445763889996</v>
      </c>
      <c r="N81">
        <f t="shared" si="15"/>
        <v>0.84517904899694429</v>
      </c>
      <c r="O81">
        <f t="shared" si="16"/>
        <v>47.265207805044</v>
      </c>
      <c r="P81">
        <f t="shared" si="17"/>
        <v>34</v>
      </c>
      <c r="Q81">
        <f>IF(P81=0,0,O81+INDEX(O:O,P81))</f>
        <v>93.476453003579991</v>
      </c>
      <c r="R81">
        <f t="shared" si="18"/>
        <v>93.476453003579991</v>
      </c>
      <c r="S81">
        <f t="shared" si="13"/>
        <v>94.365459028637858</v>
      </c>
      <c r="T81">
        <f t="shared" si="19"/>
        <v>94.365459028637858</v>
      </c>
      <c r="U81" s="3">
        <f t="shared" si="20"/>
        <v>13.481735243219999</v>
      </c>
      <c r="V81">
        <f t="shared" si="26"/>
        <v>0</v>
      </c>
      <c r="W81" s="8">
        <f t="shared" si="14"/>
        <v>0</v>
      </c>
      <c r="X81" s="1">
        <f t="shared" si="22"/>
        <v>50.912154624450011</v>
      </c>
      <c r="Y81" s="18"/>
      <c r="Z81" s="7"/>
      <c r="AA81" s="1"/>
      <c r="AB81" s="1"/>
      <c r="AC81" s="1"/>
    </row>
    <row r="82" spans="1:29" x14ac:dyDescent="0.3">
      <c r="A82">
        <v>81</v>
      </c>
      <c r="E82">
        <v>-492.22420531709997</v>
      </c>
      <c r="F82">
        <v>114.296371772</v>
      </c>
      <c r="G82">
        <v>360.99584671231997</v>
      </c>
      <c r="H82">
        <v>47.285935259653002</v>
      </c>
      <c r="I82">
        <v>-51.980582857599998</v>
      </c>
      <c r="J82">
        <v>13.978229236889</v>
      </c>
      <c r="L82" s="1">
        <f t="shared" si="23"/>
        <v>3.7614459291200006</v>
      </c>
      <c r="M82">
        <f t="shared" si="24"/>
        <v>308.02590356801994</v>
      </c>
      <c r="N82">
        <f t="shared" si="15"/>
        <v>0.85562750991116654</v>
      </c>
      <c r="O82">
        <f t="shared" si="16"/>
        <v>47.285935259653002</v>
      </c>
      <c r="P82">
        <f t="shared" si="17"/>
        <v>35</v>
      </c>
      <c r="Q82">
        <f t="shared" ref="Q82:Q145" si="27">IF(P82=0,0,O82+INDEX(O:O,P82))</f>
        <v>93.477515614872999</v>
      </c>
      <c r="R82">
        <f t="shared" si="18"/>
        <v>93.477515614872999</v>
      </c>
      <c r="S82">
        <f t="shared" si="13"/>
        <v>94.423329724666971</v>
      </c>
      <c r="T82">
        <f t="shared" si="19"/>
        <v>94.423329724666971</v>
      </c>
      <c r="U82" s="3">
        <f t="shared" si="20"/>
        <v>13.978229236889</v>
      </c>
      <c r="V82">
        <f t="shared" si="26"/>
        <v>0</v>
      </c>
      <c r="W82" s="8">
        <f t="shared" si="14"/>
        <v>0</v>
      </c>
      <c r="X82" s="1">
        <f t="shared" si="22"/>
        <v>50.912154624450011</v>
      </c>
      <c r="Y82" s="18"/>
      <c r="Z82" s="7"/>
      <c r="AA82" s="1"/>
      <c r="AB82" s="1"/>
      <c r="AC82" s="1"/>
    </row>
    <row r="83" spans="1:29" x14ac:dyDescent="0.3">
      <c r="A83">
        <v>82</v>
      </c>
      <c r="E83">
        <v>-491.69984847120003</v>
      </c>
      <c r="F83">
        <v>116.95270636396</v>
      </c>
      <c r="G83">
        <v>362.59115933226002</v>
      </c>
      <c r="H83">
        <v>47.312357781370999</v>
      </c>
      <c r="I83">
        <v>-48.22202496349</v>
      </c>
      <c r="J83">
        <v>14.479782164231001</v>
      </c>
      <c r="L83" s="1">
        <f t="shared" si="23"/>
        <v>3.7585578941099982</v>
      </c>
      <c r="M83">
        <f t="shared" si="24"/>
        <v>311.78446146212991</v>
      </c>
      <c r="N83">
        <f t="shared" si="15"/>
        <v>0.8660679485059164</v>
      </c>
      <c r="O83">
        <f t="shared" si="16"/>
        <v>47.312357781370999</v>
      </c>
      <c r="P83">
        <f t="shared" si="17"/>
        <v>35</v>
      </c>
      <c r="Q83">
        <f t="shared" si="27"/>
        <v>93.503938136590989</v>
      </c>
      <c r="R83">
        <f t="shared" si="18"/>
        <v>93.503938136590989</v>
      </c>
      <c r="S83">
        <f t="shared" si="13"/>
        <v>94.471228114587973</v>
      </c>
      <c r="T83">
        <f t="shared" si="19"/>
        <v>94.471228114587973</v>
      </c>
      <c r="U83" s="3">
        <f t="shared" si="20"/>
        <v>14.479782164231001</v>
      </c>
      <c r="V83">
        <f t="shared" si="26"/>
        <v>0</v>
      </c>
      <c r="W83" s="8">
        <f t="shared" si="14"/>
        <v>0</v>
      </c>
      <c r="X83" s="1">
        <f t="shared" si="22"/>
        <v>50.912154624450011</v>
      </c>
      <c r="Y83" s="18"/>
      <c r="Z83" s="7"/>
      <c r="AA83" s="1"/>
      <c r="AB83" s="1"/>
      <c r="AC83" s="1"/>
    </row>
    <row r="84" spans="1:29" x14ac:dyDescent="0.3">
      <c r="A84">
        <v>83</v>
      </c>
      <c r="E84">
        <v>-491.14174155389998</v>
      </c>
      <c r="F84">
        <v>119.49322983464999</v>
      </c>
      <c r="G84">
        <v>364.35480499098003</v>
      </c>
      <c r="H84">
        <v>47.335513525663004</v>
      </c>
      <c r="I84">
        <v>-44.468457713249997</v>
      </c>
      <c r="J84">
        <v>14.996780926203</v>
      </c>
      <c r="L84" s="1">
        <f t="shared" si="23"/>
        <v>3.7535672502400033</v>
      </c>
      <c r="M84">
        <f t="shared" si="24"/>
        <v>315.53802871236991</v>
      </c>
      <c r="N84">
        <f t="shared" si="15"/>
        <v>0.87649452420102747</v>
      </c>
      <c r="O84">
        <f t="shared" si="16"/>
        <v>47.335513525663004</v>
      </c>
      <c r="P84">
        <f t="shared" si="17"/>
        <v>36</v>
      </c>
      <c r="Q84">
        <f t="shared" si="27"/>
        <v>93.477331807049012</v>
      </c>
      <c r="R84">
        <f t="shared" si="18"/>
        <v>93.477331807049012</v>
      </c>
      <c r="S84">
        <f t="shared" si="13"/>
        <v>94.511809524651369</v>
      </c>
      <c r="T84">
        <f t="shared" si="19"/>
        <v>94.511809524651369</v>
      </c>
      <c r="U84" s="3">
        <f t="shared" si="20"/>
        <v>14.996780926203</v>
      </c>
      <c r="V84">
        <f t="shared" si="26"/>
        <v>0</v>
      </c>
      <c r="W84" s="8">
        <f t="shared" si="14"/>
        <v>0</v>
      </c>
      <c r="X84" s="1">
        <f t="shared" si="22"/>
        <v>50.912154624450011</v>
      </c>
      <c r="Y84" s="18"/>
      <c r="Z84" s="7"/>
      <c r="AA84" s="1"/>
      <c r="AB84" s="1"/>
      <c r="AC84" s="1"/>
    </row>
    <row r="85" spans="1:29" x14ac:dyDescent="0.3">
      <c r="A85">
        <v>84</v>
      </c>
      <c r="E85">
        <v>-490.56166124809999</v>
      </c>
      <c r="F85">
        <v>121.92049652284</v>
      </c>
      <c r="G85">
        <v>366.26472142722002</v>
      </c>
      <c r="H85">
        <v>47.375371089140003</v>
      </c>
      <c r="I85">
        <v>-40.718785547529997</v>
      </c>
      <c r="J85">
        <v>15.519368059608</v>
      </c>
      <c r="L85" s="1">
        <f t="shared" si="23"/>
        <v>3.7496721657199998</v>
      </c>
      <c r="M85">
        <f t="shared" si="24"/>
        <v>319.28770087808994</v>
      </c>
      <c r="N85">
        <f t="shared" si="15"/>
        <v>0.88691028021691654</v>
      </c>
      <c r="O85">
        <f t="shared" si="16"/>
        <v>47.375371089140003</v>
      </c>
      <c r="P85">
        <f t="shared" si="17"/>
        <v>37</v>
      </c>
      <c r="Q85">
        <f t="shared" si="27"/>
        <v>93.513429943704011</v>
      </c>
      <c r="R85">
        <f t="shared" si="18"/>
        <v>93.513429943704011</v>
      </c>
      <c r="S85">
        <f t="shared" si="13"/>
        <v>94.620427198000911</v>
      </c>
      <c r="T85">
        <f t="shared" si="19"/>
        <v>94.620427198000911</v>
      </c>
      <c r="U85" s="3">
        <f t="shared" si="20"/>
        <v>15.519368059608</v>
      </c>
      <c r="V85">
        <f t="shared" si="26"/>
        <v>0</v>
      </c>
      <c r="W85" s="8">
        <f t="shared" si="14"/>
        <v>0</v>
      </c>
      <c r="X85" s="1">
        <f t="shared" si="22"/>
        <v>50.912154624450011</v>
      </c>
      <c r="Y85" s="18"/>
      <c r="Z85" s="7"/>
      <c r="AA85" s="1"/>
      <c r="AB85" s="1"/>
      <c r="AC85" s="1"/>
    </row>
    <row r="86" spans="1:29" x14ac:dyDescent="0.3">
      <c r="A86">
        <v>85</v>
      </c>
      <c r="E86">
        <v>-489.97281550150001</v>
      </c>
      <c r="F86">
        <v>124.22596228165</v>
      </c>
      <c r="G86">
        <v>368.31758086273999</v>
      </c>
      <c r="H86">
        <v>47.430162025925</v>
      </c>
      <c r="I86">
        <v>-36.971538193550003</v>
      </c>
      <c r="J86">
        <v>16.034310879555001</v>
      </c>
      <c r="L86" s="1">
        <f t="shared" si="23"/>
        <v>3.7472473539799935</v>
      </c>
      <c r="M86">
        <f t="shared" si="24"/>
        <v>323.03494823206995</v>
      </c>
      <c r="N86">
        <f t="shared" si="15"/>
        <v>0.89731930064463872</v>
      </c>
      <c r="O86">
        <f t="shared" si="16"/>
        <v>47.430162025925</v>
      </c>
      <c r="P86">
        <f t="shared" si="17"/>
        <v>38</v>
      </c>
      <c r="Q86">
        <f t="shared" si="27"/>
        <v>93.569914118209994</v>
      </c>
      <c r="R86">
        <f t="shared" si="18"/>
        <v>93.569914118209994</v>
      </c>
      <c r="S86">
        <f t="shared" si="13"/>
        <v>94.754579997191541</v>
      </c>
      <c r="T86">
        <f t="shared" si="19"/>
        <v>94.754579997191541</v>
      </c>
      <c r="U86" s="3">
        <f t="shared" si="20"/>
        <v>16.034310879555001</v>
      </c>
      <c r="V86">
        <f t="shared" si="26"/>
        <v>0</v>
      </c>
      <c r="W86" s="8">
        <f t="shared" si="14"/>
        <v>0</v>
      </c>
      <c r="X86" s="1">
        <f t="shared" si="22"/>
        <v>50.912154624450011</v>
      </c>
      <c r="Y86" s="18"/>
      <c r="Z86" s="7"/>
      <c r="AA86" s="1"/>
      <c r="AB86" s="1"/>
      <c r="AC86" s="1"/>
    </row>
    <row r="87" spans="1:29" x14ac:dyDescent="0.3">
      <c r="A87">
        <v>86</v>
      </c>
      <c r="E87">
        <v>-489.37206726379998</v>
      </c>
      <c r="F87">
        <v>126.38902997447001</v>
      </c>
      <c r="G87">
        <v>370.51665980175</v>
      </c>
      <c r="H87">
        <v>47.483258568914003</v>
      </c>
      <c r="I87">
        <v>-33.227480749430001</v>
      </c>
      <c r="J87">
        <v>16.543639894238002</v>
      </c>
      <c r="L87" s="1">
        <f t="shared" si="23"/>
        <v>3.7440574441200027</v>
      </c>
      <c r="M87">
        <f t="shared" si="24"/>
        <v>326.77900567618997</v>
      </c>
      <c r="N87">
        <f t="shared" si="15"/>
        <v>0.90771946021163885</v>
      </c>
      <c r="O87">
        <f t="shared" si="16"/>
        <v>47.483258568914003</v>
      </c>
      <c r="P87">
        <f t="shared" si="17"/>
        <v>39</v>
      </c>
      <c r="Q87">
        <f t="shared" si="27"/>
        <v>93.610097005921006</v>
      </c>
      <c r="R87">
        <f t="shared" si="18"/>
        <v>93.610097005921006</v>
      </c>
      <c r="S87">
        <f t="shared" si="13"/>
        <v>94.869070949885341</v>
      </c>
      <c r="T87">
        <f t="shared" si="19"/>
        <v>94.869070949885341</v>
      </c>
      <c r="U87" s="3">
        <f t="shared" si="20"/>
        <v>16.543639894238002</v>
      </c>
      <c r="V87">
        <f t="shared" si="26"/>
        <v>0</v>
      </c>
      <c r="W87" s="8">
        <f t="shared" si="14"/>
        <v>0</v>
      </c>
      <c r="X87" s="1">
        <f t="shared" si="22"/>
        <v>50.912154624450011</v>
      </c>
      <c r="Y87" s="18"/>
      <c r="Z87" s="7"/>
      <c r="AA87" s="1"/>
      <c r="AB87" s="1"/>
      <c r="AC87" s="1"/>
    </row>
    <row r="88" spans="1:29" x14ac:dyDescent="0.3">
      <c r="A88">
        <v>87</v>
      </c>
      <c r="E88">
        <v>-488.75685012320002</v>
      </c>
      <c r="F88">
        <v>128.38724496675999</v>
      </c>
      <c r="G88">
        <v>372.86292388547997</v>
      </c>
      <c r="H88">
        <v>47.517482432884002</v>
      </c>
      <c r="I88">
        <v>-29.485630540180001</v>
      </c>
      <c r="J88">
        <v>17.048927563944002</v>
      </c>
      <c r="L88" s="1">
        <f t="shared" si="23"/>
        <v>3.7418502092499999</v>
      </c>
      <c r="M88">
        <f t="shared" si="24"/>
        <v>330.52085588543997</v>
      </c>
      <c r="N88">
        <f t="shared" si="15"/>
        <v>0.91811348857066655</v>
      </c>
      <c r="O88">
        <f t="shared" si="16"/>
        <v>47.517482432884002</v>
      </c>
      <c r="P88">
        <f t="shared" si="17"/>
        <v>40</v>
      </c>
      <c r="Q88">
        <f t="shared" si="27"/>
        <v>93.624976417441005</v>
      </c>
      <c r="R88">
        <f t="shared" si="18"/>
        <v>93.624976417441005</v>
      </c>
      <c r="S88">
        <f t="shared" si="13"/>
        <v>94.953399557592491</v>
      </c>
      <c r="T88">
        <f t="shared" si="19"/>
        <v>94.953399557592491</v>
      </c>
      <c r="U88" s="3">
        <f t="shared" si="20"/>
        <v>17.048927563944002</v>
      </c>
      <c r="V88">
        <f t="shared" si="26"/>
        <v>0</v>
      </c>
      <c r="W88" s="8">
        <f t="shared" si="14"/>
        <v>0</v>
      </c>
      <c r="X88" s="1">
        <f t="shared" si="22"/>
        <v>50.912154624450011</v>
      </c>
      <c r="Y88" s="18"/>
      <c r="Z88" s="7"/>
      <c r="AA88" s="1"/>
      <c r="AB88" s="1"/>
      <c r="AC88" s="1"/>
    </row>
    <row r="89" spans="1:29" x14ac:dyDescent="0.3">
      <c r="A89">
        <v>88</v>
      </c>
      <c r="E89">
        <v>-488.1427993707</v>
      </c>
      <c r="F89">
        <v>130.23717344926001</v>
      </c>
      <c r="G89">
        <v>375.32792316971</v>
      </c>
      <c r="H89">
        <v>47.565138826515998</v>
      </c>
      <c r="I89">
        <v>-25.744153391369998</v>
      </c>
      <c r="J89">
        <v>17.537550920571999</v>
      </c>
      <c r="L89" s="1">
        <f t="shared" si="23"/>
        <v>3.7414771488100023</v>
      </c>
      <c r="M89">
        <f t="shared" si="24"/>
        <v>334.26233303424999</v>
      </c>
      <c r="N89">
        <f t="shared" si="15"/>
        <v>0.92850648065069441</v>
      </c>
      <c r="O89">
        <f t="shared" si="16"/>
        <v>47.565138826515998</v>
      </c>
      <c r="P89">
        <f t="shared" si="17"/>
        <v>41</v>
      </c>
      <c r="Q89">
        <f t="shared" si="27"/>
        <v>93.654443501580005</v>
      </c>
      <c r="R89">
        <f t="shared" si="18"/>
        <v>93.654443501580005</v>
      </c>
      <c r="S89">
        <f t="shared" si="13"/>
        <v>95.049975158014433</v>
      </c>
      <c r="T89">
        <f t="shared" si="19"/>
        <v>95.049975158014433</v>
      </c>
      <c r="U89" s="3">
        <f t="shared" si="20"/>
        <v>17.537550920571999</v>
      </c>
      <c r="V89">
        <f t="shared" si="26"/>
        <v>0</v>
      </c>
      <c r="W89" s="8">
        <f t="shared" si="14"/>
        <v>0</v>
      </c>
      <c r="X89" s="1">
        <f t="shared" si="22"/>
        <v>50.912154624450011</v>
      </c>
      <c r="Y89" s="18"/>
      <c r="Z89" s="7"/>
      <c r="AA89" s="1"/>
      <c r="AB89" s="1"/>
      <c r="AC89" s="1"/>
    </row>
    <row r="90" spans="1:29" x14ac:dyDescent="0.3">
      <c r="A90">
        <v>89</v>
      </c>
      <c r="E90">
        <v>-487.49982390579999</v>
      </c>
      <c r="F90">
        <v>131.91617094678</v>
      </c>
      <c r="G90">
        <v>377.90549434450998</v>
      </c>
      <c r="H90">
        <v>47.608928173987003</v>
      </c>
      <c r="I90">
        <v>-22.008523572800001</v>
      </c>
      <c r="J90">
        <v>18.039059861136</v>
      </c>
      <c r="L90" s="1">
        <f t="shared" si="23"/>
        <v>3.735629818569997</v>
      </c>
      <c r="M90">
        <f t="shared" si="24"/>
        <v>337.99796285281997</v>
      </c>
      <c r="N90">
        <f t="shared" si="15"/>
        <v>0.93888323014672215</v>
      </c>
      <c r="O90">
        <f t="shared" si="16"/>
        <v>47.608928173987003</v>
      </c>
      <c r="P90">
        <f t="shared" si="17"/>
        <v>42</v>
      </c>
      <c r="Q90">
        <f t="shared" si="27"/>
        <v>93.714790895955005</v>
      </c>
      <c r="R90">
        <f t="shared" si="18"/>
        <v>93.714790895955005</v>
      </c>
      <c r="S90">
        <f t="shared" si="13"/>
        <v>95.186404430310901</v>
      </c>
      <c r="T90">
        <f t="shared" si="19"/>
        <v>95.186404430310901</v>
      </c>
      <c r="U90" s="3">
        <f t="shared" si="20"/>
        <v>18.039059861136</v>
      </c>
      <c r="V90">
        <f>IFERROR(MATCH(N90-1,N:N,1),0)</f>
        <v>0</v>
      </c>
      <c r="W90" s="8">
        <f t="shared" si="14"/>
        <v>0</v>
      </c>
      <c r="X90" s="1">
        <f t="shared" si="22"/>
        <v>50.912154624450011</v>
      </c>
      <c r="Y90" s="18"/>
      <c r="Z90" s="7"/>
      <c r="AA90" s="1"/>
      <c r="AB90" s="1"/>
      <c r="AC90" s="1"/>
    </row>
    <row r="91" spans="1:29" x14ac:dyDescent="0.3">
      <c r="A91">
        <v>90</v>
      </c>
      <c r="E91">
        <v>-486.8626125774</v>
      </c>
      <c r="F91">
        <v>133.45725483321999</v>
      </c>
      <c r="G91">
        <v>380.56908492007</v>
      </c>
      <c r="H91">
        <v>47.693462906724001</v>
      </c>
      <c r="I91">
        <v>-18.275585378140001</v>
      </c>
      <c r="J91">
        <v>18.522366551805</v>
      </c>
      <c r="L91" s="1">
        <f t="shared" si="23"/>
        <v>3.7329381946600009</v>
      </c>
      <c r="M91">
        <f t="shared" si="24"/>
        <v>341.73090104747996</v>
      </c>
      <c r="N91">
        <f t="shared" si="15"/>
        <v>0.94925250290966656</v>
      </c>
      <c r="O91">
        <f t="shared" si="16"/>
        <v>47.693462906724001</v>
      </c>
      <c r="P91">
        <f t="shared" si="17"/>
        <v>43</v>
      </c>
      <c r="Q91">
        <f t="shared" si="27"/>
        <v>93.798833578198</v>
      </c>
      <c r="R91">
        <f t="shared" si="18"/>
        <v>93.798833578198</v>
      </c>
      <c r="S91">
        <f t="shared" si="13"/>
        <v>95.338093595448385</v>
      </c>
      <c r="T91">
        <f t="shared" si="19"/>
        <v>95.338093595448385</v>
      </c>
      <c r="U91" s="3">
        <f t="shared" si="20"/>
        <v>18.522366551805</v>
      </c>
      <c r="V91">
        <f t="shared" ref="V91:V111" si="28">IFERROR(MATCH(N91-1,N:N,1),0)</f>
        <v>0</v>
      </c>
      <c r="W91" s="8">
        <f t="shared" si="14"/>
        <v>0</v>
      </c>
      <c r="X91" s="1">
        <f t="shared" si="22"/>
        <v>50.912154624450011</v>
      </c>
      <c r="Y91" s="18"/>
      <c r="Z91" s="7"/>
      <c r="AA91" s="1"/>
      <c r="AB91" s="1"/>
      <c r="AC91" s="1"/>
    </row>
    <row r="92" spans="1:29" x14ac:dyDescent="0.3">
      <c r="A92">
        <v>91</v>
      </c>
      <c r="E92">
        <v>-486.20093749789999</v>
      </c>
      <c r="F92">
        <v>134.78578413058</v>
      </c>
      <c r="G92">
        <v>383.33932523473999</v>
      </c>
      <c r="H92">
        <v>47.741088385643998</v>
      </c>
      <c r="I92">
        <v>-14.547979635420001</v>
      </c>
      <c r="J92">
        <v>19.012910842857998</v>
      </c>
      <c r="L92" s="1">
        <f t="shared" si="23"/>
        <v>3.7276057427199998</v>
      </c>
      <c r="M92">
        <f t="shared" si="24"/>
        <v>345.45850679019998</v>
      </c>
      <c r="N92">
        <f t="shared" si="15"/>
        <v>0.95960696330611106</v>
      </c>
      <c r="O92">
        <f t="shared" si="16"/>
        <v>47.741088385643998</v>
      </c>
      <c r="P92">
        <f t="shared" si="17"/>
        <v>44</v>
      </c>
      <c r="Q92">
        <f t="shared" si="27"/>
        <v>93.83632351690099</v>
      </c>
      <c r="R92">
        <f t="shared" si="18"/>
        <v>93.83632351690099</v>
      </c>
      <c r="S92">
        <f t="shared" si="13"/>
        <v>95.442255477506791</v>
      </c>
      <c r="T92">
        <f t="shared" si="19"/>
        <v>95.442255477506791</v>
      </c>
      <c r="U92" s="3">
        <f t="shared" si="20"/>
        <v>19.012910842857998</v>
      </c>
      <c r="V92">
        <f t="shared" si="28"/>
        <v>0</v>
      </c>
      <c r="W92" s="8">
        <f t="shared" si="14"/>
        <v>0</v>
      </c>
      <c r="X92" s="1">
        <f t="shared" si="22"/>
        <v>50.912154624450011</v>
      </c>
      <c r="Y92" s="18"/>
      <c r="Z92" s="7"/>
      <c r="AA92" s="1"/>
      <c r="AB92" s="1"/>
      <c r="AC92" s="1"/>
    </row>
    <row r="93" spans="1:29" x14ac:dyDescent="0.3">
      <c r="A93">
        <v>92</v>
      </c>
      <c r="E93">
        <v>-485.53150476439998</v>
      </c>
      <c r="F93">
        <v>135.93757851866999</v>
      </c>
      <c r="G93">
        <v>386.18547469276001</v>
      </c>
      <c r="H93">
        <v>47.798154477962001</v>
      </c>
      <c r="I93">
        <v>-10.823943579630001</v>
      </c>
      <c r="J93">
        <v>19.497963908241999</v>
      </c>
      <c r="L93" s="1">
        <f t="shared" si="23"/>
        <v>3.7240360557900001</v>
      </c>
      <c r="M93">
        <f t="shared" si="24"/>
        <v>349.18254284598999</v>
      </c>
      <c r="N93">
        <f t="shared" si="15"/>
        <v>0.96995150790552775</v>
      </c>
      <c r="O93">
        <f t="shared" si="16"/>
        <v>47.798154477962001</v>
      </c>
      <c r="P93">
        <f t="shared" si="17"/>
        <v>45</v>
      </c>
      <c r="Q93">
        <f t="shared" si="27"/>
        <v>93.931775683138</v>
      </c>
      <c r="R93">
        <f t="shared" si="18"/>
        <v>93.931775683138</v>
      </c>
      <c r="S93">
        <f t="shared" si="13"/>
        <v>95.609898228992733</v>
      </c>
      <c r="T93">
        <f t="shared" si="19"/>
        <v>95.609898228992733</v>
      </c>
      <c r="U93" s="3">
        <f t="shared" si="20"/>
        <v>19.497963908241999</v>
      </c>
      <c r="V93">
        <f t="shared" si="28"/>
        <v>0</v>
      </c>
      <c r="W93" s="8">
        <f t="shared" si="14"/>
        <v>0</v>
      </c>
      <c r="X93" s="1">
        <f t="shared" si="22"/>
        <v>50.912154624450011</v>
      </c>
      <c r="Y93" s="18"/>
      <c r="Z93" s="7"/>
      <c r="AA93" s="1"/>
      <c r="AB93" s="1"/>
      <c r="AC93" s="1"/>
    </row>
    <row r="94" spans="1:29" x14ac:dyDescent="0.3">
      <c r="A94">
        <v>93</v>
      </c>
      <c r="E94">
        <v>-484.85041478549999</v>
      </c>
      <c r="F94">
        <v>136.90535093790001</v>
      </c>
      <c r="G94">
        <v>389.09682658129998</v>
      </c>
      <c r="H94">
        <v>47.861316413833002</v>
      </c>
      <c r="I94">
        <v>-7.1043235892109999</v>
      </c>
      <c r="J94">
        <v>19.981973822427001</v>
      </c>
      <c r="L94" s="1">
        <f t="shared" si="23"/>
        <v>3.7196199904190008</v>
      </c>
      <c r="M94">
        <f t="shared" si="24"/>
        <v>352.90216283640899</v>
      </c>
      <c r="N94">
        <f t="shared" si="15"/>
        <v>0.98028378565669161</v>
      </c>
      <c r="O94">
        <f t="shared" si="16"/>
        <v>47.861316413833002</v>
      </c>
      <c r="P94">
        <f t="shared" si="17"/>
        <v>46</v>
      </c>
      <c r="Q94">
        <f t="shared" si="27"/>
        <v>94.033715668973002</v>
      </c>
      <c r="R94">
        <f t="shared" si="18"/>
        <v>94.033715668973002</v>
      </c>
      <c r="S94">
        <f t="shared" si="13"/>
        <v>95.776343034354213</v>
      </c>
      <c r="T94">
        <f t="shared" si="19"/>
        <v>95.776343034354213</v>
      </c>
      <c r="U94" s="3">
        <f t="shared" si="20"/>
        <v>19.981973822427001</v>
      </c>
      <c r="V94">
        <f t="shared" si="28"/>
        <v>0</v>
      </c>
      <c r="W94" s="8">
        <f t="shared" si="14"/>
        <v>0</v>
      </c>
      <c r="X94" s="1">
        <f t="shared" si="22"/>
        <v>50.912154624450011</v>
      </c>
      <c r="Y94" s="18"/>
      <c r="Z94" s="7"/>
      <c r="AA94" s="1"/>
      <c r="AB94" s="1"/>
      <c r="AC94" s="1"/>
    </row>
    <row r="95" spans="1:29" x14ac:dyDescent="0.3">
      <c r="A95">
        <v>94</v>
      </c>
      <c r="E95">
        <v>-484.20408033170003</v>
      </c>
      <c r="F95">
        <v>137.69760673920001</v>
      </c>
      <c r="G95">
        <v>392.06830483204999</v>
      </c>
      <c r="H95">
        <v>47.943653253868</v>
      </c>
      <c r="I95">
        <v>-3.3828947363520001</v>
      </c>
      <c r="J95">
        <v>20.419465283767</v>
      </c>
      <c r="L95" s="1">
        <f t="shared" si="23"/>
        <v>3.7214288528589998</v>
      </c>
      <c r="M95">
        <f t="shared" si="24"/>
        <v>356.62359168926798</v>
      </c>
      <c r="N95">
        <f t="shared" si="15"/>
        <v>0.99062108802574445</v>
      </c>
      <c r="O95">
        <f t="shared" si="16"/>
        <v>47.943653253868</v>
      </c>
      <c r="P95">
        <f t="shared" si="17"/>
        <v>47</v>
      </c>
      <c r="Q95">
        <f t="shared" si="27"/>
        <v>94.169920064273001</v>
      </c>
      <c r="R95">
        <f t="shared" si="18"/>
        <v>94.169920064273001</v>
      </c>
      <c r="S95">
        <f t="shared" si="13"/>
        <v>95.969551213003598</v>
      </c>
      <c r="T95">
        <f t="shared" si="19"/>
        <v>95.969551213003598</v>
      </c>
      <c r="U95" s="3">
        <f t="shared" si="20"/>
        <v>20.419465283767</v>
      </c>
      <c r="V95">
        <f t="shared" si="28"/>
        <v>0</v>
      </c>
      <c r="W95" s="8">
        <f t="shared" si="14"/>
        <v>0</v>
      </c>
      <c r="X95" s="1">
        <f t="shared" si="22"/>
        <v>50.912154624450011</v>
      </c>
      <c r="Y95" s="18"/>
      <c r="Z95" s="7"/>
      <c r="AA95" s="1"/>
      <c r="AB95" s="1"/>
      <c r="AC95" s="1"/>
    </row>
    <row r="96" spans="1:29" x14ac:dyDescent="0.3">
      <c r="A96">
        <v>95</v>
      </c>
      <c r="E96">
        <v>-483.53091409220002</v>
      </c>
      <c r="F96">
        <v>138.28732089377999</v>
      </c>
      <c r="G96">
        <v>395.08074663516999</v>
      </c>
      <c r="H96">
        <v>48.019912010805001</v>
      </c>
      <c r="I96">
        <v>0.33007527011179999</v>
      </c>
      <c r="J96">
        <v>20.872222608552999</v>
      </c>
      <c r="L96" s="1">
        <f t="shared" si="23"/>
        <v>3.7129700064638</v>
      </c>
      <c r="M96">
        <f t="shared" si="24"/>
        <v>360.3365616957318</v>
      </c>
      <c r="N96">
        <f t="shared" si="15"/>
        <v>1.000934893599255</v>
      </c>
      <c r="O96">
        <f t="shared" si="16"/>
        <v>48.019912010805001</v>
      </c>
      <c r="P96">
        <f t="shared" si="17"/>
        <v>48</v>
      </c>
      <c r="Q96">
        <f t="shared" si="27"/>
        <v>94.307243964649999</v>
      </c>
      <c r="R96">
        <f t="shared" si="18"/>
        <v>94.307243964649999</v>
      </c>
      <c r="S96">
        <f t="shared" si="13"/>
        <v>96.167404285058723</v>
      </c>
      <c r="T96">
        <f t="shared" si="19"/>
        <v>96.167404285058723</v>
      </c>
      <c r="U96" s="3">
        <f t="shared" si="20"/>
        <v>20.872222608552999</v>
      </c>
      <c r="V96">
        <f t="shared" si="28"/>
        <v>2</v>
      </c>
      <c r="W96" s="8">
        <f t="shared" si="14"/>
        <v>24.914850183252</v>
      </c>
      <c r="X96" s="1">
        <f t="shared" si="22"/>
        <v>24.914850183252</v>
      </c>
      <c r="Y96" s="18"/>
      <c r="Z96" s="7"/>
      <c r="AA96" s="1"/>
      <c r="AB96" s="1"/>
      <c r="AC96" s="1"/>
    </row>
    <row r="97" spans="1:29" x14ac:dyDescent="0.3">
      <c r="A97">
        <v>96</v>
      </c>
      <c r="E97">
        <v>-482.81740450580003</v>
      </c>
      <c r="F97">
        <v>138.62791383989</v>
      </c>
      <c r="G97">
        <v>398.12232791692998</v>
      </c>
      <c r="H97">
        <v>48.044711204111998</v>
      </c>
      <c r="I97">
        <v>4.0352686109781004</v>
      </c>
      <c r="J97">
        <v>21.352770926179002</v>
      </c>
      <c r="L97" s="1">
        <f t="shared" si="23"/>
        <v>3.7051933408663005</v>
      </c>
      <c r="M97">
        <f t="shared" si="24"/>
        <v>364.04175503659809</v>
      </c>
      <c r="N97">
        <f t="shared" si="15"/>
        <v>1.0112270973238835</v>
      </c>
      <c r="O97">
        <f t="shared" si="16"/>
        <v>48.044711204111998</v>
      </c>
      <c r="P97">
        <f t="shared" si="17"/>
        <v>49</v>
      </c>
      <c r="Q97">
        <f t="shared" si="27"/>
        <v>94.368161278201001</v>
      </c>
      <c r="R97">
        <f t="shared" si="18"/>
        <v>94.368161278201001</v>
      </c>
      <c r="S97">
        <f t="shared" si="13"/>
        <v>96.286538530514434</v>
      </c>
      <c r="T97">
        <f t="shared" si="19"/>
        <v>96.286538530514434</v>
      </c>
      <c r="U97" s="3">
        <f t="shared" si="20"/>
        <v>21.352770926179002</v>
      </c>
      <c r="V97">
        <f t="shared" si="28"/>
        <v>3</v>
      </c>
      <c r="W97" s="8">
        <f t="shared" si="14"/>
        <v>25.21176478844</v>
      </c>
      <c r="X97" s="1">
        <f t="shared" si="22"/>
        <v>25.21176478844</v>
      </c>
      <c r="Y97" s="18"/>
      <c r="Z97" s="7"/>
      <c r="AA97" s="1"/>
      <c r="AB97" s="1"/>
      <c r="AC97" s="1"/>
    </row>
    <row r="98" spans="1:29" x14ac:dyDescent="0.3">
      <c r="A98">
        <v>97</v>
      </c>
      <c r="E98">
        <v>-482.14045097979999</v>
      </c>
      <c r="F98">
        <v>138.82005587945</v>
      </c>
      <c r="G98">
        <v>401.18498086395999</v>
      </c>
      <c r="H98">
        <v>48.122965171780997</v>
      </c>
      <c r="I98">
        <v>7.7429411304027997</v>
      </c>
      <c r="J98">
        <v>21.789230592433</v>
      </c>
      <c r="L98" s="1">
        <f t="shared" si="23"/>
        <v>3.7076725194246993</v>
      </c>
      <c r="M98">
        <f t="shared" si="24"/>
        <v>367.74942755602279</v>
      </c>
      <c r="N98">
        <f t="shared" si="15"/>
        <v>1.021526187655619</v>
      </c>
      <c r="O98">
        <f t="shared" si="16"/>
        <v>48.122965171780997</v>
      </c>
      <c r="P98">
        <f t="shared" si="17"/>
        <v>50</v>
      </c>
      <c r="Q98">
        <f t="shared" si="27"/>
        <v>94.495278408482989</v>
      </c>
      <c r="R98">
        <f t="shared" si="18"/>
        <v>94.495278408482989</v>
      </c>
      <c r="S98">
        <f t="shared" si="13"/>
        <v>96.462736693085645</v>
      </c>
      <c r="T98">
        <f t="shared" si="19"/>
        <v>96.462736693085645</v>
      </c>
      <c r="U98" s="3">
        <f t="shared" si="20"/>
        <v>21.789230592433</v>
      </c>
      <c r="V98">
        <f t="shared" si="28"/>
        <v>3</v>
      </c>
      <c r="W98" s="8">
        <f t="shared" si="14"/>
        <v>25.648224454693999</v>
      </c>
      <c r="X98" s="1">
        <f t="shared" si="22"/>
        <v>25.648224454693999</v>
      </c>
      <c r="Y98" s="18"/>
      <c r="Z98" s="7"/>
      <c r="AA98" s="1"/>
      <c r="AB98" s="1"/>
      <c r="AC98" s="1"/>
    </row>
    <row r="99" spans="1:29" x14ac:dyDescent="0.3">
      <c r="A99">
        <v>98</v>
      </c>
      <c r="E99">
        <v>-481.45200796260002</v>
      </c>
      <c r="F99">
        <v>138.81801088873999</v>
      </c>
      <c r="G99">
        <v>404.25117872955002</v>
      </c>
      <c r="H99">
        <v>48.207827719000001</v>
      </c>
      <c r="I99">
        <v>11.443665939014</v>
      </c>
      <c r="J99">
        <v>22.229012550324001</v>
      </c>
      <c r="L99" s="1">
        <f t="shared" si="23"/>
        <v>3.7007248086112003</v>
      </c>
      <c r="M99">
        <f t="shared" si="24"/>
        <v>371.45015236463399</v>
      </c>
      <c r="N99">
        <f t="shared" si="15"/>
        <v>1.0318059787906499</v>
      </c>
      <c r="O99">
        <f t="shared" si="16"/>
        <v>48.207827719000001</v>
      </c>
      <c r="P99">
        <f t="shared" si="17"/>
        <v>51</v>
      </c>
      <c r="Q99">
        <f t="shared" si="27"/>
        <v>94.642245143775</v>
      </c>
      <c r="R99">
        <f t="shared" si="18"/>
        <v>94.642245143775</v>
      </c>
      <c r="S99">
        <f t="shared" si="13"/>
        <v>96.661587318671749</v>
      </c>
      <c r="T99">
        <f t="shared" si="19"/>
        <v>96.661587318671749</v>
      </c>
      <c r="U99" s="3">
        <f t="shared" si="20"/>
        <v>22.229012550324001</v>
      </c>
      <c r="V99">
        <f t="shared" si="28"/>
        <v>4</v>
      </c>
      <c r="W99" s="8">
        <f t="shared" si="14"/>
        <v>25.912751782821999</v>
      </c>
      <c r="X99" s="1">
        <f t="shared" si="22"/>
        <v>25.912751782821999</v>
      </c>
      <c r="Y99" s="18"/>
      <c r="Z99" s="7"/>
      <c r="AA99" s="1"/>
      <c r="AB99" s="1"/>
      <c r="AC99" s="1"/>
    </row>
    <row r="100" spans="1:29" x14ac:dyDescent="0.3">
      <c r="A100">
        <v>99</v>
      </c>
      <c r="E100">
        <v>-480.74735750079998</v>
      </c>
      <c r="F100">
        <v>138.58009609266</v>
      </c>
      <c r="G100">
        <v>407.30463892168001</v>
      </c>
      <c r="H100">
        <v>48.256766182551999</v>
      </c>
      <c r="I100">
        <v>15.139112034770999</v>
      </c>
      <c r="J100">
        <v>22.676438840115999</v>
      </c>
      <c r="L100" s="1">
        <f t="shared" si="23"/>
        <v>3.6954460957569992</v>
      </c>
      <c r="M100">
        <f t="shared" si="24"/>
        <v>375.145598460391</v>
      </c>
      <c r="N100">
        <f t="shared" si="15"/>
        <v>1.0420711068344195</v>
      </c>
      <c r="O100">
        <f t="shared" si="16"/>
        <v>48.256766182551999</v>
      </c>
      <c r="P100">
        <f t="shared" si="17"/>
        <v>52</v>
      </c>
      <c r="Q100">
        <f t="shared" si="27"/>
        <v>94.756356952392991</v>
      </c>
      <c r="R100">
        <f t="shared" si="18"/>
        <v>94.756356952392991</v>
      </c>
      <c r="S100">
        <f t="shared" si="13"/>
        <v>96.824933347650258</v>
      </c>
      <c r="T100">
        <f t="shared" si="19"/>
        <v>96.824933347650258</v>
      </c>
      <c r="U100" s="3">
        <f t="shared" si="20"/>
        <v>22.676438840115999</v>
      </c>
      <c r="V100">
        <f t="shared" si="28"/>
        <v>5</v>
      </c>
      <c r="W100" s="8">
        <f t="shared" si="14"/>
        <v>26.086153644844998</v>
      </c>
      <c r="X100" s="1">
        <f t="shared" si="22"/>
        <v>26.086153644844998</v>
      </c>
      <c r="Y100" s="18"/>
      <c r="Z100" s="7"/>
      <c r="AA100" s="1"/>
      <c r="AB100" s="1"/>
      <c r="AC100" s="1"/>
    </row>
    <row r="101" spans="1:29" x14ac:dyDescent="0.3">
      <c r="A101">
        <v>100</v>
      </c>
      <c r="E101">
        <v>-480.06117244379999</v>
      </c>
      <c r="F101">
        <v>138.16719978513001</v>
      </c>
      <c r="G101">
        <v>410.34337477567999</v>
      </c>
      <c r="H101">
        <v>48.331581313464</v>
      </c>
      <c r="I101">
        <v>18.832954704544999</v>
      </c>
      <c r="J101">
        <v>23.099593020535998</v>
      </c>
      <c r="L101" s="1">
        <f t="shared" si="23"/>
        <v>3.6938426697739999</v>
      </c>
      <c r="M101">
        <f t="shared" si="24"/>
        <v>378.83944113016503</v>
      </c>
      <c r="N101">
        <f t="shared" si="15"/>
        <v>1.0523317809171251</v>
      </c>
      <c r="O101">
        <f t="shared" si="16"/>
        <v>48.331581313464</v>
      </c>
      <c r="P101">
        <f t="shared" si="17"/>
        <v>53</v>
      </c>
      <c r="Q101">
        <f t="shared" si="27"/>
        <v>94.935501542872998</v>
      </c>
      <c r="R101">
        <f t="shared" si="18"/>
        <v>94.935501542872998</v>
      </c>
      <c r="S101">
        <f t="shared" si="13"/>
        <v>97.040091405037103</v>
      </c>
      <c r="T101">
        <f t="shared" si="19"/>
        <v>97.040091405037103</v>
      </c>
      <c r="U101" s="3">
        <f t="shared" si="20"/>
        <v>23.099593020535998</v>
      </c>
      <c r="V101">
        <f t="shared" si="28"/>
        <v>6</v>
      </c>
      <c r="W101" s="8">
        <f t="shared" si="14"/>
        <v>26.294715708024999</v>
      </c>
      <c r="X101" s="1">
        <f t="shared" si="22"/>
        <v>26.294715708024999</v>
      </c>
      <c r="Y101" s="18"/>
      <c r="Z101" s="7"/>
      <c r="AA101" s="1"/>
      <c r="AB101" s="1"/>
      <c r="AC101" s="1"/>
    </row>
    <row r="102" spans="1:29" x14ac:dyDescent="0.3">
      <c r="A102">
        <v>101</v>
      </c>
      <c r="E102">
        <v>-479.3490695452</v>
      </c>
      <c r="F102">
        <v>137.56499301807</v>
      </c>
      <c r="G102">
        <v>413.34421665128002</v>
      </c>
      <c r="H102">
        <v>48.413062218275002</v>
      </c>
      <c r="I102">
        <v>22.517038774176001</v>
      </c>
      <c r="J102">
        <v>23.543958344353001</v>
      </c>
      <c r="L102" s="1">
        <f t="shared" si="23"/>
        <v>3.6840840696310018</v>
      </c>
      <c r="M102">
        <f t="shared" si="24"/>
        <v>382.52352519979604</v>
      </c>
      <c r="N102">
        <f t="shared" si="15"/>
        <v>1.0625653477772112</v>
      </c>
      <c r="O102">
        <f t="shared" si="16"/>
        <v>48.413062218275002</v>
      </c>
      <c r="P102">
        <f t="shared" si="17"/>
        <v>54</v>
      </c>
      <c r="Q102">
        <f t="shared" si="27"/>
        <v>95.078918265698007</v>
      </c>
      <c r="R102">
        <f t="shared" si="18"/>
        <v>95.078918265698007</v>
      </c>
      <c r="S102">
        <f t="shared" si="13"/>
        <v>97.225820410844477</v>
      </c>
      <c r="T102">
        <f t="shared" si="19"/>
        <v>97.225820410844477</v>
      </c>
      <c r="U102" s="3">
        <f t="shared" si="20"/>
        <v>23.543958344353001</v>
      </c>
      <c r="V102">
        <f t="shared" si="28"/>
        <v>7</v>
      </c>
      <c r="W102" s="8">
        <f t="shared" si="14"/>
        <v>26.522925325327002</v>
      </c>
      <c r="X102" s="1">
        <f t="shared" si="22"/>
        <v>26.522925325327002</v>
      </c>
      <c r="Y102" s="18"/>
      <c r="Z102" s="7"/>
      <c r="AA102" s="1"/>
      <c r="AB102" s="1"/>
      <c r="AC102" s="1"/>
    </row>
    <row r="103" spans="1:29" x14ac:dyDescent="0.3">
      <c r="A103">
        <v>102</v>
      </c>
      <c r="E103">
        <v>-478.6325390774</v>
      </c>
      <c r="F103">
        <v>136.76342049824001</v>
      </c>
      <c r="G103">
        <v>416.29712399597997</v>
      </c>
      <c r="H103">
        <v>48.489285348384001</v>
      </c>
      <c r="I103">
        <v>26.195400032990001</v>
      </c>
      <c r="J103">
        <v>23.988530368138999</v>
      </c>
      <c r="L103" s="1">
        <f t="shared" si="23"/>
        <v>3.6783612588140002</v>
      </c>
      <c r="M103">
        <f t="shared" si="24"/>
        <v>386.20188645861003</v>
      </c>
      <c r="N103">
        <f t="shared" si="15"/>
        <v>1.0727830179405835</v>
      </c>
      <c r="O103">
        <f t="shared" si="16"/>
        <v>48.489285348384001</v>
      </c>
      <c r="P103">
        <f t="shared" si="17"/>
        <v>55</v>
      </c>
      <c r="Q103">
        <f t="shared" si="27"/>
        <v>95.204125074328005</v>
      </c>
      <c r="R103">
        <f t="shared" si="18"/>
        <v>95.204125074328005</v>
      </c>
      <c r="S103">
        <f t="shared" si="13"/>
        <v>97.388253262386897</v>
      </c>
      <c r="T103">
        <f t="shared" si="19"/>
        <v>97.388253262386897</v>
      </c>
      <c r="U103" s="3">
        <f t="shared" si="20"/>
        <v>23.988530368138999</v>
      </c>
      <c r="V103">
        <f t="shared" si="28"/>
        <v>8</v>
      </c>
      <c r="W103" s="8">
        <f t="shared" si="14"/>
        <v>26.711031139296999</v>
      </c>
      <c r="X103" s="1">
        <f t="shared" si="22"/>
        <v>26.711031139296999</v>
      </c>
      <c r="Y103" s="18"/>
      <c r="Z103" s="7"/>
      <c r="AA103" s="1"/>
      <c r="AB103" s="1"/>
      <c r="AC103" s="1"/>
    </row>
    <row r="104" spans="1:29" x14ac:dyDescent="0.3">
      <c r="A104">
        <v>103</v>
      </c>
      <c r="E104">
        <v>-477.92300093799997</v>
      </c>
      <c r="F104">
        <v>135.79467432646001</v>
      </c>
      <c r="G104">
        <v>419.20090676895001</v>
      </c>
      <c r="H104">
        <v>48.591000325652999</v>
      </c>
      <c r="I104">
        <v>29.867460068658001</v>
      </c>
      <c r="J104">
        <v>24.423329831301999</v>
      </c>
      <c r="L104" s="1">
        <f t="shared" si="23"/>
        <v>3.6720600356680002</v>
      </c>
      <c r="M104">
        <f t="shared" si="24"/>
        <v>389.87394649427802</v>
      </c>
      <c r="N104">
        <f t="shared" si="15"/>
        <v>1.0829831847063278</v>
      </c>
      <c r="O104">
        <f t="shared" si="16"/>
        <v>48.591000325652999</v>
      </c>
      <c r="P104">
        <f t="shared" si="17"/>
        <v>56</v>
      </c>
      <c r="Q104">
        <f t="shared" si="27"/>
        <v>95.387749479832991</v>
      </c>
      <c r="R104">
        <f t="shared" si="18"/>
        <v>95.387749479832991</v>
      </c>
      <c r="S104">
        <f t="shared" si="13"/>
        <v>97.604078274475583</v>
      </c>
      <c r="T104">
        <f t="shared" si="19"/>
        <v>97.604078274475583</v>
      </c>
      <c r="U104" s="3">
        <f t="shared" si="20"/>
        <v>24.423329831301999</v>
      </c>
      <c r="V104">
        <f t="shared" si="28"/>
        <v>9</v>
      </c>
      <c r="W104" s="8">
        <f t="shared" si="14"/>
        <v>27.014118207065998</v>
      </c>
      <c r="X104" s="1">
        <f t="shared" si="22"/>
        <v>27.014118207065998</v>
      </c>
      <c r="Y104" s="18"/>
      <c r="Z104" s="7"/>
      <c r="AA104" s="1"/>
      <c r="AB104" s="1"/>
      <c r="AC104" s="1"/>
    </row>
    <row r="105" spans="1:29" x14ac:dyDescent="0.3">
      <c r="A105">
        <v>104</v>
      </c>
      <c r="E105">
        <v>-477.2047421149</v>
      </c>
      <c r="F105">
        <v>134.62979550902</v>
      </c>
      <c r="G105">
        <v>422.02993618277998</v>
      </c>
      <c r="H105">
        <v>48.681916493335002</v>
      </c>
      <c r="I105">
        <v>33.531967098298999</v>
      </c>
      <c r="J105">
        <v>24.864892177523998</v>
      </c>
      <c r="L105" s="1">
        <f t="shared" si="23"/>
        <v>3.6645070296409976</v>
      </c>
      <c r="M105">
        <f t="shared" si="24"/>
        <v>393.53845352391903</v>
      </c>
      <c r="N105">
        <f t="shared" si="15"/>
        <v>1.0931623708997751</v>
      </c>
      <c r="O105">
        <f t="shared" si="16"/>
        <v>48.681916493335002</v>
      </c>
      <c r="P105">
        <f t="shared" si="17"/>
        <v>57</v>
      </c>
      <c r="Q105">
        <f t="shared" si="27"/>
        <v>95.552294748980003</v>
      </c>
      <c r="R105">
        <f t="shared" si="18"/>
        <v>95.552294748980003</v>
      </c>
      <c r="S105">
        <f t="shared" si="13"/>
        <v>97.801088814417142</v>
      </c>
      <c r="T105">
        <f t="shared" si="19"/>
        <v>97.801088814417142</v>
      </c>
      <c r="U105" s="3">
        <f t="shared" si="20"/>
        <v>24.864892177523998</v>
      </c>
      <c r="V105">
        <f t="shared" si="28"/>
        <v>10</v>
      </c>
      <c r="W105" s="8">
        <f t="shared" si="14"/>
        <v>27.299409697757998</v>
      </c>
      <c r="X105" s="1">
        <f t="shared" si="22"/>
        <v>27.299409697757998</v>
      </c>
      <c r="Y105" s="18"/>
      <c r="Z105" s="7"/>
      <c r="AA105" s="1"/>
      <c r="AB105" s="1"/>
      <c r="AC105" s="1"/>
    </row>
    <row r="106" spans="1:29" x14ac:dyDescent="0.3">
      <c r="A106">
        <v>105</v>
      </c>
      <c r="E106">
        <v>-476.48549009769999</v>
      </c>
      <c r="F106">
        <v>133.27168780079</v>
      </c>
      <c r="G106">
        <v>424.77111125813002</v>
      </c>
      <c r="H106">
        <v>48.759356906529</v>
      </c>
      <c r="I106">
        <v>37.190449726678999</v>
      </c>
      <c r="J106">
        <v>25.306688520643998</v>
      </c>
      <c r="L106" s="1">
        <f t="shared" si="23"/>
        <v>3.6584826283799998</v>
      </c>
      <c r="M106">
        <f t="shared" si="24"/>
        <v>397.19693615229903</v>
      </c>
      <c r="N106">
        <f t="shared" si="15"/>
        <v>1.103324822645275</v>
      </c>
      <c r="O106">
        <f t="shared" si="16"/>
        <v>48.759356906529</v>
      </c>
      <c r="P106">
        <f t="shared" si="17"/>
        <v>57</v>
      </c>
      <c r="Q106">
        <f t="shared" si="27"/>
        <v>95.629735162174001</v>
      </c>
      <c r="R106">
        <f t="shared" si="18"/>
        <v>95.629735162174001</v>
      </c>
      <c r="S106">
        <f t="shared" si="13"/>
        <v>97.921441456684207</v>
      </c>
      <c r="T106">
        <f t="shared" si="19"/>
        <v>97.921441456684207</v>
      </c>
      <c r="U106" s="3">
        <f t="shared" si="20"/>
        <v>25.306688520643998</v>
      </c>
      <c r="V106">
        <f t="shared" si="28"/>
        <v>11</v>
      </c>
      <c r="W106" s="8">
        <f t="shared" si="14"/>
        <v>27.501316231836</v>
      </c>
      <c r="X106" s="1">
        <f t="shared" si="22"/>
        <v>27.501316231836</v>
      </c>
      <c r="Y106" s="18"/>
      <c r="Z106" s="7"/>
      <c r="AA106" s="1"/>
      <c r="AB106" s="1"/>
      <c r="AC106" s="1"/>
    </row>
    <row r="107" spans="1:29" x14ac:dyDescent="0.3">
      <c r="A107">
        <v>106</v>
      </c>
      <c r="E107">
        <v>-475.76442389649998</v>
      </c>
      <c r="F107">
        <v>131.72850554009</v>
      </c>
      <c r="G107">
        <v>427.41202779467</v>
      </c>
      <c r="H107">
        <v>48.824776578616998</v>
      </c>
      <c r="I107">
        <v>40.843495036344002</v>
      </c>
      <c r="J107">
        <v>25.750859992068001</v>
      </c>
      <c r="L107" s="1">
        <f t="shared" si="23"/>
        <v>3.6530453096650035</v>
      </c>
      <c r="M107">
        <f t="shared" si="24"/>
        <v>400.84998146196403</v>
      </c>
      <c r="N107">
        <f t="shared" si="15"/>
        <v>1.1134721707276778</v>
      </c>
      <c r="O107">
        <f t="shared" si="16"/>
        <v>48.824776578616998</v>
      </c>
      <c r="P107">
        <f t="shared" si="17"/>
        <v>58</v>
      </c>
      <c r="Q107">
        <f t="shared" si="27"/>
        <v>95.764095157328995</v>
      </c>
      <c r="R107">
        <f t="shared" si="18"/>
        <v>95.764095157328995</v>
      </c>
      <c r="S107">
        <f t="shared" si="13"/>
        <v>98.093026779649989</v>
      </c>
      <c r="T107">
        <f t="shared" si="19"/>
        <v>98.093026779649989</v>
      </c>
      <c r="U107" s="3">
        <f t="shared" si="20"/>
        <v>25.750859992068001</v>
      </c>
      <c r="V107">
        <f t="shared" si="28"/>
        <v>12</v>
      </c>
      <c r="W107" s="8">
        <f t="shared" si="14"/>
        <v>27.773973259163</v>
      </c>
      <c r="X107" s="1">
        <f t="shared" si="22"/>
        <v>27.773973259163</v>
      </c>
      <c r="Y107" s="18"/>
      <c r="Z107" s="7"/>
      <c r="AA107" s="1"/>
      <c r="AB107" s="1"/>
      <c r="AC107" s="1"/>
    </row>
    <row r="108" spans="1:29" x14ac:dyDescent="0.3">
      <c r="A108">
        <v>107</v>
      </c>
      <c r="E108">
        <v>-475.04425652150002</v>
      </c>
      <c r="F108">
        <v>130.021801189</v>
      </c>
      <c r="G108">
        <v>429.95056314298</v>
      </c>
      <c r="H108">
        <v>48.895436867792</v>
      </c>
      <c r="I108">
        <v>44.491170193489999</v>
      </c>
      <c r="J108">
        <v>26.195744467657001</v>
      </c>
      <c r="L108" s="1">
        <f t="shared" si="23"/>
        <v>3.6476751571459971</v>
      </c>
      <c r="M108">
        <f t="shared" si="24"/>
        <v>404.49765661911005</v>
      </c>
      <c r="N108">
        <f t="shared" si="15"/>
        <v>1.1236046017197501</v>
      </c>
      <c r="O108">
        <f t="shared" si="16"/>
        <v>48.895436867792</v>
      </c>
      <c r="P108">
        <f t="shared" si="17"/>
        <v>59</v>
      </c>
      <c r="Q108">
        <f t="shared" si="27"/>
        <v>95.877683845143991</v>
      </c>
      <c r="R108">
        <f t="shared" si="18"/>
        <v>95.877683845143991</v>
      </c>
      <c r="S108">
        <f t="shared" si="13"/>
        <v>98.236987317383452</v>
      </c>
      <c r="T108">
        <f t="shared" si="19"/>
        <v>98.236987317383452</v>
      </c>
      <c r="U108" s="3">
        <f t="shared" si="20"/>
        <v>26.195744467657001</v>
      </c>
      <c r="V108">
        <f t="shared" si="28"/>
        <v>13</v>
      </c>
      <c r="W108" s="8">
        <f t="shared" si="14"/>
        <v>28.049229460974001</v>
      </c>
      <c r="X108" s="1">
        <f t="shared" si="22"/>
        <v>28.049229460974001</v>
      </c>
      <c r="Y108" s="18"/>
      <c r="Z108" s="7"/>
      <c r="AA108" s="1"/>
      <c r="AB108" s="1"/>
      <c r="AC108" s="1"/>
    </row>
    <row r="109" spans="1:29" x14ac:dyDescent="0.3">
      <c r="A109">
        <v>108</v>
      </c>
      <c r="E109">
        <v>-474.325081818</v>
      </c>
      <c r="F109">
        <v>128.15530677923999</v>
      </c>
      <c r="G109">
        <v>432.37472598071997</v>
      </c>
      <c r="H109">
        <v>48.967477943894998</v>
      </c>
      <c r="I109">
        <v>48.133561551893003</v>
      </c>
      <c r="J109">
        <v>26.642360369679999</v>
      </c>
      <c r="L109" s="1">
        <f t="shared" si="23"/>
        <v>3.6423913584030032</v>
      </c>
      <c r="M109">
        <f t="shared" si="24"/>
        <v>408.14004797751306</v>
      </c>
      <c r="N109">
        <f t="shared" si="15"/>
        <v>1.1337223554930917</v>
      </c>
      <c r="O109">
        <f t="shared" si="16"/>
        <v>48.967477943894998</v>
      </c>
      <c r="P109">
        <f t="shared" si="17"/>
        <v>60</v>
      </c>
      <c r="Q109">
        <f t="shared" si="27"/>
        <v>96.001075638669988</v>
      </c>
      <c r="R109">
        <f t="shared" si="18"/>
        <v>96.001075638669988</v>
      </c>
      <c r="S109">
        <f t="shared" si="13"/>
        <v>98.391671087118397</v>
      </c>
      <c r="T109">
        <f t="shared" si="19"/>
        <v>98.391671087118397</v>
      </c>
      <c r="U109" s="3">
        <f t="shared" si="20"/>
        <v>26.642360369679999</v>
      </c>
      <c r="V109">
        <f t="shared" si="28"/>
        <v>14</v>
      </c>
      <c r="W109" s="8">
        <f t="shared" si="14"/>
        <v>28.231869348308997</v>
      </c>
      <c r="X109" s="1">
        <f t="shared" si="22"/>
        <v>28.231869348308997</v>
      </c>
      <c r="Y109" s="18"/>
      <c r="Z109" s="7"/>
      <c r="AA109" s="1"/>
      <c r="AB109" s="1"/>
      <c r="AC109" s="1"/>
    </row>
    <row r="110" spans="1:29" x14ac:dyDescent="0.3">
      <c r="A110">
        <v>109</v>
      </c>
      <c r="E110">
        <v>-473.6113833082</v>
      </c>
      <c r="F110">
        <v>126.12196234021</v>
      </c>
      <c r="G110">
        <v>434.66228213724003</v>
      </c>
      <c r="H110">
        <v>49.021422906532003</v>
      </c>
      <c r="I110">
        <v>51.771751586099001</v>
      </c>
      <c r="J110">
        <v>27.087739747478999</v>
      </c>
      <c r="L110" s="1">
        <f t="shared" si="23"/>
        <v>3.6381900342059978</v>
      </c>
      <c r="M110">
        <f t="shared" si="24"/>
        <v>411.77823801171905</v>
      </c>
      <c r="N110">
        <f t="shared" si="15"/>
        <v>1.1438284389214419</v>
      </c>
      <c r="O110">
        <f t="shared" si="16"/>
        <v>49.021422906532003</v>
      </c>
      <c r="P110">
        <f t="shared" si="17"/>
        <v>61</v>
      </c>
      <c r="Q110">
        <f t="shared" si="27"/>
        <v>96.10162577243301</v>
      </c>
      <c r="R110">
        <f t="shared" si="18"/>
        <v>96.10162577243301</v>
      </c>
      <c r="S110">
        <f t="shared" si="13"/>
        <v>98.517084066758841</v>
      </c>
      <c r="T110">
        <f t="shared" si="19"/>
        <v>98.517084066758841</v>
      </c>
      <c r="U110" s="3">
        <f t="shared" si="20"/>
        <v>27.087739747478999</v>
      </c>
      <c r="V110">
        <f t="shared" si="28"/>
        <v>15</v>
      </c>
      <c r="W110" s="8">
        <f t="shared" si="14"/>
        <v>28.485301732525997</v>
      </c>
      <c r="X110" s="1">
        <f t="shared" si="22"/>
        <v>28.485301732525997</v>
      </c>
      <c r="Y110" s="18"/>
      <c r="Z110" s="7"/>
      <c r="AA110" s="1"/>
      <c r="AB110" s="1"/>
      <c r="AC110" s="1"/>
    </row>
    <row r="111" spans="1:29" x14ac:dyDescent="0.3">
      <c r="A111">
        <v>110</v>
      </c>
      <c r="E111">
        <v>-472.8992240897</v>
      </c>
      <c r="F111">
        <v>123.93800267903001</v>
      </c>
      <c r="G111">
        <v>436.80696183801001</v>
      </c>
      <c r="H111">
        <v>49.065157947812999</v>
      </c>
      <c r="I111">
        <v>55.405808505209002</v>
      </c>
      <c r="J111">
        <v>27.536961404393001</v>
      </c>
      <c r="L111" s="1">
        <f t="shared" si="23"/>
        <v>3.6340569191100016</v>
      </c>
      <c r="M111">
        <f t="shared" si="24"/>
        <v>415.41229493082903</v>
      </c>
      <c r="N111">
        <f t="shared" si="15"/>
        <v>1.1539230414745252</v>
      </c>
      <c r="O111">
        <f t="shared" si="16"/>
        <v>49.065157947812999</v>
      </c>
      <c r="P111">
        <f t="shared" si="17"/>
        <v>62</v>
      </c>
      <c r="Q111">
        <f t="shared" si="27"/>
        <v>96.188670502089991</v>
      </c>
      <c r="R111">
        <f t="shared" si="18"/>
        <v>96.188670502089991</v>
      </c>
      <c r="S111">
        <f t="shared" si="13"/>
        <v>98.634551756953471</v>
      </c>
      <c r="T111">
        <f t="shared" si="19"/>
        <v>98.634551756953471</v>
      </c>
      <c r="U111" s="3">
        <f t="shared" si="20"/>
        <v>27.536961404393001</v>
      </c>
      <c r="V111">
        <f t="shared" si="28"/>
        <v>16</v>
      </c>
      <c r="W111" s="8">
        <f t="shared" si="14"/>
        <v>28.734110350908001</v>
      </c>
      <c r="X111" s="1">
        <f t="shared" si="22"/>
        <v>28.734110350908001</v>
      </c>
      <c r="Y111" s="18"/>
      <c r="Z111" s="7"/>
      <c r="AA111" s="1"/>
      <c r="AB111" s="1"/>
      <c r="AC111" s="1"/>
    </row>
    <row r="112" spans="1:29" x14ac:dyDescent="0.3">
      <c r="A112">
        <v>111</v>
      </c>
      <c r="E112">
        <v>-472.18092998660001</v>
      </c>
      <c r="F112">
        <v>121.62326022197</v>
      </c>
      <c r="G112">
        <v>438.80746562591003</v>
      </c>
      <c r="H112">
        <v>49.111556466536001</v>
      </c>
      <c r="I112">
        <v>59.034268350060998</v>
      </c>
      <c r="J112">
        <v>27.998573078416001</v>
      </c>
      <c r="L112" s="1">
        <f t="shared" si="23"/>
        <v>3.6284598448519958</v>
      </c>
      <c r="M112">
        <f t="shared" si="24"/>
        <v>419.04075477568102</v>
      </c>
      <c r="N112">
        <f t="shared" si="15"/>
        <v>1.164002096599114</v>
      </c>
      <c r="O112">
        <f t="shared" si="16"/>
        <v>49.111556466536001</v>
      </c>
      <c r="P112">
        <f t="shared" si="17"/>
        <v>63</v>
      </c>
      <c r="Q112">
        <f t="shared" si="27"/>
        <v>96.268766059054997</v>
      </c>
      <c r="R112">
        <f t="shared" si="18"/>
        <v>96.268766059054997</v>
      </c>
      <c r="S112">
        <f t="shared" si="13"/>
        <v>98.744722899221856</v>
      </c>
      <c r="T112">
        <f t="shared" si="19"/>
        <v>98.744722899221856</v>
      </c>
      <c r="U112" s="3">
        <f t="shared" si="20"/>
        <v>27.998573078416001</v>
      </c>
      <c r="V112">
        <f>IFERROR(MATCH(N112-1,N:N,1),0)</f>
        <v>17</v>
      </c>
      <c r="W112" s="8">
        <f t="shared" si="14"/>
        <v>29.077699210160002</v>
      </c>
      <c r="X112" s="1">
        <f t="shared" si="22"/>
        <v>29.077699210160002</v>
      </c>
      <c r="Y112" s="18"/>
      <c r="Z112" s="7"/>
      <c r="AA112" s="1"/>
      <c r="AB112" s="1"/>
      <c r="AC112" s="1"/>
    </row>
    <row r="113" spans="1:29" x14ac:dyDescent="0.3">
      <c r="A113">
        <v>112</v>
      </c>
      <c r="E113">
        <v>-471.48034463110002</v>
      </c>
      <c r="F113">
        <v>119.17420379945</v>
      </c>
      <c r="G113">
        <v>440.64777087329003</v>
      </c>
      <c r="H113">
        <v>49.145250697103997</v>
      </c>
      <c r="I113">
        <v>62.661602805614002</v>
      </c>
      <c r="J113">
        <v>28.449969302664002</v>
      </c>
      <c r="L113" s="1">
        <f t="shared" si="23"/>
        <v>3.6273344555530045</v>
      </c>
      <c r="M113">
        <f t="shared" si="24"/>
        <v>422.66808923123403</v>
      </c>
      <c r="N113">
        <f t="shared" si="15"/>
        <v>1.1740780256423167</v>
      </c>
      <c r="O113">
        <f t="shared" si="16"/>
        <v>49.145250697103997</v>
      </c>
      <c r="P113">
        <f t="shared" si="17"/>
        <v>64</v>
      </c>
      <c r="Q113">
        <f t="shared" si="27"/>
        <v>96.340209698720003</v>
      </c>
      <c r="R113">
        <f t="shared" si="18"/>
        <v>96.340209698720003</v>
      </c>
      <c r="S113">
        <f t="shared" si="13"/>
        <v>98.840212423382638</v>
      </c>
      <c r="T113">
        <f t="shared" si="19"/>
        <v>98.840212423382638</v>
      </c>
      <c r="U113" s="3">
        <f t="shared" si="20"/>
        <v>28.449969302664002</v>
      </c>
      <c r="V113">
        <f t="shared" ref="V113:V176" si="29">IFERROR(MATCH(N113-1,N:N,1),0)</f>
        <v>18</v>
      </c>
      <c r="W113" s="8">
        <f t="shared" si="14"/>
        <v>29.365400071708002</v>
      </c>
      <c r="X113" s="1">
        <f t="shared" si="22"/>
        <v>29.365400071708002</v>
      </c>
      <c r="Y113" s="18"/>
      <c r="Z113" s="7"/>
      <c r="AA113" s="1"/>
      <c r="AB113" s="1"/>
      <c r="AC113" s="1"/>
    </row>
    <row r="114" spans="1:29" x14ac:dyDescent="0.3">
      <c r="A114">
        <v>113</v>
      </c>
      <c r="E114">
        <v>-470.78155496850002</v>
      </c>
      <c r="F114">
        <v>116.604020158</v>
      </c>
      <c r="G114">
        <v>442.31553474741997</v>
      </c>
      <c r="H114">
        <v>49.164964169995997</v>
      </c>
      <c r="I114">
        <v>66.285916201974999</v>
      </c>
      <c r="J114">
        <v>28.908520537017001</v>
      </c>
      <c r="L114" s="1">
        <f t="shared" si="23"/>
        <v>3.6243133963609964</v>
      </c>
      <c r="M114">
        <f t="shared" si="24"/>
        <v>426.29240262759504</v>
      </c>
      <c r="N114">
        <f t="shared" si="15"/>
        <v>1.1841455628544306</v>
      </c>
      <c r="O114">
        <f t="shared" si="16"/>
        <v>49.164964169995997</v>
      </c>
      <c r="P114">
        <f t="shared" si="17"/>
        <v>65</v>
      </c>
      <c r="Q114">
        <f t="shared" si="27"/>
        <v>96.38878862755999</v>
      </c>
      <c r="R114">
        <f t="shared" si="18"/>
        <v>96.38878862755999</v>
      </c>
      <c r="S114">
        <f t="shared" si="13"/>
        <v>98.913643707207143</v>
      </c>
      <c r="T114">
        <f t="shared" si="19"/>
        <v>98.913643707207143</v>
      </c>
      <c r="U114" s="3">
        <f t="shared" si="20"/>
        <v>28.908520537017001</v>
      </c>
      <c r="V114">
        <f t="shared" si="29"/>
        <v>19</v>
      </c>
      <c r="W114" s="8">
        <f t="shared" si="14"/>
        <v>29.716319839154</v>
      </c>
      <c r="X114" s="1">
        <f t="shared" si="22"/>
        <v>29.716319839154</v>
      </c>
      <c r="Y114" s="18"/>
      <c r="Z114" s="7"/>
      <c r="AA114" s="1"/>
      <c r="AB114" s="1"/>
      <c r="AC114" s="1"/>
    </row>
    <row r="115" spans="1:29" x14ac:dyDescent="0.3">
      <c r="A115">
        <v>114</v>
      </c>
      <c r="E115">
        <v>-470.08536311509999</v>
      </c>
      <c r="F115">
        <v>113.92796437705</v>
      </c>
      <c r="G115">
        <v>443.80887714112998</v>
      </c>
      <c r="H115">
        <v>49.177268430894003</v>
      </c>
      <c r="I115">
        <v>69.907942067178993</v>
      </c>
      <c r="J115">
        <v>29.374194257629</v>
      </c>
      <c r="L115" s="1">
        <f t="shared" si="23"/>
        <v>3.6220258652039945</v>
      </c>
      <c r="M115">
        <f t="shared" si="24"/>
        <v>429.91442849279906</v>
      </c>
      <c r="N115">
        <f t="shared" si="15"/>
        <v>1.1942067458133308</v>
      </c>
      <c r="O115">
        <f t="shared" si="16"/>
        <v>49.177268430894003</v>
      </c>
      <c r="P115">
        <f t="shared" si="17"/>
        <v>66</v>
      </c>
      <c r="Q115">
        <f t="shared" si="27"/>
        <v>96.421572417294001</v>
      </c>
      <c r="R115">
        <f t="shared" si="18"/>
        <v>96.421572417294001</v>
      </c>
      <c r="S115">
        <f t="shared" si="13"/>
        <v>98.97138631865613</v>
      </c>
      <c r="T115">
        <f t="shared" si="19"/>
        <v>98.97138631865613</v>
      </c>
      <c r="U115" s="3">
        <f t="shared" si="20"/>
        <v>29.374194257629</v>
      </c>
      <c r="V115">
        <f t="shared" si="29"/>
        <v>20</v>
      </c>
      <c r="W115" s="8">
        <f t="shared" si="14"/>
        <v>30.053433579223</v>
      </c>
      <c r="X115" s="1">
        <f t="shared" si="22"/>
        <v>30.053433579223</v>
      </c>
      <c r="Y115" s="18"/>
      <c r="Z115" s="7"/>
      <c r="AA115" s="1"/>
      <c r="AB115" s="1"/>
      <c r="AC115" s="1"/>
    </row>
    <row r="116" spans="1:29" x14ac:dyDescent="0.3">
      <c r="A116">
        <v>115</v>
      </c>
      <c r="E116">
        <v>-469.39359350630002</v>
      </c>
      <c r="F116">
        <v>111.16095924717</v>
      </c>
      <c r="G116">
        <v>445.12830421632998</v>
      </c>
      <c r="H116">
        <v>49.189703406249002</v>
      </c>
      <c r="I116">
        <v>73.527972595346</v>
      </c>
      <c r="J116">
        <v>29.845735042929999</v>
      </c>
      <c r="L116" s="1">
        <f t="shared" si="23"/>
        <v>3.6200305281670069</v>
      </c>
      <c r="M116">
        <f t="shared" si="24"/>
        <v>433.5344590209661</v>
      </c>
      <c r="N116">
        <f t="shared" si="15"/>
        <v>1.2042623861693502</v>
      </c>
      <c r="O116">
        <f t="shared" si="16"/>
        <v>49.189703406249002</v>
      </c>
      <c r="P116">
        <f t="shared" si="17"/>
        <v>67</v>
      </c>
      <c r="Q116">
        <f t="shared" si="27"/>
        <v>96.452295188514995</v>
      </c>
      <c r="R116">
        <f t="shared" si="18"/>
        <v>96.452295188514995</v>
      </c>
      <c r="S116">
        <f t="shared" si="13"/>
        <v>99.025823617273602</v>
      </c>
      <c r="T116">
        <f t="shared" si="19"/>
        <v>99.025823617273602</v>
      </c>
      <c r="U116" s="3">
        <f t="shared" si="20"/>
        <v>29.845735042929999</v>
      </c>
      <c r="V116">
        <f t="shared" si="29"/>
        <v>20</v>
      </c>
      <c r="W116" s="8">
        <f t="shared" si="14"/>
        <v>30.524974364523999</v>
      </c>
      <c r="X116" s="1">
        <f t="shared" si="22"/>
        <v>30.524974364523999</v>
      </c>
      <c r="Y116" s="18"/>
      <c r="Z116" s="7"/>
      <c r="AA116" s="1"/>
      <c r="AB116" s="1"/>
      <c r="AC116" s="1"/>
    </row>
    <row r="117" spans="1:29" x14ac:dyDescent="0.3">
      <c r="A117">
        <v>116</v>
      </c>
      <c r="E117">
        <v>-468.71589427599997</v>
      </c>
      <c r="F117">
        <v>108.30660462719</v>
      </c>
      <c r="G117">
        <v>446.25478386024002</v>
      </c>
      <c r="H117">
        <v>49.186148541732003</v>
      </c>
      <c r="I117">
        <v>77.148035077903998</v>
      </c>
      <c r="J117">
        <v>30.315204671983</v>
      </c>
      <c r="L117" s="1">
        <f t="shared" si="23"/>
        <v>3.6200624825579979</v>
      </c>
      <c r="M117">
        <f t="shared" si="24"/>
        <v>437.15452150352411</v>
      </c>
      <c r="N117">
        <f t="shared" si="15"/>
        <v>1.2143181152875671</v>
      </c>
      <c r="O117">
        <f t="shared" si="16"/>
        <v>49.186148541732003</v>
      </c>
      <c r="P117">
        <f t="shared" si="17"/>
        <v>68</v>
      </c>
      <c r="Q117">
        <f t="shared" si="27"/>
        <v>96.468750304540009</v>
      </c>
      <c r="R117">
        <f t="shared" si="18"/>
        <v>96.468750304540009</v>
      </c>
      <c r="S117">
        <f t="shared" si="13"/>
        <v>99.065125517937076</v>
      </c>
      <c r="T117">
        <f t="shared" si="19"/>
        <v>99.065125517937076</v>
      </c>
      <c r="U117" s="3">
        <f t="shared" si="20"/>
        <v>30.315204671983</v>
      </c>
      <c r="V117">
        <f t="shared" si="29"/>
        <v>21</v>
      </c>
      <c r="W117" s="8">
        <f t="shared" si="14"/>
        <v>30.861901843908001</v>
      </c>
      <c r="X117" s="1">
        <f t="shared" si="22"/>
        <v>30.861901843908001</v>
      </c>
      <c r="Y117" s="18"/>
      <c r="Z117" s="7"/>
      <c r="AA117" s="1"/>
      <c r="AB117" s="1"/>
      <c r="AC117" s="1"/>
    </row>
    <row r="118" spans="1:29" x14ac:dyDescent="0.3">
      <c r="A118">
        <v>117</v>
      </c>
      <c r="E118">
        <v>-468.04957033599999</v>
      </c>
      <c r="F118">
        <v>105.38615413785</v>
      </c>
      <c r="G118">
        <v>447.20486894123002</v>
      </c>
      <c r="H118">
        <v>49.190177396868997</v>
      </c>
      <c r="I118">
        <v>80.768074249476001</v>
      </c>
      <c r="J118">
        <v>30.784818120046001</v>
      </c>
      <c r="L118" s="1">
        <f t="shared" si="23"/>
        <v>3.6200391715720031</v>
      </c>
      <c r="M118">
        <f t="shared" si="24"/>
        <v>440.7745606750961</v>
      </c>
      <c r="N118">
        <f t="shared" si="15"/>
        <v>1.2243737796530447</v>
      </c>
      <c r="O118">
        <f t="shared" si="16"/>
        <v>49.190177396868997</v>
      </c>
      <c r="P118">
        <f t="shared" si="17"/>
        <v>69</v>
      </c>
      <c r="Q118">
        <f t="shared" si="27"/>
        <v>96.488390997695006</v>
      </c>
      <c r="R118">
        <f t="shared" si="18"/>
        <v>96.488390997695006</v>
      </c>
      <c r="S118">
        <f t="shared" si="13"/>
        <v>99.105530172171939</v>
      </c>
      <c r="T118">
        <f t="shared" si="19"/>
        <v>99.105530172171939</v>
      </c>
      <c r="U118" s="3">
        <f t="shared" si="20"/>
        <v>30.784818120046001</v>
      </c>
      <c r="V118">
        <f t="shared" si="29"/>
        <v>22</v>
      </c>
      <c r="W118" s="8">
        <f t="shared" si="14"/>
        <v>31.231968394526</v>
      </c>
      <c r="X118" s="1">
        <f t="shared" si="22"/>
        <v>31.231968394526</v>
      </c>
      <c r="Y118" s="18"/>
      <c r="Z118" s="7"/>
      <c r="AA118" s="1"/>
      <c r="AB118" s="1"/>
      <c r="AC118" s="1"/>
    </row>
    <row r="119" spans="1:29" x14ac:dyDescent="0.3">
      <c r="A119">
        <v>118</v>
      </c>
      <c r="E119">
        <v>-467.38011333489999</v>
      </c>
      <c r="F119">
        <v>102.41279325246001</v>
      </c>
      <c r="G119">
        <v>447.97088522578002</v>
      </c>
      <c r="H119">
        <v>49.199446013158003</v>
      </c>
      <c r="I119">
        <v>84.384819089299</v>
      </c>
      <c r="J119">
        <v>31.270172505173001</v>
      </c>
      <c r="L119" s="1">
        <f t="shared" si="23"/>
        <v>3.6167448398229993</v>
      </c>
      <c r="M119">
        <f t="shared" si="24"/>
        <v>444.39130551491911</v>
      </c>
      <c r="N119">
        <f t="shared" si="15"/>
        <v>1.2344202930969976</v>
      </c>
      <c r="O119">
        <f t="shared" si="16"/>
        <v>49.199446013158003</v>
      </c>
      <c r="P119">
        <f t="shared" si="17"/>
        <v>70</v>
      </c>
      <c r="Q119">
        <f t="shared" si="27"/>
        <v>96.502683650541002</v>
      </c>
      <c r="R119">
        <f t="shared" si="18"/>
        <v>96.502683650541002</v>
      </c>
      <c r="S119">
        <f t="shared" si="13"/>
        <v>99.143348798262494</v>
      </c>
      <c r="T119">
        <f t="shared" si="19"/>
        <v>99.143348798262494</v>
      </c>
      <c r="U119" s="3">
        <f t="shared" si="20"/>
        <v>31.270172505173001</v>
      </c>
      <c r="V119">
        <f t="shared" si="29"/>
        <v>23</v>
      </c>
      <c r="W119" s="8">
        <f t="shared" si="14"/>
        <v>31.600189260497</v>
      </c>
      <c r="X119" s="1">
        <f t="shared" si="22"/>
        <v>31.600189260497</v>
      </c>
      <c r="Y119" s="18"/>
      <c r="Z119" s="7"/>
      <c r="AA119" s="1"/>
      <c r="AB119" s="1"/>
      <c r="AC119" s="1"/>
    </row>
    <row r="120" spans="1:29" x14ac:dyDescent="0.3">
      <c r="A120">
        <v>119</v>
      </c>
      <c r="E120">
        <v>-466.7294791795</v>
      </c>
      <c r="F120">
        <v>99.393146367350994</v>
      </c>
      <c r="G120">
        <v>448.54921641599998</v>
      </c>
      <c r="H120">
        <v>49.210575349305998</v>
      </c>
      <c r="I120">
        <v>88.001858403097003</v>
      </c>
      <c r="J120">
        <v>31.749957760929</v>
      </c>
      <c r="L120" s="1">
        <f t="shared" si="23"/>
        <v>3.6170393137980028</v>
      </c>
      <c r="M120">
        <f t="shared" si="24"/>
        <v>448.0083448287171</v>
      </c>
      <c r="N120">
        <f t="shared" si="15"/>
        <v>1.2444676245242141</v>
      </c>
      <c r="O120">
        <f t="shared" si="16"/>
        <v>49.210575349305998</v>
      </c>
      <c r="P120">
        <f t="shared" si="17"/>
        <v>71</v>
      </c>
      <c r="Q120">
        <f t="shared" si="27"/>
        <v>96.509449874478008</v>
      </c>
      <c r="R120">
        <f t="shared" si="18"/>
        <v>96.509449874478008</v>
      </c>
      <c r="S120">
        <f t="shared" si="13"/>
        <v>99.169642226484527</v>
      </c>
      <c r="T120">
        <f t="shared" si="19"/>
        <v>99.169642226484527</v>
      </c>
      <c r="U120" s="3">
        <f t="shared" si="20"/>
        <v>31.749957760929</v>
      </c>
      <c r="V120">
        <f t="shared" si="29"/>
        <v>24</v>
      </c>
      <c r="W120" s="8">
        <f t="shared" si="14"/>
        <v>31.970170002345998</v>
      </c>
      <c r="X120" s="1">
        <f t="shared" si="22"/>
        <v>31.970170002345998</v>
      </c>
      <c r="Y120" s="18"/>
      <c r="Z120" s="7"/>
      <c r="AA120" s="1"/>
      <c r="AB120" s="1"/>
      <c r="AC120" s="1"/>
    </row>
    <row r="121" spans="1:29" x14ac:dyDescent="0.3">
      <c r="A121">
        <v>120</v>
      </c>
      <c r="E121">
        <v>-466.09384646349997</v>
      </c>
      <c r="F121">
        <v>96.338921134607006</v>
      </c>
      <c r="G121">
        <v>448.92792388848</v>
      </c>
      <c r="H121">
        <v>49.214565177828</v>
      </c>
      <c r="I121">
        <v>91.618362326924</v>
      </c>
      <c r="J121">
        <v>32.229409402216</v>
      </c>
      <c r="L121" s="1">
        <f t="shared" si="23"/>
        <v>3.6165039238269969</v>
      </c>
      <c r="M121">
        <f t="shared" si="24"/>
        <v>451.6248487525441</v>
      </c>
      <c r="N121">
        <f t="shared" si="15"/>
        <v>1.2545134687570669</v>
      </c>
      <c r="O121">
        <f t="shared" si="16"/>
        <v>49.214565177828</v>
      </c>
      <c r="P121">
        <f t="shared" si="17"/>
        <v>72</v>
      </c>
      <c r="Q121">
        <f t="shared" si="27"/>
        <v>96.498761946956989</v>
      </c>
      <c r="R121">
        <f t="shared" si="18"/>
        <v>96.498761946956989</v>
      </c>
      <c r="S121">
        <f t="shared" si="13"/>
        <v>99.176521083387414</v>
      </c>
      <c r="T121">
        <f t="shared" si="19"/>
        <v>99.176521083387414</v>
      </c>
      <c r="U121" s="3">
        <f t="shared" si="20"/>
        <v>32.229409402216</v>
      </c>
      <c r="V121">
        <f t="shared" si="29"/>
        <v>25</v>
      </c>
      <c r="W121" s="8">
        <f t="shared" si="14"/>
        <v>32.344162525061002</v>
      </c>
      <c r="X121" s="1">
        <f t="shared" si="22"/>
        <v>32.344162525061002</v>
      </c>
      <c r="Y121" s="18"/>
      <c r="Z121" s="7"/>
      <c r="AA121" s="1"/>
      <c r="AB121" s="1"/>
      <c r="AC121" s="1"/>
    </row>
    <row r="122" spans="1:29" x14ac:dyDescent="0.3">
      <c r="A122">
        <v>121</v>
      </c>
      <c r="E122">
        <v>-465.45978651569999</v>
      </c>
      <c r="F122">
        <v>93.266300056073007</v>
      </c>
      <c r="G122">
        <v>449.10946947077002</v>
      </c>
      <c r="H122">
        <v>49.216865022725003</v>
      </c>
      <c r="I122">
        <v>95.232222389813003</v>
      </c>
      <c r="J122">
        <v>32.722357620575998</v>
      </c>
      <c r="L122" s="1">
        <f t="shared" si="23"/>
        <v>3.6138600628890032</v>
      </c>
      <c r="M122">
        <f t="shared" si="24"/>
        <v>455.23870881543309</v>
      </c>
      <c r="N122">
        <f t="shared" si="15"/>
        <v>1.2645519689317586</v>
      </c>
      <c r="O122">
        <f t="shared" si="16"/>
        <v>49.216865022725003</v>
      </c>
      <c r="P122">
        <f t="shared" si="17"/>
        <v>73</v>
      </c>
      <c r="Q122">
        <f t="shared" si="27"/>
        <v>96.491471214384006</v>
      </c>
      <c r="R122">
        <f t="shared" si="18"/>
        <v>96.491471214384006</v>
      </c>
      <c r="S122">
        <f t="shared" si="13"/>
        <v>99.185769247695319</v>
      </c>
      <c r="T122">
        <f t="shared" si="19"/>
        <v>99.185769247695319</v>
      </c>
      <c r="U122" s="3">
        <f t="shared" si="20"/>
        <v>32.722357620575998</v>
      </c>
      <c r="V122">
        <f t="shared" si="29"/>
        <v>26</v>
      </c>
      <c r="W122" s="8">
        <f t="shared" si="14"/>
        <v>32.752835236922998</v>
      </c>
      <c r="X122" s="1">
        <f t="shared" si="22"/>
        <v>32.752835236922998</v>
      </c>
      <c r="Y122" s="18"/>
      <c r="Z122" s="7"/>
      <c r="AA122" s="1"/>
      <c r="AB122" s="1"/>
      <c r="AC122" s="1"/>
    </row>
    <row r="123" spans="1:29" x14ac:dyDescent="0.3">
      <c r="A123">
        <v>122</v>
      </c>
      <c r="E123">
        <v>-464.85583043510002</v>
      </c>
      <c r="F123">
        <v>90.182271585628996</v>
      </c>
      <c r="G123">
        <v>449.11594942919999</v>
      </c>
      <c r="H123">
        <v>49.237834252669998</v>
      </c>
      <c r="I123">
        <v>98.848138266172995</v>
      </c>
      <c r="J123">
        <v>33.198897149395002</v>
      </c>
      <c r="L123" s="1">
        <f t="shared" si="23"/>
        <v>3.6159158763599919</v>
      </c>
      <c r="M123">
        <f t="shared" si="24"/>
        <v>458.85462469179311</v>
      </c>
      <c r="N123">
        <f t="shared" si="15"/>
        <v>1.2745961796994254</v>
      </c>
      <c r="O123">
        <f t="shared" si="16"/>
        <v>49.237834252669998</v>
      </c>
      <c r="P123">
        <f t="shared" si="17"/>
        <v>74</v>
      </c>
      <c r="Q123">
        <f t="shared" si="27"/>
        <v>96.492974592477992</v>
      </c>
      <c r="R123">
        <f t="shared" si="18"/>
        <v>96.492974592477992</v>
      </c>
      <c r="S123">
        <f t="shared" si="13"/>
        <v>99.197389593733348</v>
      </c>
      <c r="T123">
        <f t="shared" si="19"/>
        <v>99.197389593733348</v>
      </c>
      <c r="U123" s="3">
        <f t="shared" si="20"/>
        <v>33.198897149395002</v>
      </c>
      <c r="V123">
        <f t="shared" si="29"/>
        <v>27</v>
      </c>
      <c r="W123" s="8">
        <f t="shared" si="14"/>
        <v>33.156795933403401</v>
      </c>
      <c r="X123" s="1">
        <f t="shared" si="22"/>
        <v>33.156795933403401</v>
      </c>
      <c r="Y123" s="18"/>
      <c r="Z123" s="7"/>
      <c r="AA123" s="1"/>
      <c r="AB123" s="1"/>
      <c r="AC123" s="1"/>
    </row>
    <row r="124" spans="1:29" x14ac:dyDescent="0.3">
      <c r="A124">
        <v>123</v>
      </c>
      <c r="E124">
        <v>-464.27051913899999</v>
      </c>
      <c r="F124">
        <v>87.099147219998997</v>
      </c>
      <c r="G124">
        <v>448.94888924731998</v>
      </c>
      <c r="H124">
        <v>49.280330498992001</v>
      </c>
      <c r="I124">
        <v>102.46231138678</v>
      </c>
      <c r="J124">
        <v>33.670815382613</v>
      </c>
      <c r="L124" s="1">
        <f t="shared" si="23"/>
        <v>3.6141731206070062</v>
      </c>
      <c r="M124">
        <f t="shared" si="24"/>
        <v>462.46879781240011</v>
      </c>
      <c r="N124">
        <f t="shared" si="15"/>
        <v>1.2846355494788892</v>
      </c>
      <c r="O124">
        <f t="shared" si="16"/>
        <v>49.280330498992001</v>
      </c>
      <c r="P124">
        <f t="shared" si="17"/>
        <v>75</v>
      </c>
      <c r="Q124">
        <f t="shared" si="27"/>
        <v>96.518503245152004</v>
      </c>
      <c r="R124">
        <f t="shared" si="18"/>
        <v>96.518503245152004</v>
      </c>
      <c r="S124">
        <f t="shared" si="13"/>
        <v>99.230514662875095</v>
      </c>
      <c r="T124">
        <f t="shared" si="19"/>
        <v>99.230514662875095</v>
      </c>
      <c r="U124" s="3">
        <f t="shared" si="20"/>
        <v>33.670815382613</v>
      </c>
      <c r="V124">
        <f t="shared" si="29"/>
        <v>28</v>
      </c>
      <c r="W124" s="8">
        <f t="shared" si="14"/>
        <v>33.553414705737701</v>
      </c>
      <c r="X124" s="1">
        <f t="shared" si="22"/>
        <v>33.553414705737701</v>
      </c>
      <c r="Y124" s="18"/>
      <c r="Z124" s="7"/>
      <c r="AA124" s="1"/>
      <c r="AB124" s="1"/>
      <c r="AC124" s="1"/>
    </row>
    <row r="125" spans="1:29" x14ac:dyDescent="0.3">
      <c r="A125">
        <v>124</v>
      </c>
      <c r="E125">
        <v>-463.69836031950001</v>
      </c>
      <c r="F125">
        <v>84.031271167645997</v>
      </c>
      <c r="G125">
        <v>448.57895930672998</v>
      </c>
      <c r="H125">
        <v>49.314825219028002</v>
      </c>
      <c r="I125">
        <v>106.07309190719999</v>
      </c>
      <c r="J125">
        <v>34.146512535641001</v>
      </c>
      <c r="L125" s="1">
        <f t="shared" si="23"/>
        <v>3.6107805204199934</v>
      </c>
      <c r="M125">
        <f t="shared" si="24"/>
        <v>466.07957833282012</v>
      </c>
      <c r="N125">
        <f t="shared" si="15"/>
        <v>1.2946654953689447</v>
      </c>
      <c r="O125">
        <f t="shared" si="16"/>
        <v>49.314825219028002</v>
      </c>
      <c r="P125">
        <f t="shared" si="17"/>
        <v>76</v>
      </c>
      <c r="Q125">
        <f t="shared" si="27"/>
        <v>96.545028700089006</v>
      </c>
      <c r="R125">
        <f t="shared" si="18"/>
        <v>96.545028700089006</v>
      </c>
      <c r="S125">
        <f t="shared" si="13"/>
        <v>99.262374315139652</v>
      </c>
      <c r="T125">
        <f t="shared" si="19"/>
        <v>99.262374315139652</v>
      </c>
      <c r="U125" s="3">
        <f t="shared" si="20"/>
        <v>34.146512535641001</v>
      </c>
      <c r="V125">
        <f t="shared" si="29"/>
        <v>29</v>
      </c>
      <c r="W125" s="8">
        <f t="shared" si="14"/>
        <v>33.952967115543601</v>
      </c>
      <c r="X125" s="1">
        <f t="shared" si="22"/>
        <v>33.952967115543601</v>
      </c>
      <c r="Y125" s="18"/>
      <c r="Z125" s="7"/>
      <c r="AA125" s="1"/>
      <c r="AB125" s="1"/>
      <c r="AC125" s="1"/>
    </row>
    <row r="126" spans="1:29" x14ac:dyDescent="0.3">
      <c r="A126">
        <v>125</v>
      </c>
      <c r="E126">
        <v>-463.1290379335</v>
      </c>
      <c r="F126">
        <v>80.993081862938993</v>
      </c>
      <c r="G126">
        <v>448.01210997433998</v>
      </c>
      <c r="H126">
        <v>49.346175389423003</v>
      </c>
      <c r="I126">
        <v>109.67893551764</v>
      </c>
      <c r="J126">
        <v>34.636368692384004</v>
      </c>
      <c r="L126" s="1">
        <f t="shared" si="23"/>
        <v>3.6058436104400045</v>
      </c>
      <c r="M126">
        <f t="shared" si="24"/>
        <v>469.68542194326011</v>
      </c>
      <c r="N126">
        <f t="shared" si="15"/>
        <v>1.304681727620167</v>
      </c>
      <c r="O126">
        <f t="shared" si="16"/>
        <v>49.346175389423003</v>
      </c>
      <c r="P126">
        <f t="shared" si="17"/>
        <v>77</v>
      </c>
      <c r="Q126">
        <f t="shared" si="27"/>
        <v>96.570945909901013</v>
      </c>
      <c r="R126">
        <f t="shared" si="18"/>
        <v>96.570945909901013</v>
      </c>
      <c r="S126">
        <f t="shared" si="13"/>
        <v>99.294336887268074</v>
      </c>
      <c r="T126">
        <f t="shared" si="19"/>
        <v>99.294336887268074</v>
      </c>
      <c r="U126" s="3">
        <f t="shared" si="20"/>
        <v>34.636368692384004</v>
      </c>
      <c r="V126">
        <f t="shared" si="29"/>
        <v>30</v>
      </c>
      <c r="W126" s="8">
        <f t="shared" si="14"/>
        <v>34.353815183854103</v>
      </c>
      <c r="X126" s="1">
        <f t="shared" si="22"/>
        <v>34.353815183854103</v>
      </c>
      <c r="Y126" s="18"/>
      <c r="Z126" s="7"/>
      <c r="AA126" s="1"/>
      <c r="AB126" s="1"/>
      <c r="AC126" s="1"/>
    </row>
    <row r="127" spans="1:29" x14ac:dyDescent="0.3">
      <c r="A127">
        <v>126</v>
      </c>
      <c r="E127">
        <v>-462.56891509280001</v>
      </c>
      <c r="F127">
        <v>77.992598074262006</v>
      </c>
      <c r="G127">
        <v>447.26422682549003</v>
      </c>
      <c r="H127">
        <v>49.387687081990002</v>
      </c>
      <c r="I127">
        <v>113.28069736722</v>
      </c>
      <c r="J127">
        <v>35.133096568070002</v>
      </c>
      <c r="L127" s="1">
        <f t="shared" si="23"/>
        <v>3.6017618495800008</v>
      </c>
      <c r="M127">
        <f t="shared" si="24"/>
        <v>473.2871837928401</v>
      </c>
      <c r="N127">
        <f t="shared" si="15"/>
        <v>1.3146866216467781</v>
      </c>
      <c r="O127">
        <f t="shared" si="16"/>
        <v>49.387687081990002</v>
      </c>
      <c r="P127">
        <f t="shared" si="17"/>
        <v>78</v>
      </c>
      <c r="Q127">
        <f t="shared" si="27"/>
        <v>96.610098402822999</v>
      </c>
      <c r="R127">
        <f t="shared" si="18"/>
        <v>96.610098402822999</v>
      </c>
      <c r="S127">
        <f t="shared" si="13"/>
        <v>99.338734189813252</v>
      </c>
      <c r="T127">
        <f t="shared" si="19"/>
        <v>99.338734189813252</v>
      </c>
      <c r="U127" s="3">
        <f t="shared" si="20"/>
        <v>35.133096568070002</v>
      </c>
      <c r="V127">
        <f t="shared" si="29"/>
        <v>31</v>
      </c>
      <c r="W127" s="8">
        <f t="shared" si="14"/>
        <v>34.780345321340505</v>
      </c>
      <c r="X127" s="1">
        <f t="shared" si="22"/>
        <v>34.780345321340505</v>
      </c>
      <c r="Y127" s="18"/>
      <c r="Z127" s="7"/>
      <c r="AA127" s="1"/>
      <c r="AB127" s="1"/>
      <c r="AC127" s="1"/>
    </row>
    <row r="128" spans="1:29" x14ac:dyDescent="0.3">
      <c r="A128">
        <v>127</v>
      </c>
      <c r="E128">
        <v>-462.0336372575</v>
      </c>
      <c r="F128">
        <v>75.036454866887993</v>
      </c>
      <c r="G128">
        <v>446.34185751299998</v>
      </c>
      <c r="H128">
        <v>49.442746532468</v>
      </c>
      <c r="I128">
        <v>116.88036316435</v>
      </c>
      <c r="J128">
        <v>35.620856718790002</v>
      </c>
      <c r="L128" s="1">
        <f t="shared" si="23"/>
        <v>3.599665797130001</v>
      </c>
      <c r="M128">
        <f t="shared" si="24"/>
        <v>476.8868495899701</v>
      </c>
      <c r="N128">
        <f t="shared" si="15"/>
        <v>1.3246856933054725</v>
      </c>
      <c r="O128">
        <f t="shared" si="16"/>
        <v>49.442746532468</v>
      </c>
      <c r="P128">
        <f t="shared" si="17"/>
        <v>79</v>
      </c>
      <c r="Q128">
        <f t="shared" si="27"/>
        <v>96.664010499226009</v>
      </c>
      <c r="R128">
        <f t="shared" si="18"/>
        <v>96.664010499226009</v>
      </c>
      <c r="S128">
        <f t="shared" si="13"/>
        <v>99.39246412670245</v>
      </c>
      <c r="T128">
        <f t="shared" si="19"/>
        <v>99.39246412670245</v>
      </c>
      <c r="U128" s="3">
        <f t="shared" si="20"/>
        <v>35.620856718790002</v>
      </c>
      <c r="V128">
        <f t="shared" si="29"/>
        <v>32</v>
      </c>
      <c r="W128" s="8">
        <f t="shared" si="14"/>
        <v>35.201904905782101</v>
      </c>
      <c r="X128" s="1">
        <f t="shared" si="22"/>
        <v>35.201904905782101</v>
      </c>
      <c r="Y128" s="18"/>
      <c r="Z128" s="7"/>
      <c r="AA128" s="1"/>
      <c r="AB128" s="1"/>
      <c r="AC128" s="1"/>
    </row>
    <row r="129" spans="1:29" x14ac:dyDescent="0.3">
      <c r="A129">
        <v>128</v>
      </c>
      <c r="E129">
        <v>-461.49834746480002</v>
      </c>
      <c r="F129">
        <v>72.144860197371997</v>
      </c>
      <c r="G129">
        <v>445.23368163238001</v>
      </c>
      <c r="H129">
        <v>49.496587099654</v>
      </c>
      <c r="I129">
        <v>120.47281282745</v>
      </c>
      <c r="J129">
        <v>36.126128805314004</v>
      </c>
      <c r="L129" s="1">
        <f t="shared" si="23"/>
        <v>3.5924496630999982</v>
      </c>
      <c r="M129">
        <f t="shared" si="24"/>
        <v>480.47929925307011</v>
      </c>
      <c r="N129">
        <f t="shared" si="15"/>
        <v>1.3346647201474169</v>
      </c>
      <c r="O129">
        <f t="shared" si="16"/>
        <v>49.496587099654</v>
      </c>
      <c r="P129">
        <f t="shared" si="17"/>
        <v>79</v>
      </c>
      <c r="Q129">
        <f t="shared" si="27"/>
        <v>96.71785106641201</v>
      </c>
      <c r="R129">
        <f t="shared" si="18"/>
        <v>96.71785106641201</v>
      </c>
      <c r="S129">
        <f t="shared" si="13"/>
        <v>99.513523765937308</v>
      </c>
      <c r="T129">
        <f t="shared" si="19"/>
        <v>99.513523765937308</v>
      </c>
      <c r="U129" s="3">
        <f t="shared" si="20"/>
        <v>36.126128805314004</v>
      </c>
      <c r="V129">
        <f t="shared" si="29"/>
        <v>33</v>
      </c>
      <c r="W129" s="8">
        <f t="shared" si="14"/>
        <v>35.633521568696601</v>
      </c>
      <c r="X129" s="1">
        <f t="shared" si="22"/>
        <v>35.633521568696601</v>
      </c>
      <c r="Y129" s="18"/>
      <c r="Z129" s="7"/>
      <c r="AA129" s="1"/>
      <c r="AB129" s="1"/>
      <c r="AC129" s="1"/>
    </row>
    <row r="130" spans="1:29" x14ac:dyDescent="0.3">
      <c r="A130">
        <v>129</v>
      </c>
      <c r="E130">
        <v>-460.98086917609999</v>
      </c>
      <c r="F130">
        <v>69.318339705084995</v>
      </c>
      <c r="G130">
        <v>443.96125176328002</v>
      </c>
      <c r="H130">
        <v>49.567221885348999</v>
      </c>
      <c r="I130">
        <v>124.06075551329999</v>
      </c>
      <c r="J130">
        <v>36.629454755967998</v>
      </c>
      <c r="L130" s="1">
        <f t="shared" si="23"/>
        <v>3.5879426858499954</v>
      </c>
      <c r="M130">
        <f t="shared" si="24"/>
        <v>484.06724193892012</v>
      </c>
      <c r="N130">
        <f t="shared" si="15"/>
        <v>1.3446312276081114</v>
      </c>
      <c r="O130">
        <f t="shared" si="16"/>
        <v>49.567221885348999</v>
      </c>
      <c r="P130">
        <f t="shared" si="17"/>
        <v>80</v>
      </c>
      <c r="Q130">
        <f t="shared" si="27"/>
        <v>96.802736478401997</v>
      </c>
      <c r="R130">
        <f t="shared" si="18"/>
        <v>96.802736478401997</v>
      </c>
      <c r="S130">
        <f t="shared" ref="S130:S193" si="30">IF(P130=0,0,SQRT((E130-INDEX(E:E,P130))^2+(F130-INDEX(F:F,P130))^2+(G130-INDEX(G:G,P130))^2))</f>
        <v>99.603168649766317</v>
      </c>
      <c r="T130">
        <f t="shared" si="19"/>
        <v>99.603168649766317</v>
      </c>
      <c r="U130" s="3">
        <f t="shared" si="20"/>
        <v>36.629454755967998</v>
      </c>
      <c r="V130">
        <f t="shared" si="29"/>
        <v>33</v>
      </c>
      <c r="W130" s="8">
        <f t="shared" ref="W130:W193" si="31">IF(V130=0,0,U130-INDEX(U:U,V130))</f>
        <v>36.136847519350596</v>
      </c>
      <c r="X130" s="1">
        <f t="shared" si="22"/>
        <v>36.136847519350596</v>
      </c>
      <c r="Y130" s="18"/>
      <c r="Z130" s="7"/>
      <c r="AA130" s="1"/>
      <c r="AB130" s="1"/>
      <c r="AC130" s="1"/>
    </row>
    <row r="131" spans="1:29" x14ac:dyDescent="0.3">
      <c r="A131">
        <v>130</v>
      </c>
      <c r="E131">
        <v>-460.48679616520002</v>
      </c>
      <c r="F131">
        <v>66.56943091366</v>
      </c>
      <c r="G131">
        <v>442.52057781196999</v>
      </c>
      <c r="H131">
        <v>49.645395956209001</v>
      </c>
      <c r="I131">
        <v>127.64436549478</v>
      </c>
      <c r="J131">
        <v>37.126089202597001</v>
      </c>
      <c r="L131" s="1">
        <f t="shared" si="23"/>
        <v>3.5836099814800093</v>
      </c>
      <c r="M131">
        <f t="shared" si="24"/>
        <v>487.6508519204001</v>
      </c>
      <c r="N131">
        <f t="shared" ref="N131:N194" si="32">M131/360</f>
        <v>1.3545856997788892</v>
      </c>
      <c r="O131">
        <f t="shared" ref="O131:O194" si="33">H131</f>
        <v>49.645395956209001</v>
      </c>
      <c r="P131">
        <f t="shared" ref="P131:P194" si="34">IFERROR(MATCH(N131-0.5,N:N,1),0)</f>
        <v>81</v>
      </c>
      <c r="Q131">
        <f t="shared" si="27"/>
        <v>96.910603761253</v>
      </c>
      <c r="R131">
        <f t="shared" ref="R131:R194" si="35">IF(Q131=0,MAX(Q:Q),Q131)</f>
        <v>96.910603761253</v>
      </c>
      <c r="S131">
        <f t="shared" si="30"/>
        <v>99.712216244165049</v>
      </c>
      <c r="T131">
        <f t="shared" ref="T131:T194" si="36">IF(S131=0,MAX(S:S),S131)</f>
        <v>99.712216244165049</v>
      </c>
      <c r="U131" s="3">
        <f t="shared" ref="U131:U194" si="37">J131</f>
        <v>37.126089202597001</v>
      </c>
      <c r="V131">
        <f t="shared" si="29"/>
        <v>34</v>
      </c>
      <c r="W131" s="8">
        <f t="shared" si="31"/>
        <v>36.567560138969199</v>
      </c>
      <c r="X131" s="1">
        <f t="shared" ref="X131:X194" si="38">IF(W131=0,MAX(W:W),W131)</f>
        <v>36.567560138969199</v>
      </c>
      <c r="Y131" s="18"/>
      <c r="Z131" s="7"/>
      <c r="AA131" s="1"/>
      <c r="AB131" s="1"/>
      <c r="AC131" s="1"/>
    </row>
    <row r="132" spans="1:29" x14ac:dyDescent="0.3">
      <c r="A132">
        <v>131</v>
      </c>
      <c r="E132">
        <v>-460.03839381210003</v>
      </c>
      <c r="F132">
        <v>63.900771144776002</v>
      </c>
      <c r="G132">
        <v>440.92264063960999</v>
      </c>
      <c r="H132">
        <v>49.737988453793001</v>
      </c>
      <c r="I132">
        <v>131.22667785074</v>
      </c>
      <c r="J132">
        <v>37.593082776792997</v>
      </c>
      <c r="L132" s="1">
        <f t="shared" ref="L132:L195" si="39">I132-I131</f>
        <v>3.5823123559599992</v>
      </c>
      <c r="M132">
        <f t="shared" ref="M132:M195" si="40">IF(L132&gt;0,M131+L132,M131+L131)</f>
        <v>491.23316427636007</v>
      </c>
      <c r="N132">
        <f t="shared" si="32"/>
        <v>1.3645365674343335</v>
      </c>
      <c r="O132">
        <f t="shared" si="33"/>
        <v>49.737988453793001</v>
      </c>
      <c r="P132">
        <f t="shared" si="34"/>
        <v>82</v>
      </c>
      <c r="Q132">
        <f t="shared" si="27"/>
        <v>97.02392371344601</v>
      </c>
      <c r="R132">
        <f t="shared" si="35"/>
        <v>97.02392371344601</v>
      </c>
      <c r="S132">
        <f t="shared" si="30"/>
        <v>99.819514185902207</v>
      </c>
      <c r="T132">
        <f t="shared" si="36"/>
        <v>99.819514185902207</v>
      </c>
      <c r="U132" s="3">
        <f t="shared" si="37"/>
        <v>37.593082776792997</v>
      </c>
      <c r="V132">
        <f t="shared" si="29"/>
        <v>35</v>
      </c>
      <c r="W132" s="8">
        <f t="shared" si="31"/>
        <v>36.946006057668299</v>
      </c>
      <c r="X132" s="1">
        <f t="shared" si="38"/>
        <v>36.946006057668299</v>
      </c>
      <c r="Y132" s="18"/>
      <c r="Z132" s="7"/>
      <c r="AA132" s="1"/>
      <c r="AB132" s="1"/>
      <c r="AC132" s="1"/>
    </row>
    <row r="133" spans="1:29" x14ac:dyDescent="0.3">
      <c r="A133">
        <v>132</v>
      </c>
      <c r="E133">
        <v>-459.59279507619999</v>
      </c>
      <c r="F133">
        <v>61.335286966395003</v>
      </c>
      <c r="G133">
        <v>439.16331185585</v>
      </c>
      <c r="H133">
        <v>49.833433596672002</v>
      </c>
      <c r="I133">
        <v>134.79947653587001</v>
      </c>
      <c r="J133">
        <v>38.074385704049</v>
      </c>
      <c r="L133" s="1">
        <f t="shared" si="39"/>
        <v>3.5727986851300102</v>
      </c>
      <c r="M133">
        <f t="shared" si="40"/>
        <v>494.80596296149008</v>
      </c>
      <c r="N133">
        <f t="shared" si="32"/>
        <v>1.3744610082263613</v>
      </c>
      <c r="O133">
        <f t="shared" si="33"/>
        <v>49.833433596672002</v>
      </c>
      <c r="P133">
        <f t="shared" si="34"/>
        <v>83</v>
      </c>
      <c r="Q133">
        <f t="shared" si="27"/>
        <v>97.145791378043</v>
      </c>
      <c r="R133">
        <f t="shared" si="35"/>
        <v>97.145791378043</v>
      </c>
      <c r="S133">
        <f t="shared" si="30"/>
        <v>99.937254116019972</v>
      </c>
      <c r="T133">
        <f t="shared" si="36"/>
        <v>99.937254116019972</v>
      </c>
      <c r="U133" s="3">
        <f t="shared" si="37"/>
        <v>38.074385704049</v>
      </c>
      <c r="V133">
        <f t="shared" si="29"/>
        <v>36</v>
      </c>
      <c r="W133" s="8">
        <f t="shared" si="31"/>
        <v>37.334771737752902</v>
      </c>
      <c r="X133" s="1">
        <f t="shared" si="38"/>
        <v>37.334771737752902</v>
      </c>
      <c r="Y133" s="18"/>
      <c r="Z133" s="7"/>
      <c r="AA133" s="1"/>
      <c r="AB133" s="1"/>
      <c r="AC133" s="1"/>
    </row>
    <row r="134" spans="1:29" x14ac:dyDescent="0.3">
      <c r="A134">
        <v>133</v>
      </c>
      <c r="E134">
        <v>-459.183749353</v>
      </c>
      <c r="F134">
        <v>58.885572631159</v>
      </c>
      <c r="G134">
        <v>437.23767678908001</v>
      </c>
      <c r="H134">
        <v>49.917534171863998</v>
      </c>
      <c r="I134">
        <v>138.36961599720999</v>
      </c>
      <c r="J134">
        <v>38.537287027398001</v>
      </c>
      <c r="L134" s="1">
        <f t="shared" si="39"/>
        <v>3.5701394613399771</v>
      </c>
      <c r="M134">
        <f t="shared" si="40"/>
        <v>498.37610242283006</v>
      </c>
      <c r="N134">
        <f t="shared" si="32"/>
        <v>1.384378062285639</v>
      </c>
      <c r="O134">
        <f t="shared" si="33"/>
        <v>49.917534171863998</v>
      </c>
      <c r="P134">
        <f t="shared" si="34"/>
        <v>84</v>
      </c>
      <c r="Q134">
        <f t="shared" si="27"/>
        <v>97.253047697526995</v>
      </c>
      <c r="R134">
        <f t="shared" si="35"/>
        <v>97.253047697526995</v>
      </c>
      <c r="S134">
        <f t="shared" si="30"/>
        <v>100.03256659082049</v>
      </c>
      <c r="T134">
        <f t="shared" si="36"/>
        <v>100.03256659082049</v>
      </c>
      <c r="U134" s="3">
        <f t="shared" si="37"/>
        <v>38.537287027398001</v>
      </c>
      <c r="V134">
        <f t="shared" si="29"/>
        <v>37</v>
      </c>
      <c r="W134" s="8">
        <f t="shared" si="31"/>
        <v>37.726522701085401</v>
      </c>
      <c r="X134" s="1">
        <f t="shared" si="38"/>
        <v>37.726522701085401</v>
      </c>
      <c r="Y134" s="18"/>
      <c r="Z134" s="7"/>
      <c r="AA134" s="1"/>
      <c r="AB134" s="1"/>
      <c r="AC134" s="1"/>
    </row>
    <row r="135" spans="1:29" x14ac:dyDescent="0.3">
      <c r="A135">
        <v>134</v>
      </c>
      <c r="E135">
        <v>-458.7809456379</v>
      </c>
      <c r="F135">
        <v>56.561275569427998</v>
      </c>
      <c r="G135">
        <v>435.16120903234997</v>
      </c>
      <c r="H135">
        <v>49.999031254462999</v>
      </c>
      <c r="I135">
        <v>141.9319940318</v>
      </c>
      <c r="J135">
        <v>39.011124328439003</v>
      </c>
      <c r="L135" s="1">
        <f t="shared" si="39"/>
        <v>3.5623780345900116</v>
      </c>
      <c r="M135">
        <f t="shared" si="40"/>
        <v>501.93848045742004</v>
      </c>
      <c r="N135">
        <f t="shared" si="32"/>
        <v>1.3942735568261668</v>
      </c>
      <c r="O135">
        <f t="shared" si="33"/>
        <v>49.999031254462999</v>
      </c>
      <c r="P135">
        <f t="shared" si="34"/>
        <v>85</v>
      </c>
      <c r="Q135">
        <f t="shared" si="27"/>
        <v>97.374402343603009</v>
      </c>
      <c r="R135">
        <f t="shared" si="35"/>
        <v>97.374402343603009</v>
      </c>
      <c r="S135">
        <f t="shared" si="30"/>
        <v>100.14273639489369</v>
      </c>
      <c r="T135">
        <f t="shared" si="36"/>
        <v>100.14273639489369</v>
      </c>
      <c r="U135" s="3">
        <f t="shared" si="37"/>
        <v>39.011124328439003</v>
      </c>
      <c r="V135">
        <f t="shared" si="29"/>
        <v>38</v>
      </c>
      <c r="W135" s="8">
        <f t="shared" si="31"/>
        <v>38.1585231033892</v>
      </c>
      <c r="X135" s="1">
        <f t="shared" si="38"/>
        <v>38.1585231033892</v>
      </c>
      <c r="Y135" s="18"/>
      <c r="Z135" s="7"/>
      <c r="AA135" s="1"/>
      <c r="AB135" s="1"/>
      <c r="AC135" s="1"/>
    </row>
    <row r="136" spans="1:29" x14ac:dyDescent="0.3">
      <c r="A136">
        <v>135</v>
      </c>
      <c r="E136">
        <v>-458.38379999749998</v>
      </c>
      <c r="F136">
        <v>54.355892687076</v>
      </c>
      <c r="G136">
        <v>432.95793333595998</v>
      </c>
      <c r="H136">
        <v>50.099660484133999</v>
      </c>
      <c r="I136">
        <v>145.48551382740001</v>
      </c>
      <c r="J136">
        <v>39.494290811649002</v>
      </c>
      <c r="L136" s="1">
        <f t="shared" si="39"/>
        <v>3.5535197956000104</v>
      </c>
      <c r="M136">
        <f t="shared" si="40"/>
        <v>505.49200025302002</v>
      </c>
      <c r="N136">
        <f t="shared" si="32"/>
        <v>1.4041444451472778</v>
      </c>
      <c r="O136">
        <f t="shared" si="33"/>
        <v>50.099660484133999</v>
      </c>
      <c r="P136">
        <f t="shared" si="34"/>
        <v>86</v>
      </c>
      <c r="Q136">
        <f t="shared" si="27"/>
        <v>97.529822510059006</v>
      </c>
      <c r="R136">
        <f t="shared" si="35"/>
        <v>97.529822510059006</v>
      </c>
      <c r="S136">
        <f t="shared" si="30"/>
        <v>100.28991820479607</v>
      </c>
      <c r="T136">
        <f t="shared" si="36"/>
        <v>100.28991820479607</v>
      </c>
      <c r="U136" s="3">
        <f t="shared" si="37"/>
        <v>39.494290811649002</v>
      </c>
      <c r="V136">
        <f>IFERROR(MATCH(N136-1,N:N,1),0)</f>
        <v>39</v>
      </c>
      <c r="W136" s="8">
        <f t="shared" si="31"/>
        <v>38.570884452983904</v>
      </c>
      <c r="X136" s="1">
        <f t="shared" si="38"/>
        <v>38.570884452983904</v>
      </c>
      <c r="Y136" s="18"/>
      <c r="Z136" s="7"/>
      <c r="AA136" s="1"/>
      <c r="AB136" s="1"/>
      <c r="AC136" s="1"/>
    </row>
    <row r="137" spans="1:29" x14ac:dyDescent="0.3">
      <c r="A137">
        <v>136</v>
      </c>
      <c r="E137">
        <v>-458.00713993639999</v>
      </c>
      <c r="F137">
        <v>52.264004219604999</v>
      </c>
      <c r="G137">
        <v>430.64302339420999</v>
      </c>
      <c r="H137">
        <v>50.232353199750001</v>
      </c>
      <c r="I137">
        <v>149.03075568425001</v>
      </c>
      <c r="J137">
        <v>39.970583697824999</v>
      </c>
      <c r="L137" s="1">
        <f t="shared" si="39"/>
        <v>3.5452418568499979</v>
      </c>
      <c r="M137">
        <f t="shared" si="40"/>
        <v>509.03724210987002</v>
      </c>
      <c r="N137">
        <f t="shared" si="32"/>
        <v>1.4139923391940834</v>
      </c>
      <c r="O137">
        <f t="shared" si="33"/>
        <v>50.232353199750001</v>
      </c>
      <c r="P137">
        <f t="shared" si="34"/>
        <v>87</v>
      </c>
      <c r="Q137">
        <f t="shared" si="27"/>
        <v>97.715611768664004</v>
      </c>
      <c r="R137">
        <f t="shared" si="35"/>
        <v>97.715611768664004</v>
      </c>
      <c r="S137">
        <f t="shared" si="30"/>
        <v>100.46620182063808</v>
      </c>
      <c r="T137">
        <f t="shared" si="36"/>
        <v>100.46620182063808</v>
      </c>
      <c r="U137" s="3">
        <f t="shared" si="37"/>
        <v>39.970583697824999</v>
      </c>
      <c r="V137">
        <f t="shared" si="29"/>
        <v>40</v>
      </c>
      <c r="W137" s="8">
        <f t="shared" si="31"/>
        <v>38.938902664842999</v>
      </c>
      <c r="X137" s="1">
        <f t="shared" si="38"/>
        <v>38.938902664842999</v>
      </c>
      <c r="Y137" s="18"/>
      <c r="Z137" s="7"/>
      <c r="AA137" s="1"/>
      <c r="AB137" s="1"/>
      <c r="AC137" s="1"/>
    </row>
    <row r="138" spans="1:29" x14ac:dyDescent="0.3">
      <c r="A138">
        <v>137</v>
      </c>
      <c r="E138">
        <v>-457.65426891589999</v>
      </c>
      <c r="F138">
        <v>50.302928495099003</v>
      </c>
      <c r="G138">
        <v>428.21302984277997</v>
      </c>
      <c r="H138">
        <v>50.381455184776001</v>
      </c>
      <c r="I138">
        <v>152.56653767991</v>
      </c>
      <c r="J138">
        <v>40.437688275924998</v>
      </c>
      <c r="L138" s="1">
        <f t="shared" si="39"/>
        <v>3.5357819956599883</v>
      </c>
      <c r="M138">
        <f t="shared" si="40"/>
        <v>512.57302410553007</v>
      </c>
      <c r="N138">
        <f t="shared" si="32"/>
        <v>1.4238139558486946</v>
      </c>
      <c r="O138">
        <f t="shared" si="33"/>
        <v>50.381455184776001</v>
      </c>
      <c r="P138">
        <f t="shared" si="34"/>
        <v>88</v>
      </c>
      <c r="Q138">
        <f t="shared" si="27"/>
        <v>97.89893761766001</v>
      </c>
      <c r="R138">
        <f t="shared" si="35"/>
        <v>97.89893761766001</v>
      </c>
      <c r="S138">
        <f t="shared" si="30"/>
        <v>100.63878609208052</v>
      </c>
      <c r="T138">
        <f t="shared" si="36"/>
        <v>100.63878609208052</v>
      </c>
      <c r="U138" s="3">
        <f t="shared" si="37"/>
        <v>40.437688275924998</v>
      </c>
      <c r="V138">
        <f t="shared" si="29"/>
        <v>41</v>
      </c>
      <c r="W138" s="8">
        <f t="shared" si="31"/>
        <v>39.293767890281501</v>
      </c>
      <c r="X138" s="1">
        <f t="shared" si="38"/>
        <v>39.293767890281501</v>
      </c>
      <c r="Y138" s="18"/>
      <c r="Z138" s="7"/>
      <c r="AA138" s="1"/>
      <c r="AB138" s="1"/>
      <c r="AC138" s="1"/>
    </row>
    <row r="139" spans="1:29" x14ac:dyDescent="0.3">
      <c r="A139">
        <v>138</v>
      </c>
      <c r="E139">
        <v>-457.32227994419998</v>
      </c>
      <c r="F139">
        <v>48.514106857902</v>
      </c>
      <c r="G139">
        <v>425.65075655127998</v>
      </c>
      <c r="H139">
        <v>50.503965587080003</v>
      </c>
      <c r="I139">
        <v>156.09469568986</v>
      </c>
      <c r="J139">
        <v>40.901550741876001</v>
      </c>
      <c r="L139" s="1">
        <f t="shared" si="39"/>
        <v>3.5281580099500047</v>
      </c>
      <c r="M139">
        <f t="shared" si="40"/>
        <v>516.10118211548001</v>
      </c>
      <c r="N139">
        <f t="shared" si="32"/>
        <v>1.4336143947652222</v>
      </c>
      <c r="O139">
        <f t="shared" si="33"/>
        <v>50.503965587080003</v>
      </c>
      <c r="P139">
        <f t="shared" si="34"/>
        <v>89</v>
      </c>
      <c r="Q139">
        <f t="shared" si="27"/>
        <v>98.069104413595994</v>
      </c>
      <c r="R139">
        <f t="shared" si="35"/>
        <v>98.069104413595994</v>
      </c>
      <c r="S139">
        <f t="shared" si="30"/>
        <v>100.80154557527408</v>
      </c>
      <c r="T139">
        <f t="shared" si="36"/>
        <v>100.80154557527408</v>
      </c>
      <c r="U139" s="3">
        <f t="shared" si="37"/>
        <v>40.901550741876001</v>
      </c>
      <c r="V139">
        <f t="shared" si="29"/>
        <v>42</v>
      </c>
      <c r="W139" s="8">
        <f t="shared" si="31"/>
        <v>39.678477009415104</v>
      </c>
      <c r="X139" s="1">
        <f t="shared" si="38"/>
        <v>39.678477009415104</v>
      </c>
      <c r="Y139" s="18"/>
      <c r="Z139" s="7"/>
      <c r="AA139" s="1"/>
      <c r="AB139" s="1"/>
      <c r="AC139" s="1"/>
    </row>
    <row r="140" spans="1:29" x14ac:dyDescent="0.3">
      <c r="A140">
        <v>139</v>
      </c>
      <c r="E140">
        <v>-456.9821697072</v>
      </c>
      <c r="F140">
        <v>46.878971299894999</v>
      </c>
      <c r="G140">
        <v>422.98855151518001</v>
      </c>
      <c r="H140">
        <v>50.635147417147998</v>
      </c>
      <c r="I140">
        <v>159.60997470552999</v>
      </c>
      <c r="J140">
        <v>41.387714867424997</v>
      </c>
      <c r="L140" s="1">
        <f t="shared" si="39"/>
        <v>3.5152790156699893</v>
      </c>
      <c r="M140">
        <f t="shared" si="40"/>
        <v>519.61646113115</v>
      </c>
      <c r="N140">
        <f t="shared" si="32"/>
        <v>1.4433790586976389</v>
      </c>
      <c r="O140">
        <f t="shared" si="33"/>
        <v>50.635147417147998</v>
      </c>
      <c r="P140">
        <f t="shared" si="34"/>
        <v>90</v>
      </c>
      <c r="Q140">
        <f t="shared" si="27"/>
        <v>98.244075591135001</v>
      </c>
      <c r="R140">
        <f t="shared" si="35"/>
        <v>98.244075591135001</v>
      </c>
      <c r="S140">
        <f t="shared" si="30"/>
        <v>100.97095911906258</v>
      </c>
      <c r="T140">
        <f t="shared" si="36"/>
        <v>100.97095911906258</v>
      </c>
      <c r="U140" s="3">
        <f t="shared" si="37"/>
        <v>41.387714867424997</v>
      </c>
      <c r="V140">
        <f t="shared" si="29"/>
        <v>43</v>
      </c>
      <c r="W140" s="8">
        <f t="shared" si="31"/>
        <v>40.050676132281097</v>
      </c>
      <c r="X140" s="1">
        <f t="shared" si="38"/>
        <v>40.050676132281097</v>
      </c>
      <c r="Y140" s="18"/>
      <c r="Z140" s="7"/>
      <c r="AA140" s="1"/>
      <c r="AB140" s="1"/>
      <c r="AC140" s="1"/>
    </row>
    <row r="141" spans="1:29" x14ac:dyDescent="0.3">
      <c r="A141">
        <v>140</v>
      </c>
      <c r="E141">
        <v>-456.6677449668</v>
      </c>
      <c r="F141">
        <v>45.372707847279003</v>
      </c>
      <c r="G141">
        <v>420.24821238619</v>
      </c>
      <c r="H141">
        <v>50.804478351236</v>
      </c>
      <c r="I141">
        <v>163.11530027927</v>
      </c>
      <c r="J141">
        <v>41.859761525906997</v>
      </c>
      <c r="L141" s="1">
        <f t="shared" si="39"/>
        <v>3.5053255737400093</v>
      </c>
      <c r="M141">
        <f t="shared" si="40"/>
        <v>523.12178670489004</v>
      </c>
      <c r="N141">
        <f t="shared" si="32"/>
        <v>1.45311607418025</v>
      </c>
      <c r="O141">
        <f t="shared" si="33"/>
        <v>50.804478351236</v>
      </c>
      <c r="P141">
        <f t="shared" si="34"/>
        <v>91</v>
      </c>
      <c r="Q141">
        <f t="shared" si="27"/>
        <v>98.497941257960008</v>
      </c>
      <c r="R141">
        <f t="shared" si="35"/>
        <v>98.497941257960008</v>
      </c>
      <c r="S141">
        <f t="shared" si="30"/>
        <v>101.21783738162314</v>
      </c>
      <c r="T141">
        <f t="shared" si="36"/>
        <v>101.21783738162314</v>
      </c>
      <c r="U141" s="3">
        <f t="shared" si="37"/>
        <v>41.859761525906997</v>
      </c>
      <c r="V141">
        <f t="shared" si="29"/>
        <v>44</v>
      </c>
      <c r="W141" s="8">
        <f t="shared" si="31"/>
        <v>40.3856214498798</v>
      </c>
      <c r="X141" s="1">
        <f t="shared" si="38"/>
        <v>40.3856214498798</v>
      </c>
      <c r="Y141" s="18"/>
      <c r="Z141" s="7"/>
      <c r="AA141" s="1"/>
      <c r="AB141" s="1"/>
      <c r="AC141" s="1"/>
    </row>
    <row r="142" spans="1:29" x14ac:dyDescent="0.3">
      <c r="A142">
        <v>141</v>
      </c>
      <c r="E142">
        <v>-456.3943551415</v>
      </c>
      <c r="F142">
        <v>44.081426626987003</v>
      </c>
      <c r="G142">
        <v>417.39614695116001</v>
      </c>
      <c r="H142">
        <v>50.919429348384</v>
      </c>
      <c r="I142">
        <v>166.61738063698999</v>
      </c>
      <c r="J142">
        <v>42.308571226239998</v>
      </c>
      <c r="L142" s="1">
        <f t="shared" si="39"/>
        <v>3.5020803577199899</v>
      </c>
      <c r="M142">
        <f t="shared" si="40"/>
        <v>526.62386706261009</v>
      </c>
      <c r="N142">
        <f t="shared" si="32"/>
        <v>1.4628440751739169</v>
      </c>
      <c r="O142">
        <f t="shared" si="33"/>
        <v>50.919429348384</v>
      </c>
      <c r="P142">
        <f t="shared" si="34"/>
        <v>92</v>
      </c>
      <c r="Q142">
        <f t="shared" si="27"/>
        <v>98.660517734027991</v>
      </c>
      <c r="R142">
        <f t="shared" si="35"/>
        <v>98.660517734027991</v>
      </c>
      <c r="S142">
        <f t="shared" si="30"/>
        <v>101.36853519377935</v>
      </c>
      <c r="T142">
        <f t="shared" si="36"/>
        <v>101.36853519377935</v>
      </c>
      <c r="U142" s="3">
        <f t="shared" si="37"/>
        <v>42.308571226239998</v>
      </c>
      <c r="V142">
        <f t="shared" si="29"/>
        <v>44</v>
      </c>
      <c r="W142" s="8">
        <f t="shared" si="31"/>
        <v>40.834431150212801</v>
      </c>
      <c r="X142" s="1">
        <f t="shared" si="38"/>
        <v>40.834431150212801</v>
      </c>
      <c r="Y142" s="18"/>
      <c r="Z142" s="7"/>
      <c r="AA142" s="1"/>
      <c r="AB142" s="1"/>
      <c r="AC142" s="1"/>
    </row>
    <row r="143" spans="1:29" x14ac:dyDescent="0.3">
      <c r="A143">
        <v>142</v>
      </c>
      <c r="E143">
        <v>-456.09633249220002</v>
      </c>
      <c r="F143">
        <v>42.956785799297002</v>
      </c>
      <c r="G143">
        <v>414.47647184975</v>
      </c>
      <c r="H143">
        <v>51.046019183261002</v>
      </c>
      <c r="I143">
        <v>170.10476028442</v>
      </c>
      <c r="J143">
        <v>42.794059214108998</v>
      </c>
      <c r="L143" s="1">
        <f t="shared" si="39"/>
        <v>3.4873796474300036</v>
      </c>
      <c r="M143">
        <f t="shared" si="40"/>
        <v>530.11124671004006</v>
      </c>
      <c r="N143">
        <f t="shared" si="32"/>
        <v>1.4725312408612223</v>
      </c>
      <c r="O143">
        <f t="shared" si="33"/>
        <v>51.046019183261002</v>
      </c>
      <c r="P143">
        <f t="shared" si="34"/>
        <v>93</v>
      </c>
      <c r="Q143">
        <f t="shared" si="27"/>
        <v>98.84417366122301</v>
      </c>
      <c r="R143">
        <f t="shared" si="35"/>
        <v>98.84417366122301</v>
      </c>
      <c r="S143">
        <f t="shared" si="30"/>
        <v>101.54918858146486</v>
      </c>
      <c r="T143">
        <f t="shared" si="36"/>
        <v>101.54918858146486</v>
      </c>
      <c r="U143" s="3">
        <f t="shared" si="37"/>
        <v>42.794059214108998</v>
      </c>
      <c r="V143">
        <f t="shared" si="29"/>
        <v>45</v>
      </c>
      <c r="W143" s="8">
        <f t="shared" si="31"/>
        <v>41.217677420117795</v>
      </c>
      <c r="X143" s="1">
        <f t="shared" si="38"/>
        <v>41.217677420117795</v>
      </c>
      <c r="Y143" s="18"/>
      <c r="Z143" s="7"/>
      <c r="AA143" s="1"/>
      <c r="AB143" s="1"/>
      <c r="AC143" s="1"/>
    </row>
    <row r="144" spans="1:29" x14ac:dyDescent="0.3">
      <c r="A144">
        <v>143</v>
      </c>
      <c r="E144">
        <v>-455.8324029922</v>
      </c>
      <c r="F144">
        <v>42.021749724674002</v>
      </c>
      <c r="G144">
        <v>411.48806488618999</v>
      </c>
      <c r="H144">
        <v>51.158171009652001</v>
      </c>
      <c r="I144">
        <v>173.58753096856</v>
      </c>
      <c r="J144">
        <v>43.258753227638998</v>
      </c>
      <c r="L144" s="1">
        <f t="shared" si="39"/>
        <v>3.4827706841400072</v>
      </c>
      <c r="M144">
        <f t="shared" si="40"/>
        <v>533.59401739418013</v>
      </c>
      <c r="N144">
        <f t="shared" si="32"/>
        <v>1.4822056038727225</v>
      </c>
      <c r="O144">
        <f t="shared" si="33"/>
        <v>51.158171009652001</v>
      </c>
      <c r="P144">
        <f t="shared" si="34"/>
        <v>94</v>
      </c>
      <c r="Q144">
        <f t="shared" si="27"/>
        <v>99.019487423485003</v>
      </c>
      <c r="R144">
        <f t="shared" si="35"/>
        <v>99.019487423485003</v>
      </c>
      <c r="S144">
        <f t="shared" si="30"/>
        <v>101.7168144431046</v>
      </c>
      <c r="T144">
        <f t="shared" si="36"/>
        <v>101.7168144431046</v>
      </c>
      <c r="U144" s="3">
        <f t="shared" si="37"/>
        <v>43.258753227638998</v>
      </c>
      <c r="V144">
        <f t="shared" si="29"/>
        <v>46</v>
      </c>
      <c r="W144" s="8">
        <f t="shared" si="31"/>
        <v>41.5357349226976</v>
      </c>
      <c r="X144" s="1">
        <f t="shared" si="38"/>
        <v>41.5357349226976</v>
      </c>
      <c r="Y144" s="18"/>
      <c r="Z144" s="7"/>
      <c r="AA144" s="1"/>
      <c r="AB144" s="1"/>
      <c r="AC144" s="1"/>
    </row>
    <row r="145" spans="1:29" x14ac:dyDescent="0.3">
      <c r="A145">
        <v>144</v>
      </c>
      <c r="E145">
        <v>-455.58456721480002</v>
      </c>
      <c r="F145">
        <v>41.273972007258003</v>
      </c>
      <c r="G145">
        <v>408.44547180680001</v>
      </c>
      <c r="H145">
        <v>51.263564755769998</v>
      </c>
      <c r="I145">
        <v>177.06447426400001</v>
      </c>
      <c r="J145">
        <v>43.719319310275999</v>
      </c>
      <c r="L145" s="1">
        <f t="shared" si="39"/>
        <v>3.4769432954400088</v>
      </c>
      <c r="M145">
        <f t="shared" si="40"/>
        <v>537.07096068962016</v>
      </c>
      <c r="N145">
        <f t="shared" si="32"/>
        <v>1.4918637796933893</v>
      </c>
      <c r="O145">
        <f t="shared" si="33"/>
        <v>51.263564755769998</v>
      </c>
      <c r="P145">
        <f t="shared" si="34"/>
        <v>95</v>
      </c>
      <c r="Q145">
        <f t="shared" si="27"/>
        <v>99.207218009637998</v>
      </c>
      <c r="R145">
        <f t="shared" si="35"/>
        <v>99.207218009637998</v>
      </c>
      <c r="S145">
        <f t="shared" si="30"/>
        <v>101.9058657000971</v>
      </c>
      <c r="T145">
        <f t="shared" si="36"/>
        <v>101.9058657000971</v>
      </c>
      <c r="U145" s="3">
        <f t="shared" si="37"/>
        <v>43.719319310275999</v>
      </c>
      <c r="V145">
        <f t="shared" si="29"/>
        <v>47</v>
      </c>
      <c r="W145" s="8">
        <f t="shared" si="31"/>
        <v>41.857068143775997</v>
      </c>
      <c r="X145" s="1">
        <f t="shared" si="38"/>
        <v>41.857068143775997</v>
      </c>
      <c r="Y145" s="18"/>
      <c r="Z145" s="7"/>
      <c r="AA145" s="1"/>
      <c r="AB145" s="1"/>
      <c r="AC145" s="1"/>
    </row>
    <row r="146" spans="1:29" x14ac:dyDescent="0.3">
      <c r="A146">
        <v>145</v>
      </c>
      <c r="E146">
        <v>-455.32675023259998</v>
      </c>
      <c r="F146">
        <v>40.678765953703</v>
      </c>
      <c r="G146">
        <v>405.37069851982</v>
      </c>
      <c r="H146">
        <v>51.401912857253002</v>
      </c>
      <c r="I146">
        <v>-179.47197815370001</v>
      </c>
      <c r="J146">
        <v>44.198563243982001</v>
      </c>
      <c r="L146" s="1">
        <f t="shared" si="39"/>
        <v>-356.53645241770005</v>
      </c>
      <c r="M146">
        <f t="shared" si="40"/>
        <v>540.5479039850602</v>
      </c>
      <c r="N146">
        <f t="shared" si="32"/>
        <v>1.5015219555140562</v>
      </c>
      <c r="O146">
        <f t="shared" si="33"/>
        <v>51.401912857253002</v>
      </c>
      <c r="P146">
        <f t="shared" si="34"/>
        <v>96</v>
      </c>
      <c r="Q146">
        <f t="shared" ref="Q146:Q209" si="41">IF(P146=0,0,O146+INDEX(O:O,P146))</f>
        <v>99.421824868057996</v>
      </c>
      <c r="R146">
        <f t="shared" si="35"/>
        <v>99.421824868057996</v>
      </c>
      <c r="S146">
        <f t="shared" si="30"/>
        <v>102.12143734935192</v>
      </c>
      <c r="T146">
        <f t="shared" si="36"/>
        <v>102.12143734935192</v>
      </c>
      <c r="U146" s="3">
        <f t="shared" si="37"/>
        <v>44.198563243982001</v>
      </c>
      <c r="V146">
        <f t="shared" si="29"/>
        <v>48</v>
      </c>
      <c r="W146" s="8">
        <f t="shared" si="31"/>
        <v>42.196995714478703</v>
      </c>
      <c r="X146" s="1">
        <f t="shared" si="38"/>
        <v>42.196995714478703</v>
      </c>
      <c r="Y146" s="18"/>
      <c r="Z146" s="7"/>
      <c r="AA146" s="1"/>
      <c r="AB146" s="1"/>
      <c r="AC146" s="1"/>
    </row>
    <row r="147" spans="1:29" x14ac:dyDescent="0.3">
      <c r="A147">
        <v>146</v>
      </c>
      <c r="E147">
        <v>-455.12622424310001</v>
      </c>
      <c r="F147">
        <v>40.324457316843002</v>
      </c>
      <c r="G147">
        <v>402.25434821179999</v>
      </c>
      <c r="H147">
        <v>51.481363166983002</v>
      </c>
      <c r="I147">
        <v>-176.00581780460001</v>
      </c>
      <c r="J147">
        <v>44.633802101771003</v>
      </c>
      <c r="L147" s="1">
        <f t="shared" si="39"/>
        <v>3.4661603490999937</v>
      </c>
      <c r="M147">
        <f t="shared" si="40"/>
        <v>544.01406433416014</v>
      </c>
      <c r="N147">
        <f t="shared" si="32"/>
        <v>1.5111501787060004</v>
      </c>
      <c r="O147">
        <f t="shared" si="33"/>
        <v>51.481363166983002</v>
      </c>
      <c r="P147">
        <f t="shared" si="34"/>
        <v>96</v>
      </c>
      <c r="Q147">
        <f t="shared" si="41"/>
        <v>99.501275177788003</v>
      </c>
      <c r="R147">
        <f t="shared" si="35"/>
        <v>99.501275177788003</v>
      </c>
      <c r="S147">
        <f t="shared" si="30"/>
        <v>102.24974134538122</v>
      </c>
      <c r="T147">
        <f t="shared" si="36"/>
        <v>102.24974134538122</v>
      </c>
      <c r="U147" s="3">
        <f t="shared" si="37"/>
        <v>44.633802101771003</v>
      </c>
      <c r="V147">
        <f t="shared" si="29"/>
        <v>49</v>
      </c>
      <c r="W147" s="8">
        <f t="shared" si="31"/>
        <v>42.442699643395905</v>
      </c>
      <c r="X147" s="1">
        <f t="shared" si="38"/>
        <v>42.442699643395905</v>
      </c>
      <c r="Y147" s="18"/>
      <c r="Z147" s="7"/>
      <c r="AA147" s="1"/>
      <c r="AB147" s="1"/>
      <c r="AC147" s="1"/>
    </row>
    <row r="148" spans="1:29" x14ac:dyDescent="0.3">
      <c r="A148">
        <v>147</v>
      </c>
      <c r="E148">
        <v>-454.86510798749998</v>
      </c>
      <c r="F148">
        <v>40.106072781527999</v>
      </c>
      <c r="G148">
        <v>399.13032070253001</v>
      </c>
      <c r="H148">
        <v>51.614882815077998</v>
      </c>
      <c r="I148">
        <v>-172.56037744860001</v>
      </c>
      <c r="J148">
        <v>45.135487528474997</v>
      </c>
      <c r="L148" s="1">
        <f t="shared" si="39"/>
        <v>3.445440356000006</v>
      </c>
      <c r="M148">
        <f t="shared" si="40"/>
        <v>547.4595046901602</v>
      </c>
      <c r="N148">
        <f t="shared" si="32"/>
        <v>1.520720846361556</v>
      </c>
      <c r="O148">
        <f t="shared" si="33"/>
        <v>51.614882815077998</v>
      </c>
      <c r="P148">
        <f t="shared" si="34"/>
        <v>97</v>
      </c>
      <c r="Q148">
        <f t="shared" si="41"/>
        <v>99.659594019189996</v>
      </c>
      <c r="R148">
        <f t="shared" si="35"/>
        <v>99.659594019189996</v>
      </c>
      <c r="S148">
        <f t="shared" si="30"/>
        <v>102.41533135049623</v>
      </c>
      <c r="T148">
        <f t="shared" si="36"/>
        <v>102.41533135049623</v>
      </c>
      <c r="U148" s="3">
        <f t="shared" si="37"/>
        <v>45.135487528474997</v>
      </c>
      <c r="V148">
        <f t="shared" si="29"/>
        <v>50</v>
      </c>
      <c r="W148" s="8">
        <f t="shared" si="31"/>
        <v>42.757892067180293</v>
      </c>
      <c r="X148" s="1">
        <f t="shared" si="38"/>
        <v>42.757892067180293</v>
      </c>
      <c r="Y148" s="18"/>
      <c r="Z148" s="7"/>
      <c r="AA148" s="1"/>
      <c r="AB148" s="1"/>
      <c r="AC148" s="1"/>
    </row>
    <row r="149" spans="1:29" x14ac:dyDescent="0.3">
      <c r="A149">
        <v>148</v>
      </c>
      <c r="E149">
        <v>-454.60612630769998</v>
      </c>
      <c r="F149">
        <v>40.059718338757001</v>
      </c>
      <c r="G149">
        <v>395.99875918409998</v>
      </c>
      <c r="H149">
        <v>51.762442667602997</v>
      </c>
      <c r="I149">
        <v>-169.1259067794</v>
      </c>
      <c r="J149">
        <v>45.642593438879999</v>
      </c>
      <c r="L149" s="1">
        <f t="shared" si="39"/>
        <v>3.4344706692000102</v>
      </c>
      <c r="M149">
        <f t="shared" si="40"/>
        <v>550.89397535936018</v>
      </c>
      <c r="N149">
        <f t="shared" si="32"/>
        <v>1.5302610426648895</v>
      </c>
      <c r="O149">
        <f t="shared" si="33"/>
        <v>51.762442667602997</v>
      </c>
      <c r="P149">
        <f t="shared" si="34"/>
        <v>98</v>
      </c>
      <c r="Q149">
        <f t="shared" si="41"/>
        <v>99.885407839383987</v>
      </c>
      <c r="R149">
        <f t="shared" si="35"/>
        <v>99.885407839383987</v>
      </c>
      <c r="S149">
        <f t="shared" si="30"/>
        <v>102.65787939370693</v>
      </c>
      <c r="T149">
        <f t="shared" si="36"/>
        <v>102.65787939370693</v>
      </c>
      <c r="U149" s="3">
        <f t="shared" si="37"/>
        <v>45.642593438879999</v>
      </c>
      <c r="V149">
        <f t="shared" si="29"/>
        <v>51</v>
      </c>
      <c r="W149" s="8">
        <f t="shared" si="31"/>
        <v>43.089444271268</v>
      </c>
      <c r="X149" s="1">
        <f t="shared" si="38"/>
        <v>43.089444271268</v>
      </c>
      <c r="Y149" s="18"/>
      <c r="Z149" s="7"/>
      <c r="AA149" s="1"/>
      <c r="AB149" s="1"/>
      <c r="AC149" s="1"/>
    </row>
    <row r="150" spans="1:29" x14ac:dyDescent="0.3">
      <c r="A150">
        <v>149</v>
      </c>
      <c r="E150">
        <v>-454.37782435179997</v>
      </c>
      <c r="F150">
        <v>40.188248091774</v>
      </c>
      <c r="G150">
        <v>392.86688833911001</v>
      </c>
      <c r="H150">
        <v>51.920070482532999</v>
      </c>
      <c r="I150">
        <v>-165.6977056403</v>
      </c>
      <c r="J150">
        <v>46.126225900393997</v>
      </c>
      <c r="L150" s="1">
        <f t="shared" si="39"/>
        <v>3.4282011390999969</v>
      </c>
      <c r="M150">
        <f t="shared" si="40"/>
        <v>554.32217649846018</v>
      </c>
      <c r="N150">
        <f t="shared" si="32"/>
        <v>1.5397838236068337</v>
      </c>
      <c r="O150">
        <f t="shared" si="33"/>
        <v>51.920070482532999</v>
      </c>
      <c r="P150">
        <f t="shared" si="34"/>
        <v>99</v>
      </c>
      <c r="Q150">
        <f t="shared" si="41"/>
        <v>100.127898201533</v>
      </c>
      <c r="R150">
        <f t="shared" si="35"/>
        <v>100.127898201533</v>
      </c>
      <c r="S150">
        <f t="shared" si="30"/>
        <v>102.90988094090361</v>
      </c>
      <c r="T150">
        <f t="shared" si="36"/>
        <v>102.90988094090361</v>
      </c>
      <c r="U150" s="3">
        <f t="shared" si="37"/>
        <v>46.126225900393997</v>
      </c>
      <c r="V150">
        <f t="shared" si="29"/>
        <v>52</v>
      </c>
      <c r="W150" s="8">
        <f t="shared" si="31"/>
        <v>43.372019272689201</v>
      </c>
      <c r="X150" s="1">
        <f t="shared" si="38"/>
        <v>43.372019272689201</v>
      </c>
      <c r="Y150" s="18"/>
      <c r="Z150" s="7"/>
      <c r="AA150" s="1"/>
      <c r="AB150" s="1"/>
      <c r="AC150" s="1"/>
    </row>
    <row r="151" spans="1:29" x14ac:dyDescent="0.3">
      <c r="A151">
        <v>150</v>
      </c>
      <c r="E151">
        <v>-454.19414516149999</v>
      </c>
      <c r="F151">
        <v>40.539344061850002</v>
      </c>
      <c r="G151">
        <v>389.74940880921997</v>
      </c>
      <c r="H151">
        <v>52.039401228453997</v>
      </c>
      <c r="I151">
        <v>-162.2709861292</v>
      </c>
      <c r="J151">
        <v>46.573243936784998</v>
      </c>
      <c r="L151" s="1">
        <f t="shared" si="39"/>
        <v>3.4267195111000035</v>
      </c>
      <c r="M151">
        <f t="shared" si="40"/>
        <v>557.74889600956021</v>
      </c>
      <c r="N151">
        <f t="shared" si="32"/>
        <v>1.549302488915445</v>
      </c>
      <c r="O151">
        <f t="shared" si="33"/>
        <v>52.039401228453997</v>
      </c>
      <c r="P151">
        <f t="shared" si="34"/>
        <v>100</v>
      </c>
      <c r="Q151">
        <f t="shared" si="41"/>
        <v>100.296167411006</v>
      </c>
      <c r="R151">
        <f t="shared" si="35"/>
        <v>100.296167411006</v>
      </c>
      <c r="S151">
        <f t="shared" si="30"/>
        <v>103.07884481601523</v>
      </c>
      <c r="T151">
        <f t="shared" si="36"/>
        <v>103.07884481601523</v>
      </c>
      <c r="U151" s="3">
        <f t="shared" si="37"/>
        <v>46.573243936784998</v>
      </c>
      <c r="V151">
        <f t="shared" si="29"/>
        <v>52</v>
      </c>
      <c r="W151" s="8">
        <f t="shared" si="31"/>
        <v>43.819037309080201</v>
      </c>
      <c r="X151" s="1">
        <f t="shared" si="38"/>
        <v>43.819037309080201</v>
      </c>
      <c r="Y151" s="18"/>
      <c r="Z151" s="7"/>
      <c r="AA151" s="1"/>
      <c r="AB151" s="1"/>
      <c r="AC151" s="1"/>
    </row>
    <row r="152" spans="1:29" x14ac:dyDescent="0.3">
      <c r="A152">
        <v>151</v>
      </c>
      <c r="E152">
        <v>-453.98734614979998</v>
      </c>
      <c r="F152">
        <v>41.078084661463997</v>
      </c>
      <c r="G152">
        <v>386.66009043109</v>
      </c>
      <c r="H152">
        <v>52.155149833872997</v>
      </c>
      <c r="I152">
        <v>-158.85626648339999</v>
      </c>
      <c r="J152">
        <v>47.048603595678998</v>
      </c>
      <c r="L152" s="1">
        <f t="shared" si="39"/>
        <v>3.4147196458000053</v>
      </c>
      <c r="M152">
        <f t="shared" si="40"/>
        <v>561.16361565536022</v>
      </c>
      <c r="N152">
        <f t="shared" si="32"/>
        <v>1.5587878212648896</v>
      </c>
      <c r="O152">
        <f t="shared" si="33"/>
        <v>52.155149833872997</v>
      </c>
      <c r="P152">
        <f t="shared" si="34"/>
        <v>101</v>
      </c>
      <c r="Q152">
        <f t="shared" si="41"/>
        <v>100.486731147337</v>
      </c>
      <c r="R152">
        <f t="shared" si="35"/>
        <v>100.486731147337</v>
      </c>
      <c r="S152">
        <f t="shared" si="30"/>
        <v>103.28135674192541</v>
      </c>
      <c r="T152">
        <f t="shared" si="36"/>
        <v>103.28135674192541</v>
      </c>
      <c r="U152" s="3">
        <f t="shared" si="37"/>
        <v>47.048603595678998</v>
      </c>
      <c r="V152">
        <f t="shared" si="29"/>
        <v>53</v>
      </c>
      <c r="W152" s="8">
        <f t="shared" si="31"/>
        <v>44.059649155690394</v>
      </c>
      <c r="X152" s="1">
        <f t="shared" si="38"/>
        <v>44.059649155690394</v>
      </c>
      <c r="Y152" s="18"/>
      <c r="Z152" s="7"/>
      <c r="AA152" s="1"/>
      <c r="AB152" s="1"/>
      <c r="AC152" s="1"/>
    </row>
    <row r="153" spans="1:29" x14ac:dyDescent="0.3">
      <c r="A153">
        <v>152</v>
      </c>
      <c r="E153">
        <v>-453.7694897362</v>
      </c>
      <c r="F153">
        <v>41.824443189781</v>
      </c>
      <c r="G153">
        <v>383.61514759641</v>
      </c>
      <c r="H153">
        <v>52.243625235464002</v>
      </c>
      <c r="I153">
        <v>-155.45007659620001</v>
      </c>
      <c r="J153">
        <v>47.539797365312999</v>
      </c>
      <c r="L153" s="1">
        <f t="shared" si="39"/>
        <v>3.4061898871999858</v>
      </c>
      <c r="M153">
        <f t="shared" si="40"/>
        <v>564.56980554256018</v>
      </c>
      <c r="N153">
        <f t="shared" si="32"/>
        <v>1.5682494598404448</v>
      </c>
      <c r="O153">
        <f t="shared" si="33"/>
        <v>52.243625235464002</v>
      </c>
      <c r="P153">
        <f t="shared" si="34"/>
        <v>102</v>
      </c>
      <c r="Q153">
        <f t="shared" si="41"/>
        <v>100.65668745373901</v>
      </c>
      <c r="R153">
        <f t="shared" si="35"/>
        <v>100.65668745373901</v>
      </c>
      <c r="S153">
        <f t="shared" si="30"/>
        <v>103.46199945630917</v>
      </c>
      <c r="T153">
        <f t="shared" si="36"/>
        <v>103.46199945630917</v>
      </c>
      <c r="U153" s="3">
        <f t="shared" si="37"/>
        <v>47.539797365312999</v>
      </c>
      <c r="V153">
        <f t="shared" si="29"/>
        <v>54</v>
      </c>
      <c r="W153" s="8">
        <f t="shared" si="31"/>
        <v>44.320968494293602</v>
      </c>
      <c r="X153" s="1">
        <f t="shared" si="38"/>
        <v>44.320968494293602</v>
      </c>
      <c r="Y153" s="18"/>
      <c r="Z153" s="7"/>
      <c r="AA153" s="1"/>
      <c r="AB153" s="1"/>
      <c r="AC153" s="1"/>
    </row>
    <row r="154" spans="1:29" x14ac:dyDescent="0.3">
      <c r="A154">
        <v>153</v>
      </c>
      <c r="E154">
        <v>-453.56501135140002</v>
      </c>
      <c r="F154">
        <v>42.739602762611</v>
      </c>
      <c r="G154">
        <v>380.61583172266</v>
      </c>
      <c r="H154">
        <v>52.341495432883001</v>
      </c>
      <c r="I154">
        <v>-152.0486907396</v>
      </c>
      <c r="J154">
        <v>48.020821605149997</v>
      </c>
      <c r="L154" s="1">
        <f t="shared" si="39"/>
        <v>3.401385856600001</v>
      </c>
      <c r="M154">
        <f t="shared" si="40"/>
        <v>567.97119139916015</v>
      </c>
      <c r="N154">
        <f t="shared" si="32"/>
        <v>1.577697753886556</v>
      </c>
      <c r="O154">
        <f t="shared" si="33"/>
        <v>52.341495432883001</v>
      </c>
      <c r="P154">
        <f t="shared" si="34"/>
        <v>103</v>
      </c>
      <c r="Q154">
        <f t="shared" si="41"/>
        <v>100.83078078126701</v>
      </c>
      <c r="R154">
        <f t="shared" si="35"/>
        <v>100.83078078126701</v>
      </c>
      <c r="S154">
        <f t="shared" si="30"/>
        <v>103.64368705411171</v>
      </c>
      <c r="T154">
        <f t="shared" si="36"/>
        <v>103.64368705411171</v>
      </c>
      <c r="U154" s="3">
        <f t="shared" si="37"/>
        <v>48.020821605149997</v>
      </c>
      <c r="V154">
        <f t="shared" si="29"/>
        <v>55</v>
      </c>
      <c r="W154" s="8">
        <f t="shared" si="31"/>
        <v>44.545201506825897</v>
      </c>
      <c r="X154" s="1">
        <f t="shared" si="38"/>
        <v>44.545201506825897</v>
      </c>
      <c r="Y154" s="18"/>
      <c r="Z154" s="7"/>
      <c r="AA154" s="1"/>
      <c r="AB154" s="1"/>
      <c r="AC154" s="1"/>
    </row>
    <row r="155" spans="1:29" x14ac:dyDescent="0.3">
      <c r="A155">
        <v>154</v>
      </c>
      <c r="E155">
        <v>-453.37228708890001</v>
      </c>
      <c r="F155">
        <v>43.838378727391003</v>
      </c>
      <c r="G155">
        <v>377.67778719078001</v>
      </c>
      <c r="H155">
        <v>52.429979834900003</v>
      </c>
      <c r="I155">
        <v>-148.65126776619999</v>
      </c>
      <c r="J155">
        <v>48.492637435585998</v>
      </c>
      <c r="L155" s="1">
        <f t="shared" si="39"/>
        <v>3.3974229734000119</v>
      </c>
      <c r="M155">
        <f t="shared" si="40"/>
        <v>571.36861437256016</v>
      </c>
      <c r="N155">
        <f t="shared" si="32"/>
        <v>1.5871350399237782</v>
      </c>
      <c r="O155">
        <f t="shared" si="33"/>
        <v>52.429979834900003</v>
      </c>
      <c r="P155">
        <f t="shared" si="34"/>
        <v>104</v>
      </c>
      <c r="Q155">
        <f t="shared" si="41"/>
        <v>101.02098016055299</v>
      </c>
      <c r="R155">
        <f t="shared" si="35"/>
        <v>101.02098016055299</v>
      </c>
      <c r="S155">
        <f t="shared" si="30"/>
        <v>103.84058604566306</v>
      </c>
      <c r="T155">
        <f t="shared" si="36"/>
        <v>103.84058604566306</v>
      </c>
      <c r="U155" s="3">
        <f t="shared" si="37"/>
        <v>48.492637435585998</v>
      </c>
      <c r="V155">
        <f t="shared" si="29"/>
        <v>56</v>
      </c>
      <c r="W155" s="8">
        <f t="shared" si="31"/>
        <v>44.752283074686801</v>
      </c>
      <c r="X155" s="1">
        <f t="shared" si="38"/>
        <v>44.752283074686801</v>
      </c>
      <c r="Y155" s="18"/>
      <c r="Z155" s="7"/>
      <c r="AA155" s="1"/>
      <c r="AB155" s="1"/>
      <c r="AC155" s="1"/>
    </row>
    <row r="156" spans="1:29" x14ac:dyDescent="0.3">
      <c r="A156">
        <v>155</v>
      </c>
      <c r="E156">
        <v>-453.1725433675</v>
      </c>
      <c r="F156">
        <v>45.108410143992003</v>
      </c>
      <c r="G156">
        <v>374.81036781465002</v>
      </c>
      <c r="H156">
        <v>52.517198433754999</v>
      </c>
      <c r="I156">
        <v>-145.26115407180001</v>
      </c>
      <c r="J156">
        <v>48.972693989992003</v>
      </c>
      <c r="L156" s="1">
        <f t="shared" si="39"/>
        <v>3.3901136943999859</v>
      </c>
      <c r="M156">
        <f t="shared" si="40"/>
        <v>574.7587280669602</v>
      </c>
      <c r="N156">
        <f t="shared" si="32"/>
        <v>1.5965520224082228</v>
      </c>
      <c r="O156">
        <f t="shared" si="33"/>
        <v>52.517198433754999</v>
      </c>
      <c r="P156">
        <f t="shared" si="34"/>
        <v>105</v>
      </c>
      <c r="Q156">
        <f t="shared" si="41"/>
        <v>101.19911492708999</v>
      </c>
      <c r="R156">
        <f t="shared" si="35"/>
        <v>101.19911492708999</v>
      </c>
      <c r="S156">
        <f t="shared" si="30"/>
        <v>104.02553845657749</v>
      </c>
      <c r="T156">
        <f t="shared" si="36"/>
        <v>104.02553845657749</v>
      </c>
      <c r="U156" s="3">
        <f t="shared" si="37"/>
        <v>48.972693989992003</v>
      </c>
      <c r="V156">
        <f t="shared" si="29"/>
        <v>57</v>
      </c>
      <c r="W156" s="8">
        <f t="shared" si="31"/>
        <v>44.960144722595103</v>
      </c>
      <c r="X156" s="1">
        <f t="shared" si="38"/>
        <v>44.960144722595103</v>
      </c>
      <c r="Y156" s="18"/>
      <c r="Z156" s="7"/>
      <c r="AA156" s="1"/>
      <c r="AB156" s="1"/>
      <c r="AC156" s="1"/>
    </row>
    <row r="157" spans="1:29" x14ac:dyDescent="0.3">
      <c r="A157">
        <v>156</v>
      </c>
      <c r="E157">
        <v>-452.95970233589998</v>
      </c>
      <c r="F157">
        <v>46.537452086527999</v>
      </c>
      <c r="G157">
        <v>372.01955180277002</v>
      </c>
      <c r="H157">
        <v>52.611338871344998</v>
      </c>
      <c r="I157">
        <v>-141.87918788010001</v>
      </c>
      <c r="J157">
        <v>49.466071192469002</v>
      </c>
      <c r="L157" s="1">
        <f t="shared" si="39"/>
        <v>3.3819661917000019</v>
      </c>
      <c r="M157">
        <f t="shared" si="40"/>
        <v>578.14069425866023</v>
      </c>
      <c r="N157">
        <f t="shared" si="32"/>
        <v>1.6059463729407228</v>
      </c>
      <c r="O157">
        <f t="shared" si="33"/>
        <v>52.611338871344998</v>
      </c>
      <c r="P157">
        <f t="shared" si="34"/>
        <v>106</v>
      </c>
      <c r="Q157">
        <f t="shared" si="41"/>
        <v>101.370695777874</v>
      </c>
      <c r="R157">
        <f t="shared" si="35"/>
        <v>101.370695777874</v>
      </c>
      <c r="S157">
        <f t="shared" si="30"/>
        <v>104.20660900213001</v>
      </c>
      <c r="T157">
        <f t="shared" si="36"/>
        <v>104.20660900213001</v>
      </c>
      <c r="U157" s="3">
        <f t="shared" si="37"/>
        <v>49.466071192469002</v>
      </c>
      <c r="V157">
        <f t="shared" si="29"/>
        <v>58</v>
      </c>
      <c r="W157" s="8">
        <f t="shared" si="31"/>
        <v>45.174712561929503</v>
      </c>
      <c r="X157" s="1">
        <f t="shared" si="38"/>
        <v>45.174712561929503</v>
      </c>
      <c r="Y157" s="18"/>
      <c r="Z157" s="7"/>
      <c r="AA157" s="1"/>
      <c r="AB157" s="1"/>
      <c r="AC157" s="1"/>
    </row>
    <row r="158" spans="1:29" x14ac:dyDescent="0.3">
      <c r="A158">
        <v>157</v>
      </c>
      <c r="E158">
        <v>-452.7608739721</v>
      </c>
      <c r="F158">
        <v>48.150137488482997</v>
      </c>
      <c r="G158">
        <v>369.32977249530001</v>
      </c>
      <c r="H158">
        <v>52.679148138085999</v>
      </c>
      <c r="I158">
        <v>-138.4993413741</v>
      </c>
      <c r="J158">
        <v>49.944803876595003</v>
      </c>
      <c r="L158" s="1">
        <f t="shared" si="39"/>
        <v>3.3798465060000069</v>
      </c>
      <c r="M158">
        <f t="shared" si="40"/>
        <v>581.52054076466027</v>
      </c>
      <c r="N158">
        <f t="shared" si="32"/>
        <v>1.6153348354573895</v>
      </c>
      <c r="O158">
        <f t="shared" si="33"/>
        <v>52.679148138085999</v>
      </c>
      <c r="P158">
        <f t="shared" si="34"/>
        <v>107</v>
      </c>
      <c r="Q158">
        <f t="shared" si="41"/>
        <v>101.503924716703</v>
      </c>
      <c r="R158">
        <f t="shared" si="35"/>
        <v>101.503924716703</v>
      </c>
      <c r="S158">
        <f t="shared" si="30"/>
        <v>104.3458446511189</v>
      </c>
      <c r="T158">
        <f t="shared" si="36"/>
        <v>104.3458446511189</v>
      </c>
      <c r="U158" s="3">
        <f t="shared" si="37"/>
        <v>49.944803876595003</v>
      </c>
      <c r="V158">
        <f t="shared" si="29"/>
        <v>59</v>
      </c>
      <c r="W158" s="8">
        <f t="shared" si="31"/>
        <v>45.340766687928905</v>
      </c>
      <c r="X158" s="1">
        <f t="shared" si="38"/>
        <v>45.340766687928905</v>
      </c>
      <c r="Y158" s="18"/>
      <c r="Z158" s="7"/>
      <c r="AA158" s="1"/>
      <c r="AB158" s="1"/>
      <c r="AC158" s="1"/>
    </row>
    <row r="159" spans="1:29" x14ac:dyDescent="0.3">
      <c r="A159">
        <v>158</v>
      </c>
      <c r="E159">
        <v>-452.57969650680002</v>
      </c>
      <c r="F159">
        <v>49.900480105734999</v>
      </c>
      <c r="G159">
        <v>366.72581457161999</v>
      </c>
      <c r="H159">
        <v>52.768219057233999</v>
      </c>
      <c r="I159">
        <v>-135.12166675509999</v>
      </c>
      <c r="J159">
        <v>50.404632391636</v>
      </c>
      <c r="L159" s="1">
        <f t="shared" si="39"/>
        <v>3.377674619000004</v>
      </c>
      <c r="M159">
        <f t="shared" si="40"/>
        <v>584.89821538366027</v>
      </c>
      <c r="N159">
        <f t="shared" si="32"/>
        <v>1.6247172649546118</v>
      </c>
      <c r="O159">
        <f t="shared" si="33"/>
        <v>52.768219057233999</v>
      </c>
      <c r="P159">
        <f t="shared" si="34"/>
        <v>108</v>
      </c>
      <c r="Q159">
        <f t="shared" si="41"/>
        <v>101.66365592502601</v>
      </c>
      <c r="R159">
        <f t="shared" si="35"/>
        <v>101.66365592502601</v>
      </c>
      <c r="S159">
        <f t="shared" si="30"/>
        <v>104.50574807489487</v>
      </c>
      <c r="T159">
        <f t="shared" si="36"/>
        <v>104.50574807489487</v>
      </c>
      <c r="U159" s="3">
        <f t="shared" si="37"/>
        <v>50.404632391636</v>
      </c>
      <c r="V159">
        <f t="shared" si="29"/>
        <v>60</v>
      </c>
      <c r="W159" s="8">
        <f t="shared" si="31"/>
        <v>45.491657089540496</v>
      </c>
      <c r="X159" s="1">
        <f t="shared" si="38"/>
        <v>45.491657089540496</v>
      </c>
      <c r="Y159" s="18"/>
      <c r="Z159" s="7"/>
      <c r="AA159" s="1"/>
      <c r="AB159" s="1"/>
      <c r="AC159" s="1"/>
    </row>
    <row r="160" spans="1:29" x14ac:dyDescent="0.3">
      <c r="A160">
        <v>159</v>
      </c>
      <c r="E160">
        <v>-452.37450096610002</v>
      </c>
      <c r="F160">
        <v>51.800775586965003</v>
      </c>
      <c r="G160">
        <v>364.23130067523999</v>
      </c>
      <c r="H160">
        <v>52.854137514523998</v>
      </c>
      <c r="I160">
        <v>-131.75320435309999</v>
      </c>
      <c r="J160">
        <v>50.885660059258001</v>
      </c>
      <c r="L160" s="1">
        <f t="shared" si="39"/>
        <v>3.3684624020000058</v>
      </c>
      <c r="M160">
        <f t="shared" si="40"/>
        <v>588.26667778566025</v>
      </c>
      <c r="N160">
        <f t="shared" si="32"/>
        <v>1.6340741049601673</v>
      </c>
      <c r="O160">
        <f t="shared" si="33"/>
        <v>52.854137514523998</v>
      </c>
      <c r="P160">
        <f t="shared" si="34"/>
        <v>109</v>
      </c>
      <c r="Q160">
        <f t="shared" si="41"/>
        <v>101.82161545841899</v>
      </c>
      <c r="R160">
        <f t="shared" si="35"/>
        <v>101.82161545841899</v>
      </c>
      <c r="S160">
        <f t="shared" si="30"/>
        <v>104.6678978755732</v>
      </c>
      <c r="T160">
        <f t="shared" si="36"/>
        <v>104.6678978755732</v>
      </c>
      <c r="U160" s="3">
        <f t="shared" si="37"/>
        <v>50.885660059258001</v>
      </c>
      <c r="V160">
        <f t="shared" si="29"/>
        <v>60</v>
      </c>
      <c r="W160" s="8">
        <f t="shared" si="31"/>
        <v>45.972684757162497</v>
      </c>
      <c r="X160" s="1">
        <f t="shared" si="38"/>
        <v>45.972684757162497</v>
      </c>
      <c r="Y160" s="18"/>
      <c r="Z160" s="7"/>
      <c r="AA160" s="1"/>
      <c r="AB160" s="1"/>
      <c r="AC160" s="1"/>
    </row>
    <row r="161" spans="1:29" x14ac:dyDescent="0.3">
      <c r="A161">
        <v>160</v>
      </c>
      <c r="E161">
        <v>-452.17127243049998</v>
      </c>
      <c r="F161">
        <v>53.850243460754001</v>
      </c>
      <c r="G161">
        <v>361.85755504062001</v>
      </c>
      <c r="H161">
        <v>52.930692764832997</v>
      </c>
      <c r="I161">
        <v>-128.38863320729999</v>
      </c>
      <c r="J161">
        <v>51.361067366806999</v>
      </c>
      <c r="L161" s="1">
        <f t="shared" si="39"/>
        <v>3.3645711457999994</v>
      </c>
      <c r="M161">
        <f t="shared" si="40"/>
        <v>591.63124893146028</v>
      </c>
      <c r="N161">
        <f t="shared" si="32"/>
        <v>1.643420135920723</v>
      </c>
      <c r="O161">
        <f t="shared" si="33"/>
        <v>52.930692764832997</v>
      </c>
      <c r="P161">
        <f t="shared" si="34"/>
        <v>109</v>
      </c>
      <c r="Q161">
        <f t="shared" si="41"/>
        <v>101.898170708728</v>
      </c>
      <c r="R161">
        <f t="shared" si="35"/>
        <v>101.898170708728</v>
      </c>
      <c r="S161">
        <f t="shared" si="30"/>
        <v>104.8079438904188</v>
      </c>
      <c r="T161">
        <f t="shared" si="36"/>
        <v>104.8079438904188</v>
      </c>
      <c r="U161" s="3">
        <f t="shared" si="37"/>
        <v>51.361067366806999</v>
      </c>
      <c r="V161">
        <f t="shared" si="29"/>
        <v>61</v>
      </c>
      <c r="W161" s="8">
        <f t="shared" si="31"/>
        <v>46.109518592948298</v>
      </c>
      <c r="X161" s="1">
        <f t="shared" si="38"/>
        <v>46.109518592948298</v>
      </c>
      <c r="Y161" s="18"/>
      <c r="Z161" s="7"/>
      <c r="AA161" s="1"/>
      <c r="AB161" s="1"/>
      <c r="AC161" s="1"/>
    </row>
    <row r="162" spans="1:29" x14ac:dyDescent="0.3">
      <c r="A162">
        <v>161</v>
      </c>
      <c r="E162">
        <v>-451.96186853850003</v>
      </c>
      <c r="F162">
        <v>56.040914400928997</v>
      </c>
      <c r="G162">
        <v>359.61405960516998</v>
      </c>
      <c r="H162">
        <v>52.997305052361</v>
      </c>
      <c r="I162">
        <v>-125.0286187351</v>
      </c>
      <c r="J162">
        <v>51.837882089430003</v>
      </c>
      <c r="L162" s="1">
        <f t="shared" si="39"/>
        <v>3.3600144721999925</v>
      </c>
      <c r="M162">
        <f t="shared" si="40"/>
        <v>594.99126340366024</v>
      </c>
      <c r="N162">
        <f t="shared" si="32"/>
        <v>1.6527535094546117</v>
      </c>
      <c r="O162">
        <f t="shared" si="33"/>
        <v>52.997305052361</v>
      </c>
      <c r="P162">
        <f t="shared" si="34"/>
        <v>110</v>
      </c>
      <c r="Q162">
        <f t="shared" si="41"/>
        <v>102.01872795889301</v>
      </c>
      <c r="R162">
        <f t="shared" si="35"/>
        <v>102.01872795889301</v>
      </c>
      <c r="S162">
        <f t="shared" si="30"/>
        <v>104.93946100135241</v>
      </c>
      <c r="T162">
        <f t="shared" si="36"/>
        <v>104.93946100135241</v>
      </c>
      <c r="U162" s="3">
        <f t="shared" si="37"/>
        <v>51.837882089430003</v>
      </c>
      <c r="V162">
        <f t="shared" si="29"/>
        <v>62</v>
      </c>
      <c r="W162" s="8">
        <f t="shared" si="31"/>
        <v>46.267613002301104</v>
      </c>
      <c r="X162" s="1">
        <f t="shared" si="38"/>
        <v>46.267613002301104</v>
      </c>
      <c r="Y162" s="18"/>
      <c r="Z162" s="7"/>
      <c r="AA162" s="1"/>
      <c r="AB162" s="1"/>
      <c r="AC162" s="1"/>
    </row>
    <row r="163" spans="1:29" x14ac:dyDescent="0.3">
      <c r="A163">
        <v>162</v>
      </c>
      <c r="E163">
        <v>-451.73042742899997</v>
      </c>
      <c r="F163">
        <v>58.359503461781998</v>
      </c>
      <c r="G163">
        <v>357.50545513651002</v>
      </c>
      <c r="H163">
        <v>53.059261117866001</v>
      </c>
      <c r="I163">
        <v>-121.6754185006</v>
      </c>
      <c r="J163">
        <v>52.330993920535001</v>
      </c>
      <c r="L163" s="1">
        <f t="shared" si="39"/>
        <v>3.3532002344999938</v>
      </c>
      <c r="M163">
        <f t="shared" si="40"/>
        <v>598.34446363816028</v>
      </c>
      <c r="N163">
        <f t="shared" si="32"/>
        <v>1.6620679545504453</v>
      </c>
      <c r="O163">
        <f t="shared" si="33"/>
        <v>53.059261117866001</v>
      </c>
      <c r="P163">
        <f t="shared" si="34"/>
        <v>111</v>
      </c>
      <c r="Q163">
        <f t="shared" si="41"/>
        <v>102.12441906567901</v>
      </c>
      <c r="R163">
        <f t="shared" si="35"/>
        <v>102.12441906567901</v>
      </c>
      <c r="S163">
        <f t="shared" si="30"/>
        <v>105.0589666652814</v>
      </c>
      <c r="T163">
        <f t="shared" si="36"/>
        <v>105.0589666652814</v>
      </c>
      <c r="U163" s="3">
        <f t="shared" si="37"/>
        <v>52.330993920535001</v>
      </c>
      <c r="V163">
        <f t="shared" si="29"/>
        <v>63</v>
      </c>
      <c r="W163" s="8">
        <f t="shared" si="31"/>
        <v>46.427553731613898</v>
      </c>
      <c r="X163" s="1">
        <f t="shared" si="38"/>
        <v>46.427553731613898</v>
      </c>
      <c r="Y163" s="18"/>
      <c r="Z163" s="7"/>
      <c r="AA163" s="1"/>
      <c r="AB163" s="1"/>
      <c r="AC163" s="1"/>
    </row>
    <row r="164" spans="1:29" x14ac:dyDescent="0.3">
      <c r="A164">
        <v>163</v>
      </c>
      <c r="E164">
        <v>-451.50274811769998</v>
      </c>
      <c r="F164">
        <v>60.798531951144</v>
      </c>
      <c r="G164">
        <v>355.53683894411</v>
      </c>
      <c r="H164">
        <v>53.118433127945998</v>
      </c>
      <c r="I164">
        <v>-118.3241804899</v>
      </c>
      <c r="J164">
        <v>52.813997524580998</v>
      </c>
      <c r="L164" s="1">
        <f t="shared" si="39"/>
        <v>3.3512380107000013</v>
      </c>
      <c r="M164">
        <f t="shared" si="40"/>
        <v>601.69570164886022</v>
      </c>
      <c r="N164">
        <f t="shared" si="32"/>
        <v>1.6713769490246118</v>
      </c>
      <c r="O164">
        <f t="shared" si="33"/>
        <v>53.118433127945998</v>
      </c>
      <c r="P164">
        <f t="shared" si="34"/>
        <v>112</v>
      </c>
      <c r="Q164">
        <f t="shared" si="41"/>
        <v>102.22998959448199</v>
      </c>
      <c r="R164">
        <f t="shared" si="35"/>
        <v>102.22998959448199</v>
      </c>
      <c r="S164">
        <f t="shared" si="30"/>
        <v>105.1723920171203</v>
      </c>
      <c r="T164">
        <f t="shared" si="36"/>
        <v>105.1723920171203</v>
      </c>
      <c r="U164" s="3">
        <f t="shared" si="37"/>
        <v>52.813997524580998</v>
      </c>
      <c r="V164">
        <f t="shared" si="29"/>
        <v>64</v>
      </c>
      <c r="W164" s="8">
        <f t="shared" si="31"/>
        <v>46.560483579999101</v>
      </c>
      <c r="X164" s="1">
        <f t="shared" si="38"/>
        <v>46.560483579999101</v>
      </c>
      <c r="Y164" s="18"/>
      <c r="Z164" s="7"/>
      <c r="AA164" s="1"/>
      <c r="AB164" s="1"/>
      <c r="AC164" s="1"/>
    </row>
    <row r="165" spans="1:29" x14ac:dyDescent="0.3">
      <c r="A165">
        <v>164</v>
      </c>
      <c r="E165">
        <v>-451.27362133309998</v>
      </c>
      <c r="F165">
        <v>63.353667895047998</v>
      </c>
      <c r="G165">
        <v>353.72163224413998</v>
      </c>
      <c r="H165">
        <v>53.166888829907997</v>
      </c>
      <c r="I165">
        <v>-114.9751001442</v>
      </c>
      <c r="J165">
        <v>53.290830423164998</v>
      </c>
      <c r="L165" s="1">
        <f t="shared" si="39"/>
        <v>3.3490803457000027</v>
      </c>
      <c r="M165">
        <f t="shared" si="40"/>
        <v>605.04478199456025</v>
      </c>
      <c r="N165">
        <f t="shared" si="32"/>
        <v>1.6806799499848897</v>
      </c>
      <c r="O165">
        <f t="shared" si="33"/>
        <v>53.166888829907997</v>
      </c>
      <c r="P165">
        <f t="shared" si="34"/>
        <v>113</v>
      </c>
      <c r="Q165">
        <f t="shared" si="41"/>
        <v>102.31213952701199</v>
      </c>
      <c r="R165">
        <f t="shared" si="35"/>
        <v>102.31213952701199</v>
      </c>
      <c r="S165">
        <f t="shared" si="30"/>
        <v>105.26346693925097</v>
      </c>
      <c r="T165">
        <f t="shared" si="36"/>
        <v>105.26346693925097</v>
      </c>
      <c r="U165" s="3">
        <f t="shared" si="37"/>
        <v>53.290830423164998</v>
      </c>
      <c r="V165">
        <f t="shared" si="29"/>
        <v>65</v>
      </c>
      <c r="W165" s="8">
        <f t="shared" si="31"/>
        <v>46.6816190523218</v>
      </c>
      <c r="X165" s="1">
        <f t="shared" si="38"/>
        <v>46.6816190523218</v>
      </c>
      <c r="Y165" s="18"/>
      <c r="Z165" s="7"/>
      <c r="AA165" s="1"/>
      <c r="AB165" s="1"/>
      <c r="AC165" s="1"/>
    </row>
    <row r="166" spans="1:29" x14ac:dyDescent="0.3">
      <c r="A166">
        <v>165</v>
      </c>
      <c r="E166">
        <v>-451.02486765830002</v>
      </c>
      <c r="F166">
        <v>66.008457692104002</v>
      </c>
      <c r="G166">
        <v>352.05831569684</v>
      </c>
      <c r="H166">
        <v>53.214320167346997</v>
      </c>
      <c r="I166">
        <v>-111.6308930021</v>
      </c>
      <c r="J166">
        <v>53.779056459712997</v>
      </c>
      <c r="L166" s="1">
        <f t="shared" si="39"/>
        <v>3.3442071421000037</v>
      </c>
      <c r="M166">
        <f t="shared" si="40"/>
        <v>608.38898913666026</v>
      </c>
      <c r="N166">
        <f t="shared" si="32"/>
        <v>1.6899694142685007</v>
      </c>
      <c r="O166">
        <f t="shared" si="33"/>
        <v>53.214320167346997</v>
      </c>
      <c r="P166">
        <f t="shared" si="34"/>
        <v>114</v>
      </c>
      <c r="Q166">
        <f t="shared" si="41"/>
        <v>102.37928433734299</v>
      </c>
      <c r="R166">
        <f t="shared" si="35"/>
        <v>102.37928433734299</v>
      </c>
      <c r="S166">
        <f t="shared" si="30"/>
        <v>105.34041591648374</v>
      </c>
      <c r="T166">
        <f t="shared" si="36"/>
        <v>105.34041591648374</v>
      </c>
      <c r="U166" s="3">
        <f t="shared" si="37"/>
        <v>53.779056459712997</v>
      </c>
      <c r="V166">
        <f t="shared" si="29"/>
        <v>66</v>
      </c>
      <c r="W166" s="8">
        <f t="shared" si="31"/>
        <v>46.806224465188599</v>
      </c>
      <c r="X166" s="1">
        <f t="shared" si="38"/>
        <v>46.806224465188599</v>
      </c>
      <c r="Y166" s="18"/>
      <c r="Z166" s="7"/>
      <c r="AA166" s="1"/>
      <c r="AB166" s="1"/>
      <c r="AC166" s="1"/>
    </row>
    <row r="167" spans="1:29" x14ac:dyDescent="0.3">
      <c r="A167">
        <v>166</v>
      </c>
      <c r="E167">
        <v>-450.77383570320001</v>
      </c>
      <c r="F167">
        <v>68.763387626012999</v>
      </c>
      <c r="G167">
        <v>350.56713132176998</v>
      </c>
      <c r="H167">
        <v>53.243925341164001</v>
      </c>
      <c r="I167">
        <v>-108.2876314737</v>
      </c>
      <c r="J167">
        <v>54.259793969969998</v>
      </c>
      <c r="L167" s="1">
        <f t="shared" si="39"/>
        <v>3.3432615283999922</v>
      </c>
      <c r="M167">
        <f t="shared" si="40"/>
        <v>611.73225066506029</v>
      </c>
      <c r="N167">
        <f t="shared" si="32"/>
        <v>1.6992562518473897</v>
      </c>
      <c r="O167">
        <f t="shared" si="33"/>
        <v>53.243925341164001</v>
      </c>
      <c r="P167">
        <f t="shared" si="34"/>
        <v>115</v>
      </c>
      <c r="Q167">
        <f t="shared" si="41"/>
        <v>102.421193772058</v>
      </c>
      <c r="R167">
        <f t="shared" si="35"/>
        <v>102.421193772058</v>
      </c>
      <c r="S167">
        <f t="shared" si="30"/>
        <v>105.3887909007548</v>
      </c>
      <c r="T167">
        <f t="shared" si="36"/>
        <v>105.3887909007548</v>
      </c>
      <c r="U167" s="3">
        <f t="shared" si="37"/>
        <v>54.259793969969998</v>
      </c>
      <c r="V167">
        <f t="shared" si="29"/>
        <v>67</v>
      </c>
      <c r="W167" s="8">
        <f t="shared" si="31"/>
        <v>46.912302087406395</v>
      </c>
      <c r="X167" s="1">
        <f t="shared" si="38"/>
        <v>46.912302087406395</v>
      </c>
      <c r="Y167" s="18"/>
      <c r="Z167" s="7"/>
      <c r="AA167" s="1"/>
      <c r="AB167" s="1"/>
      <c r="AC167" s="1"/>
    </row>
    <row r="168" spans="1:29" x14ac:dyDescent="0.3">
      <c r="A168">
        <v>167</v>
      </c>
      <c r="E168">
        <v>-450.51019821040001</v>
      </c>
      <c r="F168">
        <v>71.601168579714994</v>
      </c>
      <c r="G168">
        <v>349.24296414084</v>
      </c>
      <c r="H168">
        <v>53.267798638174</v>
      </c>
      <c r="I168">
        <v>-104.9464780223</v>
      </c>
      <c r="J168">
        <v>54.74304085048</v>
      </c>
      <c r="L168" s="1">
        <f t="shared" si="39"/>
        <v>3.3411534514000039</v>
      </c>
      <c r="M168">
        <f t="shared" si="40"/>
        <v>615.07340411646032</v>
      </c>
      <c r="N168">
        <f t="shared" si="32"/>
        <v>1.7085372336568343</v>
      </c>
      <c r="O168">
        <f t="shared" si="33"/>
        <v>53.267798638174</v>
      </c>
      <c r="P168">
        <f t="shared" si="34"/>
        <v>116</v>
      </c>
      <c r="Q168">
        <f t="shared" si="41"/>
        <v>102.45750204442299</v>
      </c>
      <c r="R168">
        <f t="shared" si="35"/>
        <v>102.45750204442299</v>
      </c>
      <c r="S168">
        <f t="shared" si="30"/>
        <v>105.43034713471471</v>
      </c>
      <c r="T168">
        <f t="shared" si="36"/>
        <v>105.43034713471471</v>
      </c>
      <c r="U168" s="3">
        <f t="shared" si="37"/>
        <v>54.74304085048</v>
      </c>
      <c r="V168">
        <f t="shared" si="29"/>
        <v>67</v>
      </c>
      <c r="W168" s="8">
        <f t="shared" si="31"/>
        <v>47.395548967916397</v>
      </c>
      <c r="X168" s="1">
        <f t="shared" si="38"/>
        <v>47.395548967916397</v>
      </c>
      <c r="Y168" s="18"/>
      <c r="Z168" s="7"/>
      <c r="AA168" s="1"/>
      <c r="AB168" s="1"/>
      <c r="AC168" s="1"/>
    </row>
    <row r="169" spans="1:29" x14ac:dyDescent="0.3">
      <c r="A169">
        <v>168</v>
      </c>
      <c r="E169">
        <v>-450.23450716280001</v>
      </c>
      <c r="F169">
        <v>74.509905110207001</v>
      </c>
      <c r="G169">
        <v>348.08570999813003</v>
      </c>
      <c r="H169">
        <v>53.290906873860003</v>
      </c>
      <c r="I169">
        <v>-101.6070298321</v>
      </c>
      <c r="J169">
        <v>55.227775640559997</v>
      </c>
      <c r="L169" s="1">
        <f t="shared" si="39"/>
        <v>3.3394481902000024</v>
      </c>
      <c r="M169">
        <f t="shared" si="40"/>
        <v>618.41285230666028</v>
      </c>
      <c r="N169">
        <f t="shared" si="32"/>
        <v>1.717813478629612</v>
      </c>
      <c r="O169">
        <f t="shared" si="33"/>
        <v>53.290906873860003</v>
      </c>
      <c r="P169">
        <f t="shared" si="34"/>
        <v>117</v>
      </c>
      <c r="Q169">
        <f t="shared" si="41"/>
        <v>102.47705541559201</v>
      </c>
      <c r="R169">
        <f t="shared" si="35"/>
        <v>102.47705541559201</v>
      </c>
      <c r="S169">
        <f t="shared" si="30"/>
        <v>105.45589424405637</v>
      </c>
      <c r="T169">
        <f t="shared" si="36"/>
        <v>105.45589424405637</v>
      </c>
      <c r="U169" s="3">
        <f t="shared" si="37"/>
        <v>55.227775640559997</v>
      </c>
      <c r="V169">
        <f t="shared" si="29"/>
        <v>68</v>
      </c>
      <c r="W169" s="8">
        <f t="shared" si="31"/>
        <v>47.502861327604698</v>
      </c>
      <c r="X169" s="1">
        <f t="shared" si="38"/>
        <v>47.502861327604698</v>
      </c>
      <c r="Y169" s="18"/>
      <c r="Z169" s="7"/>
      <c r="AA169" s="1"/>
      <c r="AB169" s="1"/>
      <c r="AC169" s="1"/>
    </row>
    <row r="170" spans="1:29" x14ac:dyDescent="0.3">
      <c r="A170">
        <v>169</v>
      </c>
      <c r="E170">
        <v>-449.9448501809</v>
      </c>
      <c r="F170">
        <v>77.484455298062997</v>
      </c>
      <c r="G170">
        <v>347.11400261044002</v>
      </c>
      <c r="H170">
        <v>53.297548648595999</v>
      </c>
      <c r="I170">
        <v>-98.268700824609994</v>
      </c>
      <c r="J170">
        <v>55.714201730688998</v>
      </c>
      <c r="L170" s="1">
        <f t="shared" si="39"/>
        <v>3.3383290074900032</v>
      </c>
      <c r="M170">
        <f t="shared" si="40"/>
        <v>621.75118131415024</v>
      </c>
      <c r="N170">
        <f t="shared" si="32"/>
        <v>1.7270866147615285</v>
      </c>
      <c r="O170">
        <f t="shared" si="33"/>
        <v>53.297548648595999</v>
      </c>
      <c r="P170">
        <f t="shared" si="34"/>
        <v>118</v>
      </c>
      <c r="Q170">
        <f t="shared" si="41"/>
        <v>102.487726045465</v>
      </c>
      <c r="R170">
        <f t="shared" si="35"/>
        <v>102.487726045465</v>
      </c>
      <c r="S170">
        <f t="shared" si="30"/>
        <v>105.47258986527602</v>
      </c>
      <c r="T170">
        <f t="shared" si="36"/>
        <v>105.47258986527602</v>
      </c>
      <c r="U170" s="3">
        <f t="shared" si="37"/>
        <v>55.714201730688998</v>
      </c>
      <c r="V170">
        <f t="shared" si="29"/>
        <v>69</v>
      </c>
      <c r="W170" s="8">
        <f t="shared" si="31"/>
        <v>47.603630284504696</v>
      </c>
      <c r="X170" s="1">
        <f t="shared" si="38"/>
        <v>47.603630284504696</v>
      </c>
      <c r="Y170" s="18"/>
      <c r="Z170" s="7"/>
      <c r="AA170" s="1"/>
      <c r="AB170" s="1"/>
      <c r="AC170" s="1"/>
    </row>
    <row r="171" spans="1:29" x14ac:dyDescent="0.3">
      <c r="A171">
        <v>170</v>
      </c>
      <c r="E171">
        <v>-449.64798784509998</v>
      </c>
      <c r="F171">
        <v>80.511015677347999</v>
      </c>
      <c r="G171">
        <v>346.32176955449</v>
      </c>
      <c r="H171">
        <v>53.298170407523997</v>
      </c>
      <c r="I171">
        <v>-94.929776081140005</v>
      </c>
      <c r="J171">
        <v>56.195515560910003</v>
      </c>
      <c r="L171" s="1">
        <f t="shared" si="39"/>
        <v>3.3389247434699882</v>
      </c>
      <c r="M171">
        <f t="shared" si="40"/>
        <v>625.09010605762023</v>
      </c>
      <c r="N171">
        <f t="shared" si="32"/>
        <v>1.7363614057156118</v>
      </c>
      <c r="O171">
        <f t="shared" si="33"/>
        <v>53.298170407523997</v>
      </c>
      <c r="P171">
        <f t="shared" si="34"/>
        <v>119</v>
      </c>
      <c r="Q171">
        <f t="shared" si="41"/>
        <v>102.49761642068199</v>
      </c>
      <c r="R171">
        <f t="shared" si="35"/>
        <v>102.49761642068199</v>
      </c>
      <c r="S171">
        <f t="shared" si="30"/>
        <v>105.48297896860419</v>
      </c>
      <c r="T171">
        <f t="shared" si="36"/>
        <v>105.48297896860419</v>
      </c>
      <c r="U171" s="3">
        <f t="shared" si="37"/>
        <v>56.195515560910003</v>
      </c>
      <c r="V171">
        <f t="shared" si="29"/>
        <v>70</v>
      </c>
      <c r="W171" s="8">
        <f t="shared" si="31"/>
        <v>47.695388164693604</v>
      </c>
      <c r="X171" s="1">
        <f t="shared" si="38"/>
        <v>47.695388164693604</v>
      </c>
      <c r="Y171" s="18"/>
      <c r="Z171" s="7"/>
      <c r="AA171" s="1"/>
      <c r="AB171" s="1"/>
      <c r="AC171" s="1"/>
    </row>
    <row r="172" spans="1:29" x14ac:dyDescent="0.3">
      <c r="A172">
        <v>171</v>
      </c>
      <c r="E172">
        <v>-449.3381587376</v>
      </c>
      <c r="F172">
        <v>83.575501044288004</v>
      </c>
      <c r="G172">
        <v>345.69791408304002</v>
      </c>
      <c r="H172">
        <v>53.306654844126001</v>
      </c>
      <c r="I172">
        <v>-91.591232202689994</v>
      </c>
      <c r="J172">
        <v>56.677776437562997</v>
      </c>
      <c r="L172" s="1">
        <f t="shared" si="39"/>
        <v>3.338543878450011</v>
      </c>
      <c r="M172">
        <f t="shared" si="40"/>
        <v>628.4286499360702</v>
      </c>
      <c r="N172">
        <f t="shared" si="32"/>
        <v>1.745635138711306</v>
      </c>
      <c r="O172">
        <f t="shared" si="33"/>
        <v>53.306654844126001</v>
      </c>
      <c r="P172">
        <f t="shared" si="34"/>
        <v>120</v>
      </c>
      <c r="Q172">
        <f t="shared" si="41"/>
        <v>102.517230193432</v>
      </c>
      <c r="R172">
        <f t="shared" si="35"/>
        <v>102.517230193432</v>
      </c>
      <c r="S172">
        <f t="shared" si="30"/>
        <v>105.50377396977323</v>
      </c>
      <c r="T172">
        <f t="shared" si="36"/>
        <v>105.50377396977323</v>
      </c>
      <c r="U172" s="3">
        <f t="shared" si="37"/>
        <v>56.677776437562997</v>
      </c>
      <c r="V172">
        <f t="shared" si="29"/>
        <v>71</v>
      </c>
      <c r="W172" s="8">
        <f t="shared" si="31"/>
        <v>47.775976871982593</v>
      </c>
      <c r="X172" s="1">
        <f t="shared" si="38"/>
        <v>47.775976871982593</v>
      </c>
      <c r="Y172" s="18"/>
      <c r="Z172" s="7"/>
      <c r="AA172" s="1"/>
      <c r="AB172" s="1"/>
      <c r="AC172" s="1"/>
    </row>
    <row r="173" spans="1:29" x14ac:dyDescent="0.3">
      <c r="A173">
        <v>172</v>
      </c>
      <c r="E173">
        <v>-449.01267033030001</v>
      </c>
      <c r="F173">
        <v>86.670346951956006</v>
      </c>
      <c r="G173">
        <v>345.25983640126998</v>
      </c>
      <c r="H173">
        <v>53.307144966317999</v>
      </c>
      <c r="I173">
        <v>-88.253337620249994</v>
      </c>
      <c r="J173">
        <v>57.161965871360003</v>
      </c>
      <c r="L173" s="1">
        <f t="shared" si="39"/>
        <v>3.3378945824400006</v>
      </c>
      <c r="M173">
        <f t="shared" si="40"/>
        <v>631.76654451851016</v>
      </c>
      <c r="N173">
        <f t="shared" si="32"/>
        <v>1.7549070681069727</v>
      </c>
      <c r="O173">
        <f t="shared" si="33"/>
        <v>53.307144966317999</v>
      </c>
      <c r="P173">
        <f t="shared" si="34"/>
        <v>121</v>
      </c>
      <c r="Q173">
        <f t="shared" si="41"/>
        <v>102.521710144146</v>
      </c>
      <c r="R173">
        <f t="shared" si="35"/>
        <v>102.521710144146</v>
      </c>
      <c r="S173">
        <f t="shared" si="30"/>
        <v>105.50981124082563</v>
      </c>
      <c r="T173">
        <f t="shared" si="36"/>
        <v>105.50981124082563</v>
      </c>
      <c r="U173" s="3">
        <f t="shared" si="37"/>
        <v>57.161965871360003</v>
      </c>
      <c r="V173">
        <f t="shared" si="29"/>
        <v>72</v>
      </c>
      <c r="W173" s="8">
        <f t="shared" si="31"/>
        <v>47.848843427306306</v>
      </c>
      <c r="X173" s="1">
        <f t="shared" si="38"/>
        <v>47.848843427306306</v>
      </c>
      <c r="Y173" s="18"/>
      <c r="Z173" s="7"/>
      <c r="AA173" s="1"/>
      <c r="AB173" s="1"/>
      <c r="AC173" s="1"/>
    </row>
    <row r="174" spans="1:29" x14ac:dyDescent="0.3">
      <c r="A174">
        <v>173</v>
      </c>
      <c r="E174">
        <v>-448.66718104479997</v>
      </c>
      <c r="F174">
        <v>89.784354670154997</v>
      </c>
      <c r="G174">
        <v>345.01619203996</v>
      </c>
      <c r="H174">
        <v>53.292125814076996</v>
      </c>
      <c r="I174">
        <v>-84.915915094759995</v>
      </c>
      <c r="J174">
        <v>57.6512621149</v>
      </c>
      <c r="L174" s="1">
        <f t="shared" si="39"/>
        <v>3.3374225254899983</v>
      </c>
      <c r="M174">
        <f t="shared" si="40"/>
        <v>635.10396704400011</v>
      </c>
      <c r="N174">
        <f t="shared" si="32"/>
        <v>1.7641776862333336</v>
      </c>
      <c r="O174">
        <f t="shared" si="33"/>
        <v>53.292125814076996</v>
      </c>
      <c r="P174">
        <f t="shared" si="34"/>
        <v>121</v>
      </c>
      <c r="Q174">
        <f t="shared" si="41"/>
        <v>102.506690991905</v>
      </c>
      <c r="R174">
        <f t="shared" si="35"/>
        <v>102.506690991905</v>
      </c>
      <c r="S174">
        <f t="shared" si="30"/>
        <v>105.56656205878336</v>
      </c>
      <c r="T174">
        <f t="shared" si="36"/>
        <v>105.56656205878336</v>
      </c>
      <c r="U174" s="3">
        <f t="shared" si="37"/>
        <v>57.6512621149</v>
      </c>
      <c r="V174">
        <f t="shared" si="29"/>
        <v>73</v>
      </c>
      <c r="W174" s="8">
        <f t="shared" si="31"/>
        <v>47.909833967679404</v>
      </c>
      <c r="X174" s="1">
        <f t="shared" si="38"/>
        <v>47.909833967679404</v>
      </c>
      <c r="Y174" s="18"/>
      <c r="Z174" s="7"/>
      <c r="AA174" s="1"/>
      <c r="AB174" s="1"/>
      <c r="AC174" s="1"/>
    </row>
    <row r="175" spans="1:29" x14ac:dyDescent="0.3">
      <c r="A175">
        <v>174</v>
      </c>
      <c r="E175">
        <v>-448.30386052149998</v>
      </c>
      <c r="F175">
        <v>92.905509527491006</v>
      </c>
      <c r="G175">
        <v>344.96587718620998</v>
      </c>
      <c r="H175">
        <v>53.263641009262997</v>
      </c>
      <c r="I175">
        <v>-81.577600162729993</v>
      </c>
      <c r="J175">
        <v>58.143107903527003</v>
      </c>
      <c r="L175" s="1">
        <f t="shared" si="39"/>
        <v>3.3383149320300021</v>
      </c>
      <c r="M175">
        <f t="shared" si="40"/>
        <v>638.44228197603013</v>
      </c>
      <c r="N175">
        <f t="shared" si="32"/>
        <v>1.7734507832667503</v>
      </c>
      <c r="O175">
        <f t="shared" si="33"/>
        <v>53.263641009262997</v>
      </c>
      <c r="P175">
        <f t="shared" si="34"/>
        <v>122</v>
      </c>
      <c r="Q175">
        <f t="shared" si="41"/>
        <v>102.480506031988</v>
      </c>
      <c r="R175">
        <f t="shared" si="35"/>
        <v>102.480506031988</v>
      </c>
      <c r="S175">
        <f t="shared" si="30"/>
        <v>105.54782698121575</v>
      </c>
      <c r="T175">
        <f t="shared" si="36"/>
        <v>105.54782698121575</v>
      </c>
      <c r="U175" s="3">
        <f t="shared" si="37"/>
        <v>58.143107903527003</v>
      </c>
      <c r="V175">
        <f t="shared" si="29"/>
        <v>74</v>
      </c>
      <c r="W175" s="8">
        <f t="shared" si="31"/>
        <v>47.963844090998002</v>
      </c>
      <c r="X175" s="1">
        <f t="shared" si="38"/>
        <v>47.963844090998002</v>
      </c>
      <c r="Y175" s="18"/>
      <c r="Z175" s="7"/>
      <c r="AA175" s="1"/>
      <c r="AB175" s="1"/>
      <c r="AC175" s="1"/>
    </row>
    <row r="176" spans="1:29" x14ac:dyDescent="0.3">
      <c r="A176">
        <v>175</v>
      </c>
      <c r="E176">
        <v>-447.92222991210002</v>
      </c>
      <c r="F176">
        <v>96.022213278522003</v>
      </c>
      <c r="G176">
        <v>345.09669049015002</v>
      </c>
      <c r="H176">
        <v>53.233931851348999</v>
      </c>
      <c r="I176">
        <v>-78.237999418970006</v>
      </c>
      <c r="J176">
        <v>58.638490206816002</v>
      </c>
      <c r="L176" s="1">
        <f t="shared" si="39"/>
        <v>3.3396007437599877</v>
      </c>
      <c r="M176">
        <f t="shared" si="40"/>
        <v>641.78188271979013</v>
      </c>
      <c r="N176">
        <f t="shared" si="32"/>
        <v>1.782727451999417</v>
      </c>
      <c r="O176">
        <f t="shared" si="33"/>
        <v>53.233931851348999</v>
      </c>
      <c r="P176">
        <f t="shared" si="34"/>
        <v>123</v>
      </c>
      <c r="Q176">
        <f t="shared" si="41"/>
        <v>102.471766104019</v>
      </c>
      <c r="R176">
        <f t="shared" si="35"/>
        <v>102.471766104019</v>
      </c>
      <c r="S176">
        <f t="shared" si="30"/>
        <v>105.55026279397916</v>
      </c>
      <c r="T176">
        <f t="shared" si="36"/>
        <v>105.55026279397916</v>
      </c>
      <c r="U176" s="3">
        <f t="shared" si="37"/>
        <v>58.638490206816002</v>
      </c>
      <c r="V176">
        <f t="shared" si="29"/>
        <v>75</v>
      </c>
      <c r="W176" s="8">
        <f t="shared" si="31"/>
        <v>48.018626268800006</v>
      </c>
      <c r="X176" s="1">
        <f t="shared" si="38"/>
        <v>48.018626268800006</v>
      </c>
      <c r="Y176" s="18"/>
      <c r="Z176" s="7"/>
      <c r="AA176" s="1"/>
      <c r="AB176" s="1"/>
      <c r="AC176" s="1"/>
    </row>
    <row r="177" spans="1:29" x14ac:dyDescent="0.3">
      <c r="A177">
        <v>176</v>
      </c>
      <c r="E177">
        <v>-447.53654723390002</v>
      </c>
      <c r="F177">
        <v>99.125569601303994</v>
      </c>
      <c r="G177">
        <v>345.40730587549001</v>
      </c>
      <c r="H177">
        <v>53.205212466599001</v>
      </c>
      <c r="I177">
        <v>-74.894793312920001</v>
      </c>
      <c r="J177">
        <v>59.122955829760997</v>
      </c>
      <c r="L177" s="1">
        <f t="shared" si="39"/>
        <v>3.3432061060500047</v>
      </c>
      <c r="M177">
        <f t="shared" si="40"/>
        <v>645.12508882584018</v>
      </c>
      <c r="N177">
        <f t="shared" si="32"/>
        <v>1.7920141356273338</v>
      </c>
      <c r="O177">
        <f t="shared" si="33"/>
        <v>53.205212466599001</v>
      </c>
      <c r="P177">
        <f t="shared" si="34"/>
        <v>124</v>
      </c>
      <c r="Q177">
        <f t="shared" si="41"/>
        <v>102.48554296559101</v>
      </c>
      <c r="R177">
        <f t="shared" si="35"/>
        <v>102.48554296559101</v>
      </c>
      <c r="S177">
        <f t="shared" si="30"/>
        <v>105.57234551794255</v>
      </c>
      <c r="T177">
        <f t="shared" si="36"/>
        <v>105.57234551794255</v>
      </c>
      <c r="U177" s="3">
        <f t="shared" si="37"/>
        <v>59.122955829760997</v>
      </c>
      <c r="V177">
        <f t="shared" ref="V177:V240" si="42">IFERROR(MATCH(N177-1,N:N,1),0)</f>
        <v>75</v>
      </c>
      <c r="W177" s="8">
        <f t="shared" si="31"/>
        <v>48.503091891745001</v>
      </c>
      <c r="X177" s="1">
        <f t="shared" si="38"/>
        <v>48.503091891745001</v>
      </c>
      <c r="Y177" s="18"/>
      <c r="Z177" s="7"/>
      <c r="AA177" s="1"/>
      <c r="AB177" s="1"/>
      <c r="AC177" s="1"/>
    </row>
    <row r="178" spans="1:29" x14ac:dyDescent="0.3">
      <c r="A178">
        <v>177</v>
      </c>
      <c r="E178">
        <v>-447.13200293130001</v>
      </c>
      <c r="F178">
        <v>102.20257548703</v>
      </c>
      <c r="G178">
        <v>345.90199324005999</v>
      </c>
      <c r="H178">
        <v>53.170795611296001</v>
      </c>
      <c r="I178">
        <v>-71.550115898800001</v>
      </c>
      <c r="J178">
        <v>59.610387515584002</v>
      </c>
      <c r="L178" s="1">
        <f t="shared" si="39"/>
        <v>3.3446774141199995</v>
      </c>
      <c r="M178">
        <f t="shared" si="40"/>
        <v>648.46976623996022</v>
      </c>
      <c r="N178">
        <f t="shared" si="32"/>
        <v>1.8013049062221118</v>
      </c>
      <c r="O178">
        <f t="shared" si="33"/>
        <v>53.170795611296001</v>
      </c>
      <c r="P178">
        <f t="shared" si="34"/>
        <v>125</v>
      </c>
      <c r="Q178">
        <f t="shared" si="41"/>
        <v>102.485620830324</v>
      </c>
      <c r="R178">
        <f t="shared" si="35"/>
        <v>102.485620830324</v>
      </c>
      <c r="S178">
        <f t="shared" si="30"/>
        <v>105.5803005225754</v>
      </c>
      <c r="T178">
        <f t="shared" si="36"/>
        <v>105.5803005225754</v>
      </c>
      <c r="U178" s="3">
        <f t="shared" si="37"/>
        <v>59.610387515584002</v>
      </c>
      <c r="V178">
        <f t="shared" si="42"/>
        <v>76</v>
      </c>
      <c r="W178" s="8">
        <f t="shared" si="31"/>
        <v>48.537241922344002</v>
      </c>
      <c r="X178" s="1">
        <f t="shared" si="38"/>
        <v>48.537241922344002</v>
      </c>
      <c r="Y178" s="18"/>
      <c r="Z178" s="7"/>
      <c r="AA178" s="1"/>
      <c r="AB178" s="1"/>
      <c r="AC178" s="1"/>
    </row>
    <row r="179" spans="1:29" x14ac:dyDescent="0.3">
      <c r="A179">
        <v>178</v>
      </c>
      <c r="E179">
        <v>-446.71910364360002</v>
      </c>
      <c r="F179">
        <v>105.24297561847</v>
      </c>
      <c r="G179">
        <v>346.58108203184997</v>
      </c>
      <c r="H179">
        <v>53.129682577651998</v>
      </c>
      <c r="I179">
        <v>-68.201930041490002</v>
      </c>
      <c r="J179">
        <v>60.089880749998002</v>
      </c>
      <c r="L179" s="1">
        <f t="shared" si="39"/>
        <v>3.3481858573099998</v>
      </c>
      <c r="M179">
        <f t="shared" si="40"/>
        <v>651.81795209727022</v>
      </c>
      <c r="N179">
        <f t="shared" si="32"/>
        <v>1.8106054224924173</v>
      </c>
      <c r="O179">
        <f t="shared" si="33"/>
        <v>53.129682577651998</v>
      </c>
      <c r="P179">
        <f t="shared" si="34"/>
        <v>126</v>
      </c>
      <c r="Q179">
        <f t="shared" si="41"/>
        <v>102.475857967075</v>
      </c>
      <c r="R179">
        <f t="shared" si="35"/>
        <v>102.475857967075</v>
      </c>
      <c r="S179">
        <f t="shared" si="30"/>
        <v>105.57270821582425</v>
      </c>
      <c r="T179">
        <f t="shared" si="36"/>
        <v>105.57270821582425</v>
      </c>
      <c r="U179" s="3">
        <f t="shared" si="37"/>
        <v>60.089880749998002</v>
      </c>
      <c r="V179">
        <f t="shared" si="42"/>
        <v>77</v>
      </c>
      <c r="W179" s="8">
        <f t="shared" si="31"/>
        <v>48.553020343767002</v>
      </c>
      <c r="X179" s="1">
        <f t="shared" si="38"/>
        <v>48.553020343767002</v>
      </c>
      <c r="Y179" s="18"/>
      <c r="Z179" s="7"/>
      <c r="AA179" s="1"/>
      <c r="AB179" s="1"/>
      <c r="AC179" s="1"/>
    </row>
    <row r="180" spans="1:29" x14ac:dyDescent="0.3">
      <c r="A180">
        <v>179</v>
      </c>
      <c r="E180">
        <v>-446.27689243959998</v>
      </c>
      <c r="F180">
        <v>108.22981029137</v>
      </c>
      <c r="G180">
        <v>347.45253513015001</v>
      </c>
      <c r="H180">
        <v>53.068543088909998</v>
      </c>
      <c r="I180">
        <v>-64.852750738929998</v>
      </c>
      <c r="J180">
        <v>60.580985119669002</v>
      </c>
      <c r="L180" s="1">
        <f t="shared" si="39"/>
        <v>3.3491793025600032</v>
      </c>
      <c r="M180">
        <f t="shared" si="40"/>
        <v>655.16713139983017</v>
      </c>
      <c r="N180">
        <f t="shared" si="32"/>
        <v>1.8199086983328616</v>
      </c>
      <c r="O180">
        <f t="shared" si="33"/>
        <v>53.068543088909998</v>
      </c>
      <c r="P180">
        <f t="shared" si="34"/>
        <v>127</v>
      </c>
      <c r="Q180">
        <f t="shared" si="41"/>
        <v>102.4562301709</v>
      </c>
      <c r="R180">
        <f t="shared" si="35"/>
        <v>102.4562301709</v>
      </c>
      <c r="S180">
        <f t="shared" si="30"/>
        <v>105.55611211048091</v>
      </c>
      <c r="T180">
        <f t="shared" si="36"/>
        <v>105.55611211048091</v>
      </c>
      <c r="U180" s="3">
        <f t="shared" si="37"/>
        <v>60.580985119669002</v>
      </c>
      <c r="V180">
        <f t="shared" si="42"/>
        <v>78</v>
      </c>
      <c r="W180" s="8">
        <f t="shared" si="31"/>
        <v>48.572460522588003</v>
      </c>
      <c r="X180" s="1">
        <f t="shared" si="38"/>
        <v>48.572460522588003</v>
      </c>
      <c r="Y180" s="18"/>
      <c r="Z180" s="7"/>
      <c r="AA180" s="1"/>
      <c r="AB180" s="1"/>
      <c r="AC180" s="1"/>
    </row>
    <row r="181" spans="1:29" x14ac:dyDescent="0.3">
      <c r="A181">
        <v>180</v>
      </c>
      <c r="E181">
        <v>-445.81864982249999</v>
      </c>
      <c r="F181">
        <v>111.16112017523</v>
      </c>
      <c r="G181">
        <v>348.48868815496002</v>
      </c>
      <c r="H181">
        <v>53.014380388260001</v>
      </c>
      <c r="I181">
        <v>-61.499877166639997</v>
      </c>
      <c r="J181">
        <v>61.072612347048</v>
      </c>
      <c r="L181" s="1">
        <f t="shared" si="39"/>
        <v>3.3528735722900009</v>
      </c>
      <c r="M181">
        <f t="shared" si="40"/>
        <v>658.5200049721202</v>
      </c>
      <c r="N181">
        <f t="shared" si="32"/>
        <v>1.8292222360336672</v>
      </c>
      <c r="O181">
        <f t="shared" si="33"/>
        <v>53.014380388260001</v>
      </c>
      <c r="P181">
        <f t="shared" si="34"/>
        <v>128</v>
      </c>
      <c r="Q181">
        <f t="shared" si="41"/>
        <v>102.457126920728</v>
      </c>
      <c r="R181">
        <f t="shared" si="35"/>
        <v>102.457126920728</v>
      </c>
      <c r="S181">
        <f t="shared" si="30"/>
        <v>105.56116717131442</v>
      </c>
      <c r="T181">
        <f t="shared" si="36"/>
        <v>105.56116717131442</v>
      </c>
      <c r="U181" s="3">
        <f t="shared" si="37"/>
        <v>61.072612347048</v>
      </c>
      <c r="V181">
        <f t="shared" si="42"/>
        <v>79</v>
      </c>
      <c r="W181" s="8">
        <f t="shared" si="31"/>
        <v>48.580684219867003</v>
      </c>
      <c r="X181" s="1">
        <f t="shared" si="38"/>
        <v>48.580684219867003</v>
      </c>
      <c r="Y181" s="18"/>
      <c r="Z181" s="7"/>
      <c r="AA181" s="1"/>
      <c r="AB181" s="1"/>
      <c r="AC181" s="1"/>
    </row>
    <row r="182" spans="1:29" x14ac:dyDescent="0.3">
      <c r="A182">
        <v>181</v>
      </c>
      <c r="E182">
        <v>-445.35055239000002</v>
      </c>
      <c r="F182">
        <v>114.02388263927</v>
      </c>
      <c r="G182">
        <v>349.69750515649002</v>
      </c>
      <c r="H182">
        <v>52.956054890478001</v>
      </c>
      <c r="I182">
        <v>-58.142441334899999</v>
      </c>
      <c r="J182">
        <v>61.557446782174999</v>
      </c>
      <c r="L182" s="1">
        <f t="shared" si="39"/>
        <v>3.3574358317399984</v>
      </c>
      <c r="M182">
        <f t="shared" si="40"/>
        <v>661.87744080386017</v>
      </c>
      <c r="N182">
        <f t="shared" si="32"/>
        <v>1.8385484466773894</v>
      </c>
      <c r="O182">
        <f t="shared" si="33"/>
        <v>52.956054890478001</v>
      </c>
      <c r="P182">
        <f t="shared" si="34"/>
        <v>129</v>
      </c>
      <c r="Q182">
        <f t="shared" si="41"/>
        <v>102.45264199013201</v>
      </c>
      <c r="R182">
        <f t="shared" si="35"/>
        <v>102.45264199013201</v>
      </c>
      <c r="S182">
        <f t="shared" si="30"/>
        <v>105.5545585093279</v>
      </c>
      <c r="T182">
        <f t="shared" si="36"/>
        <v>105.5545585093279</v>
      </c>
      <c r="U182" s="3">
        <f t="shared" si="37"/>
        <v>61.557446782174999</v>
      </c>
      <c r="V182">
        <f t="shared" si="42"/>
        <v>80</v>
      </c>
      <c r="W182" s="8">
        <f t="shared" si="31"/>
        <v>48.573031415643001</v>
      </c>
      <c r="X182" s="1">
        <f t="shared" si="38"/>
        <v>48.573031415643001</v>
      </c>
      <c r="Y182" s="18"/>
      <c r="Z182" s="7"/>
      <c r="AA182" s="1"/>
      <c r="AB182" s="1"/>
      <c r="AC182" s="1"/>
    </row>
    <row r="183" spans="1:29" x14ac:dyDescent="0.3">
      <c r="A183">
        <v>182</v>
      </c>
      <c r="E183">
        <v>-444.85213120589998</v>
      </c>
      <c r="F183">
        <v>116.79884884818</v>
      </c>
      <c r="G183">
        <v>351.08593208451998</v>
      </c>
      <c r="H183">
        <v>52.877846749581003</v>
      </c>
      <c r="I183">
        <v>-54.783102842669997</v>
      </c>
      <c r="J183">
        <v>62.054541127581999</v>
      </c>
      <c r="L183" s="1">
        <f t="shared" si="39"/>
        <v>3.3593384922300018</v>
      </c>
      <c r="M183">
        <f t="shared" si="40"/>
        <v>665.23677929609016</v>
      </c>
      <c r="N183">
        <f t="shared" si="32"/>
        <v>1.8478799424891394</v>
      </c>
      <c r="O183">
        <f t="shared" si="33"/>
        <v>52.877846749581003</v>
      </c>
      <c r="P183">
        <f t="shared" si="34"/>
        <v>130</v>
      </c>
      <c r="Q183">
        <f t="shared" si="41"/>
        <v>102.44506863493001</v>
      </c>
      <c r="R183">
        <f t="shared" si="35"/>
        <v>102.44506863493001</v>
      </c>
      <c r="S183">
        <f t="shared" si="30"/>
        <v>105.54790354351321</v>
      </c>
      <c r="T183">
        <f t="shared" si="36"/>
        <v>105.54790354351321</v>
      </c>
      <c r="U183" s="3">
        <f t="shared" si="37"/>
        <v>62.054541127581999</v>
      </c>
      <c r="V183">
        <f t="shared" si="42"/>
        <v>81</v>
      </c>
      <c r="W183" s="8">
        <f t="shared" si="31"/>
        <v>48.572805884361998</v>
      </c>
      <c r="X183" s="1">
        <f t="shared" si="38"/>
        <v>48.572805884361998</v>
      </c>
      <c r="Y183" s="18"/>
      <c r="Z183" s="7"/>
      <c r="AA183" s="1"/>
      <c r="AB183" s="1"/>
      <c r="AC183" s="1"/>
    </row>
    <row r="184" spans="1:29" x14ac:dyDescent="0.3">
      <c r="A184">
        <v>183</v>
      </c>
      <c r="E184">
        <v>-444.33708300500001</v>
      </c>
      <c r="F184">
        <v>119.48094716724</v>
      </c>
      <c r="G184">
        <v>352.64047474572999</v>
      </c>
      <c r="H184">
        <v>52.790645211071997</v>
      </c>
      <c r="I184">
        <v>-51.418862140679998</v>
      </c>
      <c r="J184">
        <v>62.551131006524997</v>
      </c>
      <c r="L184" s="1">
        <f t="shared" si="39"/>
        <v>3.3642407019899991</v>
      </c>
      <c r="M184">
        <f t="shared" si="40"/>
        <v>668.60101999808012</v>
      </c>
      <c r="N184">
        <f t="shared" si="32"/>
        <v>1.8572250555502225</v>
      </c>
      <c r="O184">
        <f t="shared" si="33"/>
        <v>52.790645211071997</v>
      </c>
      <c r="P184">
        <f t="shared" si="34"/>
        <v>131</v>
      </c>
      <c r="Q184">
        <f t="shared" si="41"/>
        <v>102.43604116728099</v>
      </c>
      <c r="R184">
        <f t="shared" si="35"/>
        <v>102.43604116728099</v>
      </c>
      <c r="S184">
        <f t="shared" si="30"/>
        <v>105.54086750926166</v>
      </c>
      <c r="T184">
        <f t="shared" si="36"/>
        <v>105.54086750926166</v>
      </c>
      <c r="U184" s="3">
        <f t="shared" si="37"/>
        <v>62.551131006524997</v>
      </c>
      <c r="V184">
        <f t="shared" si="42"/>
        <v>82</v>
      </c>
      <c r="W184" s="8">
        <f t="shared" si="31"/>
        <v>48.572901769635997</v>
      </c>
      <c r="X184" s="1">
        <f t="shared" si="38"/>
        <v>48.572901769635997</v>
      </c>
      <c r="Y184" s="18"/>
      <c r="Z184" s="7"/>
      <c r="AA184" s="1"/>
      <c r="AB184" s="1"/>
      <c r="AC184" s="1"/>
    </row>
    <row r="185" spans="1:29" x14ac:dyDescent="0.3">
      <c r="A185">
        <v>184</v>
      </c>
      <c r="E185">
        <v>-443.80331194630003</v>
      </c>
      <c r="F185">
        <v>122.06712458742</v>
      </c>
      <c r="G185">
        <v>354.34428076496999</v>
      </c>
      <c r="H185">
        <v>52.707371147338002</v>
      </c>
      <c r="I185">
        <v>-48.049442668449998</v>
      </c>
      <c r="J185">
        <v>63.050531556369002</v>
      </c>
      <c r="L185" s="1">
        <f t="shared" si="39"/>
        <v>3.3694194722299997</v>
      </c>
      <c r="M185">
        <f t="shared" si="40"/>
        <v>671.97043947031011</v>
      </c>
      <c r="N185">
        <f t="shared" si="32"/>
        <v>1.8665845540841948</v>
      </c>
      <c r="O185">
        <f t="shared" si="33"/>
        <v>52.707371147338002</v>
      </c>
      <c r="P185">
        <f t="shared" si="34"/>
        <v>132</v>
      </c>
      <c r="Q185">
        <f t="shared" si="41"/>
        <v>102.445359601131</v>
      </c>
      <c r="R185">
        <f t="shared" si="35"/>
        <v>102.445359601131</v>
      </c>
      <c r="S185">
        <f t="shared" si="30"/>
        <v>105.55905908346514</v>
      </c>
      <c r="T185">
        <f t="shared" si="36"/>
        <v>105.55905908346514</v>
      </c>
      <c r="U185" s="3">
        <f t="shared" si="37"/>
        <v>63.050531556369002</v>
      </c>
      <c r="V185">
        <f t="shared" si="42"/>
        <v>83</v>
      </c>
      <c r="W185" s="8">
        <f t="shared" si="31"/>
        <v>48.570749392137998</v>
      </c>
      <c r="X185" s="1">
        <f t="shared" si="38"/>
        <v>48.570749392137998</v>
      </c>
      <c r="Y185" s="18"/>
      <c r="Z185" s="7"/>
      <c r="AA185" s="1"/>
      <c r="AB185" s="1"/>
      <c r="AC185" s="1"/>
    </row>
    <row r="186" spans="1:29" x14ac:dyDescent="0.3">
      <c r="A186">
        <v>185</v>
      </c>
      <c r="E186">
        <v>-443.2659800893</v>
      </c>
      <c r="F186">
        <v>124.55328813839</v>
      </c>
      <c r="G186">
        <v>356.19002146755003</v>
      </c>
      <c r="H186">
        <v>52.633493791230002</v>
      </c>
      <c r="I186">
        <v>-44.672627224519999</v>
      </c>
      <c r="J186">
        <v>63.538064228768</v>
      </c>
      <c r="L186" s="1">
        <f t="shared" si="39"/>
        <v>3.3768154439299991</v>
      </c>
      <c r="M186">
        <f t="shared" si="40"/>
        <v>675.34725491424012</v>
      </c>
      <c r="N186">
        <f t="shared" si="32"/>
        <v>1.8759645969840004</v>
      </c>
      <c r="O186">
        <f t="shared" si="33"/>
        <v>52.633493791230002</v>
      </c>
      <c r="P186">
        <f t="shared" si="34"/>
        <v>133</v>
      </c>
      <c r="Q186">
        <f t="shared" si="41"/>
        <v>102.466927387902</v>
      </c>
      <c r="R186">
        <f t="shared" si="35"/>
        <v>102.466927387902</v>
      </c>
      <c r="S186">
        <f t="shared" si="30"/>
        <v>105.58242030593907</v>
      </c>
      <c r="T186">
        <f t="shared" si="36"/>
        <v>105.58242030593907</v>
      </c>
      <c r="U186" s="3">
        <f t="shared" si="37"/>
        <v>63.538064228768</v>
      </c>
      <c r="V186">
        <f t="shared" si="42"/>
        <v>83</v>
      </c>
      <c r="W186" s="8">
        <f t="shared" si="31"/>
        <v>49.058282064536996</v>
      </c>
      <c r="X186" s="1">
        <f t="shared" si="38"/>
        <v>49.058282064536996</v>
      </c>
      <c r="Y186" s="18"/>
      <c r="Z186" s="7"/>
      <c r="AA186" s="1"/>
      <c r="AB186" s="1"/>
      <c r="AC186" s="1"/>
    </row>
    <row r="187" spans="1:29" x14ac:dyDescent="0.3">
      <c r="A187">
        <v>186</v>
      </c>
      <c r="E187">
        <v>-442.70905047560001</v>
      </c>
      <c r="F187">
        <v>126.91179592538001</v>
      </c>
      <c r="G187">
        <v>358.19066279282998</v>
      </c>
      <c r="H187">
        <v>52.541001736181002</v>
      </c>
      <c r="I187">
        <v>-41.291556982960003</v>
      </c>
      <c r="J187">
        <v>64.027546332422006</v>
      </c>
      <c r="L187" s="1">
        <f t="shared" si="39"/>
        <v>3.3810702415599962</v>
      </c>
      <c r="M187">
        <f t="shared" si="40"/>
        <v>678.72832515580012</v>
      </c>
      <c r="N187">
        <f t="shared" si="32"/>
        <v>1.8853564587661114</v>
      </c>
      <c r="O187">
        <f t="shared" si="33"/>
        <v>52.541001736181002</v>
      </c>
      <c r="P187">
        <f t="shared" si="34"/>
        <v>134</v>
      </c>
      <c r="Q187">
        <f t="shared" si="41"/>
        <v>102.45853590804501</v>
      </c>
      <c r="R187">
        <f t="shared" si="35"/>
        <v>102.45853590804501</v>
      </c>
      <c r="S187">
        <f t="shared" si="30"/>
        <v>105.58131075384303</v>
      </c>
      <c r="T187">
        <f t="shared" si="36"/>
        <v>105.58131075384303</v>
      </c>
      <c r="U187" s="3">
        <f t="shared" si="37"/>
        <v>64.027546332422006</v>
      </c>
      <c r="V187">
        <f t="shared" si="42"/>
        <v>84</v>
      </c>
      <c r="W187" s="8">
        <f t="shared" si="31"/>
        <v>49.030765406219004</v>
      </c>
      <c r="X187" s="1">
        <f t="shared" si="38"/>
        <v>49.030765406219004</v>
      </c>
      <c r="Y187" s="18"/>
      <c r="Z187" s="7"/>
      <c r="AA187" s="1"/>
      <c r="AB187" s="1"/>
      <c r="AC187" s="1"/>
    </row>
    <row r="188" spans="1:29" x14ac:dyDescent="0.3">
      <c r="A188">
        <v>187</v>
      </c>
      <c r="E188">
        <v>-442.13206485939997</v>
      </c>
      <c r="F188">
        <v>129.13742862607</v>
      </c>
      <c r="G188">
        <v>360.33324005582</v>
      </c>
      <c r="H188">
        <v>52.436379030364002</v>
      </c>
      <c r="I188">
        <v>-37.904817518930003</v>
      </c>
      <c r="J188">
        <v>64.520262939008006</v>
      </c>
      <c r="L188" s="1">
        <f t="shared" si="39"/>
        <v>3.3867394640300006</v>
      </c>
      <c r="M188">
        <f t="shared" si="40"/>
        <v>682.11506461983015</v>
      </c>
      <c r="N188">
        <f t="shared" si="32"/>
        <v>1.894764068388417</v>
      </c>
      <c r="O188">
        <f t="shared" si="33"/>
        <v>52.436379030364002</v>
      </c>
      <c r="P188">
        <f t="shared" si="34"/>
        <v>135</v>
      </c>
      <c r="Q188">
        <f t="shared" si="41"/>
        <v>102.435410284827</v>
      </c>
      <c r="R188">
        <f t="shared" si="35"/>
        <v>102.435410284827</v>
      </c>
      <c r="S188">
        <f t="shared" si="30"/>
        <v>105.56376350258816</v>
      </c>
      <c r="T188">
        <f t="shared" si="36"/>
        <v>105.56376350258816</v>
      </c>
      <c r="U188" s="3">
        <f t="shared" si="37"/>
        <v>64.520262939008006</v>
      </c>
      <c r="V188">
        <f t="shared" si="42"/>
        <v>85</v>
      </c>
      <c r="W188" s="8">
        <f t="shared" si="31"/>
        <v>49.000894879400008</v>
      </c>
      <c r="X188" s="1">
        <f t="shared" si="38"/>
        <v>49.000894879400008</v>
      </c>
      <c r="Y188" s="18"/>
      <c r="Z188" s="7"/>
      <c r="AA188" s="1"/>
      <c r="AB188" s="1"/>
      <c r="AC188" s="1"/>
    </row>
    <row r="189" spans="1:29" x14ac:dyDescent="0.3">
      <c r="A189">
        <v>188</v>
      </c>
      <c r="E189">
        <v>-441.53764953609999</v>
      </c>
      <c r="F189">
        <v>131.22942672242999</v>
      </c>
      <c r="G189">
        <v>362.60175761731</v>
      </c>
      <c r="H189">
        <v>52.330928440436999</v>
      </c>
      <c r="I189">
        <v>-34.511823772989999</v>
      </c>
      <c r="J189">
        <v>65.014849983272995</v>
      </c>
      <c r="L189" s="1">
        <f t="shared" si="39"/>
        <v>3.3929937459400037</v>
      </c>
      <c r="M189">
        <f t="shared" si="40"/>
        <v>685.50805836577013</v>
      </c>
      <c r="N189">
        <f t="shared" si="32"/>
        <v>1.9041890510160282</v>
      </c>
      <c r="O189">
        <f t="shared" si="33"/>
        <v>52.330928440436999</v>
      </c>
      <c r="P189">
        <f t="shared" si="34"/>
        <v>136</v>
      </c>
      <c r="Q189">
        <f t="shared" si="41"/>
        <v>102.430588924571</v>
      </c>
      <c r="R189">
        <f t="shared" si="35"/>
        <v>102.430588924571</v>
      </c>
      <c r="S189">
        <f t="shared" si="30"/>
        <v>105.56194618424961</v>
      </c>
      <c r="T189">
        <f t="shared" si="36"/>
        <v>105.56194618424961</v>
      </c>
      <c r="U189" s="3">
        <f t="shared" si="37"/>
        <v>65.014849983272995</v>
      </c>
      <c r="V189">
        <f t="shared" si="42"/>
        <v>86</v>
      </c>
      <c r="W189" s="8">
        <f t="shared" si="31"/>
        <v>48.980539103717994</v>
      </c>
      <c r="X189" s="1">
        <f t="shared" si="38"/>
        <v>48.980539103717994</v>
      </c>
      <c r="Y189" s="18"/>
      <c r="Z189" s="7"/>
      <c r="AA189" s="1"/>
      <c r="AB189" s="1"/>
      <c r="AC189" s="1"/>
    </row>
    <row r="190" spans="1:29" x14ac:dyDescent="0.3">
      <c r="A190">
        <v>189</v>
      </c>
      <c r="E190">
        <v>-440.91884985050001</v>
      </c>
      <c r="F190">
        <v>133.16568679829999</v>
      </c>
      <c r="G190">
        <v>364.99806261766003</v>
      </c>
      <c r="H190">
        <v>52.206605081246998</v>
      </c>
      <c r="I190">
        <v>-31.11379808249</v>
      </c>
      <c r="J190">
        <v>65.517193968396001</v>
      </c>
      <c r="L190" s="1">
        <f t="shared" si="39"/>
        <v>3.398025690499999</v>
      </c>
      <c r="M190">
        <f t="shared" si="40"/>
        <v>688.90608405627017</v>
      </c>
      <c r="N190">
        <f t="shared" si="32"/>
        <v>1.9136280112674171</v>
      </c>
      <c r="O190">
        <f t="shared" si="33"/>
        <v>52.206605081246998</v>
      </c>
      <c r="P190">
        <f t="shared" si="34"/>
        <v>136</v>
      </c>
      <c r="Q190">
        <f t="shared" si="41"/>
        <v>102.306265565381</v>
      </c>
      <c r="R190">
        <f t="shared" si="35"/>
        <v>102.306265565381</v>
      </c>
      <c r="S190">
        <f t="shared" si="30"/>
        <v>105.52038741181134</v>
      </c>
      <c r="T190">
        <f t="shared" si="36"/>
        <v>105.52038741181134</v>
      </c>
      <c r="U190" s="3">
        <f t="shared" si="37"/>
        <v>65.517193968396001</v>
      </c>
      <c r="V190">
        <f t="shared" si="42"/>
        <v>87</v>
      </c>
      <c r="W190" s="8">
        <f t="shared" si="31"/>
        <v>48.973554074158002</v>
      </c>
      <c r="X190" s="1">
        <f t="shared" si="38"/>
        <v>48.973554074158002</v>
      </c>
      <c r="Y190" s="18"/>
      <c r="Z190" s="7"/>
      <c r="AA190" s="1"/>
      <c r="AB190" s="1"/>
      <c r="AC190" s="1"/>
    </row>
    <row r="191" spans="1:29" x14ac:dyDescent="0.3">
      <c r="A191">
        <v>190</v>
      </c>
      <c r="E191">
        <v>-440.29225631930001</v>
      </c>
      <c r="F191">
        <v>134.95425694260999</v>
      </c>
      <c r="G191">
        <v>367.50488712843003</v>
      </c>
      <c r="H191">
        <v>52.081976971761001</v>
      </c>
      <c r="I191">
        <v>-27.706161516590001</v>
      </c>
      <c r="J191">
        <v>66.012480396284005</v>
      </c>
      <c r="L191" s="1">
        <f t="shared" si="39"/>
        <v>3.407636565899999</v>
      </c>
      <c r="M191">
        <f t="shared" si="40"/>
        <v>692.31372062217019</v>
      </c>
      <c r="N191">
        <f t="shared" si="32"/>
        <v>1.9230936683949171</v>
      </c>
      <c r="O191">
        <f t="shared" si="33"/>
        <v>52.081976971761001</v>
      </c>
      <c r="P191">
        <f t="shared" si="34"/>
        <v>137</v>
      </c>
      <c r="Q191">
        <f t="shared" si="41"/>
        <v>102.314330171511</v>
      </c>
      <c r="R191">
        <f t="shared" si="35"/>
        <v>102.314330171511</v>
      </c>
      <c r="S191">
        <f t="shared" si="30"/>
        <v>105.53634088823637</v>
      </c>
      <c r="T191">
        <f t="shared" si="36"/>
        <v>105.53634088823637</v>
      </c>
      <c r="U191" s="3">
        <f t="shared" si="37"/>
        <v>66.012480396284005</v>
      </c>
      <c r="V191">
        <f t="shared" si="42"/>
        <v>88</v>
      </c>
      <c r="W191" s="8">
        <f t="shared" si="31"/>
        <v>48.96355283234</v>
      </c>
      <c r="X191" s="1">
        <f t="shared" si="38"/>
        <v>48.96355283234</v>
      </c>
      <c r="Y191" s="18"/>
      <c r="Z191" s="7"/>
      <c r="AA191" s="1"/>
      <c r="AB191" s="1"/>
      <c r="AC191" s="1"/>
    </row>
    <row r="192" spans="1:29" x14ac:dyDescent="0.3">
      <c r="A192">
        <v>191</v>
      </c>
      <c r="E192">
        <v>-439.66162293809998</v>
      </c>
      <c r="F192">
        <v>136.59901568561</v>
      </c>
      <c r="G192">
        <v>370.10752282267998</v>
      </c>
      <c r="H192">
        <v>51.969563999732998</v>
      </c>
      <c r="I192">
        <v>-24.28844274103</v>
      </c>
      <c r="J192">
        <v>66.498306029575005</v>
      </c>
      <c r="L192" s="1">
        <f t="shared" si="39"/>
        <v>3.4177187755600009</v>
      </c>
      <c r="M192">
        <f t="shared" si="40"/>
        <v>695.73143939773024</v>
      </c>
      <c r="N192">
        <f t="shared" si="32"/>
        <v>1.9325873316603617</v>
      </c>
      <c r="O192">
        <f t="shared" si="33"/>
        <v>51.969563999732998</v>
      </c>
      <c r="P192">
        <f t="shared" si="34"/>
        <v>138</v>
      </c>
      <c r="Q192">
        <f t="shared" si="41"/>
        <v>102.351019184509</v>
      </c>
      <c r="R192">
        <f t="shared" si="35"/>
        <v>102.351019184509</v>
      </c>
      <c r="S192">
        <f t="shared" si="30"/>
        <v>105.57935366224596</v>
      </c>
      <c r="T192">
        <f t="shared" si="36"/>
        <v>105.57935366224596</v>
      </c>
      <c r="U192" s="3">
        <f t="shared" si="37"/>
        <v>66.498306029575005</v>
      </c>
      <c r="V192">
        <f t="shared" si="42"/>
        <v>89</v>
      </c>
      <c r="W192" s="8">
        <f t="shared" si="31"/>
        <v>48.960755109003003</v>
      </c>
      <c r="X192" s="1">
        <f t="shared" si="38"/>
        <v>48.960755109003003</v>
      </c>
      <c r="Y192" s="18"/>
      <c r="Z192" s="7"/>
      <c r="AA192" s="1"/>
      <c r="AB192" s="1"/>
      <c r="AC192" s="1"/>
    </row>
    <row r="193" spans="1:29" x14ac:dyDescent="0.3">
      <c r="A193">
        <v>192</v>
      </c>
      <c r="E193">
        <v>-438.99368283849998</v>
      </c>
      <c r="F193">
        <v>138.06270068935001</v>
      </c>
      <c r="G193">
        <v>372.80672070672</v>
      </c>
      <c r="H193">
        <v>51.835082865593002</v>
      </c>
      <c r="I193">
        <v>-20.867912381349999</v>
      </c>
      <c r="J193">
        <v>67.006239512682001</v>
      </c>
      <c r="L193" s="1">
        <f t="shared" si="39"/>
        <v>3.4205303596800007</v>
      </c>
      <c r="M193">
        <f t="shared" si="40"/>
        <v>699.15196975741026</v>
      </c>
      <c r="N193">
        <f t="shared" si="32"/>
        <v>1.9420888048816951</v>
      </c>
      <c r="O193">
        <f t="shared" si="33"/>
        <v>51.835082865593002</v>
      </c>
      <c r="P193">
        <f t="shared" si="34"/>
        <v>139</v>
      </c>
      <c r="Q193">
        <f t="shared" si="41"/>
        <v>102.33904845267301</v>
      </c>
      <c r="R193">
        <f t="shared" si="35"/>
        <v>102.33904845267301</v>
      </c>
      <c r="S193">
        <f t="shared" si="30"/>
        <v>105.58115482127417</v>
      </c>
      <c r="T193">
        <f t="shared" si="36"/>
        <v>105.58115482127417</v>
      </c>
      <c r="U193" s="3">
        <f t="shared" si="37"/>
        <v>67.006239512682001</v>
      </c>
      <c r="V193">
        <f t="shared" si="42"/>
        <v>90</v>
      </c>
      <c r="W193" s="8">
        <f t="shared" si="31"/>
        <v>48.967179651546004</v>
      </c>
      <c r="X193" s="1">
        <f t="shared" si="38"/>
        <v>48.967179651546004</v>
      </c>
      <c r="Y193" s="18"/>
      <c r="Z193" s="7"/>
      <c r="AA193" s="1"/>
      <c r="AB193" s="1"/>
      <c r="AC193" s="1"/>
    </row>
    <row r="194" spans="1:29" x14ac:dyDescent="0.3">
      <c r="A194">
        <v>193</v>
      </c>
      <c r="E194">
        <v>-438.32615121499998</v>
      </c>
      <c r="F194">
        <v>139.36838579593001</v>
      </c>
      <c r="G194">
        <v>375.58638677772001</v>
      </c>
      <c r="H194">
        <v>51.709193906633999</v>
      </c>
      <c r="I194">
        <v>-17.435514733969999</v>
      </c>
      <c r="J194">
        <v>67.500939196437997</v>
      </c>
      <c r="L194" s="1">
        <f t="shared" si="39"/>
        <v>3.4323976473800002</v>
      </c>
      <c r="M194">
        <f t="shared" si="40"/>
        <v>702.58436740479021</v>
      </c>
      <c r="N194">
        <f t="shared" si="32"/>
        <v>1.951623242791084</v>
      </c>
      <c r="O194">
        <f t="shared" si="33"/>
        <v>51.709193906633999</v>
      </c>
      <c r="P194">
        <f t="shared" si="34"/>
        <v>140</v>
      </c>
      <c r="Q194">
        <f t="shared" si="41"/>
        <v>102.344341323782</v>
      </c>
      <c r="R194">
        <f t="shared" si="35"/>
        <v>102.344341323782</v>
      </c>
      <c r="S194">
        <f t="shared" ref="S194:S257" si="43">IF(P194=0,0,SQRT((E194-INDEX(E:E,P194))^2+(F194-INDEX(F:F,P194))^2+(G194-INDEX(G:G,P194))^2))</f>
        <v>105.59026489974336</v>
      </c>
      <c r="T194">
        <f t="shared" si="36"/>
        <v>105.59026489974336</v>
      </c>
      <c r="U194" s="3">
        <f t="shared" si="37"/>
        <v>67.500939196437997</v>
      </c>
      <c r="V194">
        <f t="shared" si="42"/>
        <v>91</v>
      </c>
      <c r="W194" s="8">
        <f t="shared" ref="W194:W257" si="44">IF(V194=0,0,U194-INDEX(U:U,V194))</f>
        <v>48.978572644632997</v>
      </c>
      <c r="X194" s="1">
        <f t="shared" si="38"/>
        <v>48.978572644632997</v>
      </c>
      <c r="Y194" s="18"/>
      <c r="Z194" s="7"/>
      <c r="AA194" s="1"/>
      <c r="AB194" s="1"/>
      <c r="AC194" s="1"/>
    </row>
    <row r="195" spans="1:29" x14ac:dyDescent="0.3">
      <c r="A195">
        <v>194</v>
      </c>
      <c r="E195">
        <v>-437.65118816289998</v>
      </c>
      <c r="F195">
        <v>140.49597039333</v>
      </c>
      <c r="G195">
        <v>378.44119886578</v>
      </c>
      <c r="H195">
        <v>51.576084655629998</v>
      </c>
      <c r="I195">
        <v>-13.99381575992</v>
      </c>
      <c r="J195">
        <v>67.989828810998006</v>
      </c>
      <c r="L195" s="1">
        <f t="shared" si="39"/>
        <v>3.4416989740499986</v>
      </c>
      <c r="M195">
        <f t="shared" si="40"/>
        <v>706.02606637884026</v>
      </c>
      <c r="N195">
        <f t="shared" ref="N195:N258" si="45">M195/360</f>
        <v>1.9611835177190007</v>
      </c>
      <c r="O195">
        <f t="shared" ref="O195:O258" si="46">H195</f>
        <v>51.576084655629998</v>
      </c>
      <c r="P195">
        <f t="shared" ref="P195:P258" si="47">IFERROR(MATCH(N195-0.5,N:N,1),0)</f>
        <v>141</v>
      </c>
      <c r="Q195">
        <f t="shared" si="41"/>
        <v>102.380563006866</v>
      </c>
      <c r="R195">
        <f t="shared" ref="R195:R258" si="48">IF(Q195=0,MAX(Q:Q),Q195)</f>
        <v>102.380563006866</v>
      </c>
      <c r="S195">
        <f t="shared" si="43"/>
        <v>105.63091824639531</v>
      </c>
      <c r="T195">
        <f t="shared" ref="T195:T258" si="49">IF(S195=0,MAX(S:S),S195)</f>
        <v>105.63091824639531</v>
      </c>
      <c r="U195" s="3">
        <f t="shared" ref="U195:U258" si="50">J195</f>
        <v>67.989828810998006</v>
      </c>
      <c r="V195">
        <f t="shared" si="42"/>
        <v>92</v>
      </c>
      <c r="W195" s="8">
        <f t="shared" si="44"/>
        <v>48.976917968140008</v>
      </c>
      <c r="X195" s="1">
        <f t="shared" ref="X195:X258" si="51">IF(W195=0,MAX(W:W),W195)</f>
        <v>48.976917968140008</v>
      </c>
      <c r="Y195" s="18"/>
      <c r="Z195" s="7"/>
      <c r="AA195" s="1"/>
      <c r="AB195" s="1"/>
      <c r="AC195" s="1"/>
    </row>
    <row r="196" spans="1:29" x14ac:dyDescent="0.3">
      <c r="A196">
        <v>195</v>
      </c>
      <c r="E196">
        <v>-436.9542875171</v>
      </c>
      <c r="F196">
        <v>141.48195644079999</v>
      </c>
      <c r="G196">
        <v>381.34258744470998</v>
      </c>
      <c r="H196">
        <v>51.479493900371999</v>
      </c>
      <c r="I196">
        <v>-10.545336088339999</v>
      </c>
      <c r="J196">
        <v>68.491119323104996</v>
      </c>
      <c r="L196" s="1">
        <f t="shared" ref="L196:L259" si="52">I196-I195</f>
        <v>3.4484796715800012</v>
      </c>
      <c r="M196">
        <f t="shared" ref="M196:M259" si="53">IF(L196&gt;0,M195+L196,M195+L195)</f>
        <v>709.47454605042026</v>
      </c>
      <c r="N196">
        <f t="shared" si="45"/>
        <v>1.9707626279178341</v>
      </c>
      <c r="O196">
        <f t="shared" si="46"/>
        <v>51.479493900371999</v>
      </c>
      <c r="P196">
        <f t="shared" si="47"/>
        <v>142</v>
      </c>
      <c r="Q196">
        <f t="shared" si="41"/>
        <v>102.39892324875601</v>
      </c>
      <c r="R196">
        <f t="shared" si="48"/>
        <v>102.39892324875601</v>
      </c>
      <c r="S196">
        <f t="shared" si="43"/>
        <v>105.66285340808213</v>
      </c>
      <c r="T196">
        <f t="shared" si="49"/>
        <v>105.66285340808213</v>
      </c>
      <c r="U196" s="3">
        <f t="shared" si="50"/>
        <v>68.491119323104996</v>
      </c>
      <c r="V196">
        <f t="shared" si="42"/>
        <v>93</v>
      </c>
      <c r="W196" s="8">
        <f t="shared" si="44"/>
        <v>48.993155414862997</v>
      </c>
      <c r="X196" s="1">
        <f t="shared" si="51"/>
        <v>48.993155414862997</v>
      </c>
      <c r="Y196" s="18"/>
      <c r="Z196" s="7"/>
      <c r="AA196" s="1"/>
      <c r="AB196" s="1"/>
      <c r="AC196" s="1"/>
    </row>
    <row r="197" spans="1:29" x14ac:dyDescent="0.3">
      <c r="A197">
        <v>196</v>
      </c>
      <c r="E197">
        <v>-436.25044094740002</v>
      </c>
      <c r="F197">
        <v>142.28145668085</v>
      </c>
      <c r="G197">
        <v>384.29952461250002</v>
      </c>
      <c r="H197">
        <v>51.375163589963996</v>
      </c>
      <c r="I197">
        <v>-7.089097573478</v>
      </c>
      <c r="J197">
        <v>68.98734883969</v>
      </c>
      <c r="L197" s="1">
        <f t="shared" si="52"/>
        <v>3.4562385148619992</v>
      </c>
      <c r="M197">
        <f t="shared" si="53"/>
        <v>712.93078456528224</v>
      </c>
      <c r="N197">
        <f t="shared" si="45"/>
        <v>1.9803632904591173</v>
      </c>
      <c r="O197">
        <f t="shared" si="46"/>
        <v>51.375163589963996</v>
      </c>
      <c r="P197">
        <f t="shared" si="47"/>
        <v>143</v>
      </c>
      <c r="Q197">
        <f t="shared" si="41"/>
        <v>102.421182773225</v>
      </c>
      <c r="R197">
        <f t="shared" si="48"/>
        <v>102.421182773225</v>
      </c>
      <c r="S197">
        <f t="shared" si="43"/>
        <v>105.68773723330705</v>
      </c>
      <c r="T197">
        <f t="shared" si="49"/>
        <v>105.68773723330705</v>
      </c>
      <c r="U197" s="3">
        <f t="shared" si="50"/>
        <v>68.98734883969</v>
      </c>
      <c r="V197">
        <f t="shared" si="42"/>
        <v>94</v>
      </c>
      <c r="W197" s="8">
        <f t="shared" si="44"/>
        <v>49.005375017262999</v>
      </c>
      <c r="X197" s="1">
        <f t="shared" si="51"/>
        <v>49.005375017262999</v>
      </c>
      <c r="Y197" s="18"/>
      <c r="Z197" s="7"/>
      <c r="AA197" s="1"/>
      <c r="AB197" s="1"/>
      <c r="AC197" s="1"/>
    </row>
    <row r="198" spans="1:29" x14ac:dyDescent="0.3">
      <c r="A198">
        <v>197</v>
      </c>
      <c r="E198">
        <v>-435.48841156020001</v>
      </c>
      <c r="F198">
        <v>142.82021883421001</v>
      </c>
      <c r="G198">
        <v>387.29996675732002</v>
      </c>
      <c r="H198">
        <v>51.191096632421001</v>
      </c>
      <c r="I198">
        <v>-3.6363130578299998</v>
      </c>
      <c r="J198">
        <v>69.527516409650005</v>
      </c>
      <c r="L198" s="1">
        <f t="shared" si="52"/>
        <v>3.4527845156480002</v>
      </c>
      <c r="M198">
        <f t="shared" si="53"/>
        <v>716.38356908093022</v>
      </c>
      <c r="N198">
        <f t="shared" si="45"/>
        <v>1.9899543585581394</v>
      </c>
      <c r="O198">
        <f t="shared" si="46"/>
        <v>51.191096632421001</v>
      </c>
      <c r="P198">
        <f t="shared" si="47"/>
        <v>144</v>
      </c>
      <c r="Q198">
        <f t="shared" si="41"/>
        <v>102.349267642073</v>
      </c>
      <c r="R198">
        <f t="shared" si="48"/>
        <v>102.349267642073</v>
      </c>
      <c r="S198">
        <f t="shared" si="43"/>
        <v>105.63746235736266</v>
      </c>
      <c r="T198">
        <f t="shared" si="49"/>
        <v>105.63746235736266</v>
      </c>
      <c r="U198" s="3">
        <f t="shared" si="50"/>
        <v>69.527516409650005</v>
      </c>
      <c r="V198">
        <f t="shared" si="42"/>
        <v>94</v>
      </c>
      <c r="W198" s="8">
        <f t="shared" si="44"/>
        <v>49.545542587223004</v>
      </c>
      <c r="X198" s="1">
        <f t="shared" si="51"/>
        <v>49.545542587223004</v>
      </c>
      <c r="Y198" s="18"/>
      <c r="Z198" s="7"/>
      <c r="AA198" s="1"/>
      <c r="AB198" s="1"/>
      <c r="AC198" s="1"/>
    </row>
    <row r="199" spans="1:29" x14ac:dyDescent="0.3">
      <c r="A199">
        <v>198</v>
      </c>
      <c r="E199">
        <v>-434.83210269829999</v>
      </c>
      <c r="F199">
        <v>143.28862331964999</v>
      </c>
      <c r="G199">
        <v>390.33735642904998</v>
      </c>
      <c r="H199">
        <v>51.124702119646997</v>
      </c>
      <c r="I199">
        <v>-0.14989117040700001</v>
      </c>
      <c r="J199">
        <v>69.956588853301994</v>
      </c>
      <c r="L199" s="1">
        <f t="shared" si="52"/>
        <v>3.486421887423</v>
      </c>
      <c r="M199">
        <f t="shared" si="53"/>
        <v>719.86999096835325</v>
      </c>
      <c r="N199">
        <f t="shared" si="45"/>
        <v>1.9996388638009812</v>
      </c>
      <c r="O199">
        <f t="shared" si="46"/>
        <v>51.124702119646997</v>
      </c>
      <c r="P199">
        <f t="shared" si="47"/>
        <v>145</v>
      </c>
      <c r="Q199">
        <f t="shared" si="41"/>
        <v>102.388266875417</v>
      </c>
      <c r="R199">
        <f t="shared" si="48"/>
        <v>102.388266875417</v>
      </c>
      <c r="S199">
        <f t="shared" si="43"/>
        <v>105.66720261477266</v>
      </c>
      <c r="T199">
        <f t="shared" si="49"/>
        <v>105.66720261477266</v>
      </c>
      <c r="U199" s="3">
        <f t="shared" si="50"/>
        <v>69.956588853301994</v>
      </c>
      <c r="V199">
        <f t="shared" si="42"/>
        <v>95</v>
      </c>
      <c r="W199" s="8">
        <f t="shared" si="44"/>
        <v>49.537123569534998</v>
      </c>
      <c r="X199" s="1">
        <f t="shared" si="51"/>
        <v>49.537123569534998</v>
      </c>
      <c r="Y199" s="18"/>
      <c r="Z199" s="7"/>
      <c r="AA199" s="1"/>
      <c r="AB199" s="1"/>
      <c r="AC199" s="1"/>
    </row>
    <row r="200" spans="1:29" x14ac:dyDescent="0.3">
      <c r="A200">
        <v>199</v>
      </c>
      <c r="E200">
        <v>-434.17462572570003</v>
      </c>
      <c r="F200">
        <v>143.55941100377001</v>
      </c>
      <c r="G200">
        <v>393.39830902941998</v>
      </c>
      <c r="H200">
        <v>51.049044656954003</v>
      </c>
      <c r="I200">
        <v>3.3423217489500998</v>
      </c>
      <c r="J200">
        <v>70.376960714990005</v>
      </c>
      <c r="L200" s="1">
        <f t="shared" si="52"/>
        <v>3.4922129193570997</v>
      </c>
      <c r="M200">
        <f t="shared" si="53"/>
        <v>723.36220388771039</v>
      </c>
      <c r="N200">
        <f t="shared" si="45"/>
        <v>2.0093394552436399</v>
      </c>
      <c r="O200">
        <f t="shared" si="46"/>
        <v>51.049044656954003</v>
      </c>
      <c r="P200">
        <f t="shared" si="47"/>
        <v>146</v>
      </c>
      <c r="Q200">
        <f t="shared" si="41"/>
        <v>102.450957514207</v>
      </c>
      <c r="R200">
        <f t="shared" si="48"/>
        <v>102.450957514207</v>
      </c>
      <c r="S200">
        <f t="shared" si="43"/>
        <v>105.71271260914232</v>
      </c>
      <c r="T200">
        <f t="shared" si="49"/>
        <v>105.71271260914232</v>
      </c>
      <c r="U200" s="3">
        <f t="shared" si="50"/>
        <v>70.376960714990005</v>
      </c>
      <c r="V200">
        <f t="shared" si="42"/>
        <v>96</v>
      </c>
      <c r="W200" s="8">
        <f t="shared" si="44"/>
        <v>49.504738106437003</v>
      </c>
      <c r="X200" s="1">
        <f t="shared" si="51"/>
        <v>49.504738106437003</v>
      </c>
      <c r="Y200" s="18"/>
      <c r="Z200" s="7"/>
      <c r="AA200" s="1"/>
      <c r="AB200" s="1"/>
      <c r="AC200" s="1"/>
    </row>
    <row r="201" spans="1:29" x14ac:dyDescent="0.3">
      <c r="A201">
        <v>200</v>
      </c>
      <c r="E201">
        <v>-433.38507424699998</v>
      </c>
      <c r="F201">
        <v>143.54069580647999</v>
      </c>
      <c r="G201">
        <v>396.44063025775</v>
      </c>
      <c r="H201">
        <v>50.868692674839998</v>
      </c>
      <c r="I201">
        <v>6.8180889110795997</v>
      </c>
      <c r="J201">
        <v>70.918684410268995</v>
      </c>
      <c r="L201" s="1">
        <f t="shared" si="52"/>
        <v>3.4757671621294999</v>
      </c>
      <c r="M201">
        <f t="shared" si="53"/>
        <v>726.83797104983989</v>
      </c>
      <c r="N201">
        <f t="shared" si="45"/>
        <v>2.0189943640273329</v>
      </c>
      <c r="O201">
        <f t="shared" si="46"/>
        <v>50.868692674839998</v>
      </c>
      <c r="P201">
        <f t="shared" si="47"/>
        <v>147</v>
      </c>
      <c r="Q201">
        <f t="shared" si="41"/>
        <v>102.35005584182301</v>
      </c>
      <c r="R201">
        <f t="shared" si="48"/>
        <v>102.35005584182301</v>
      </c>
      <c r="S201">
        <f t="shared" si="43"/>
        <v>105.64122683664642</v>
      </c>
      <c r="T201">
        <f t="shared" si="49"/>
        <v>105.64122683664642</v>
      </c>
      <c r="U201" s="3">
        <f t="shared" si="50"/>
        <v>70.918684410268995</v>
      </c>
      <c r="V201">
        <f t="shared" si="42"/>
        <v>97</v>
      </c>
      <c r="W201" s="8">
        <f t="shared" si="44"/>
        <v>49.56591348408999</v>
      </c>
      <c r="X201" s="1">
        <f t="shared" si="51"/>
        <v>49.56591348408999</v>
      </c>
      <c r="Y201" s="18"/>
      <c r="Z201" s="7"/>
      <c r="AA201" s="1"/>
      <c r="AB201" s="1"/>
      <c r="AC201" s="1"/>
    </row>
    <row r="202" spans="1:29" x14ac:dyDescent="0.3">
      <c r="A202">
        <v>201</v>
      </c>
      <c r="E202">
        <v>-432.59551068079998</v>
      </c>
      <c r="F202">
        <v>143.35236186400999</v>
      </c>
      <c r="G202">
        <v>399.47650229432998</v>
      </c>
      <c r="H202">
        <v>50.706848181302</v>
      </c>
      <c r="I202">
        <v>10.307224746251</v>
      </c>
      <c r="J202">
        <v>71.454091968415</v>
      </c>
      <c r="L202" s="1">
        <f t="shared" si="52"/>
        <v>3.4891358351714006</v>
      </c>
      <c r="M202">
        <f t="shared" si="53"/>
        <v>730.32710688501129</v>
      </c>
      <c r="N202">
        <f t="shared" si="45"/>
        <v>2.0286864080139204</v>
      </c>
      <c r="O202">
        <f t="shared" si="46"/>
        <v>50.706848181302</v>
      </c>
      <c r="P202">
        <f t="shared" si="47"/>
        <v>148</v>
      </c>
      <c r="Q202">
        <f t="shared" si="41"/>
        <v>102.32173099638</v>
      </c>
      <c r="R202">
        <f t="shared" si="48"/>
        <v>102.32173099638</v>
      </c>
      <c r="S202">
        <f t="shared" si="43"/>
        <v>105.62126213599477</v>
      </c>
      <c r="T202">
        <f t="shared" si="49"/>
        <v>105.62126213599477</v>
      </c>
      <c r="U202" s="3">
        <f t="shared" si="50"/>
        <v>71.454091968415</v>
      </c>
      <c r="V202">
        <f t="shared" si="42"/>
        <v>98</v>
      </c>
      <c r="W202" s="8">
        <f t="shared" si="44"/>
        <v>49.664861375981999</v>
      </c>
      <c r="X202" s="1">
        <f t="shared" si="51"/>
        <v>49.664861375981999</v>
      </c>
      <c r="Y202" s="18"/>
      <c r="Z202" s="7"/>
      <c r="AA202" s="1"/>
      <c r="AB202" s="1"/>
      <c r="AC202" s="1"/>
    </row>
    <row r="203" spans="1:29" x14ac:dyDescent="0.3">
      <c r="A203">
        <v>202</v>
      </c>
      <c r="E203">
        <v>-431.8247925421</v>
      </c>
      <c r="F203">
        <v>143.00998707636001</v>
      </c>
      <c r="G203">
        <v>402.50386394229997</v>
      </c>
      <c r="H203">
        <v>50.580464840005</v>
      </c>
      <c r="I203">
        <v>13.812946372472</v>
      </c>
      <c r="J203">
        <v>71.965195876338001</v>
      </c>
      <c r="L203" s="1">
        <f t="shared" si="52"/>
        <v>3.5057216262209998</v>
      </c>
      <c r="M203">
        <f t="shared" si="53"/>
        <v>733.83282851123226</v>
      </c>
      <c r="N203">
        <f t="shared" si="45"/>
        <v>2.0384245236423117</v>
      </c>
      <c r="O203">
        <f t="shared" si="46"/>
        <v>50.580464840005</v>
      </c>
      <c r="P203">
        <f t="shared" si="47"/>
        <v>149</v>
      </c>
      <c r="Q203">
        <f t="shared" si="41"/>
        <v>102.342907507608</v>
      </c>
      <c r="R203">
        <f t="shared" si="48"/>
        <v>102.342907507608</v>
      </c>
      <c r="S203">
        <f t="shared" si="43"/>
        <v>105.64120119157819</v>
      </c>
      <c r="T203">
        <f t="shared" si="49"/>
        <v>105.64120119157819</v>
      </c>
      <c r="U203" s="3">
        <f t="shared" si="50"/>
        <v>71.965195876338001</v>
      </c>
      <c r="V203">
        <f t="shared" si="42"/>
        <v>99</v>
      </c>
      <c r="W203" s="8">
        <f t="shared" si="44"/>
        <v>49.736183326014</v>
      </c>
      <c r="X203" s="1">
        <f t="shared" si="51"/>
        <v>49.736183326014</v>
      </c>
      <c r="Y203" s="18"/>
      <c r="Z203" s="7"/>
      <c r="AA203" s="1"/>
      <c r="AB203" s="1"/>
      <c r="AC203" s="1"/>
    </row>
    <row r="204" spans="1:29" x14ac:dyDescent="0.3">
      <c r="A204">
        <v>203</v>
      </c>
      <c r="E204">
        <v>-431.06965525790002</v>
      </c>
      <c r="F204">
        <v>142.52595985657999</v>
      </c>
      <c r="G204">
        <v>405.51579906116001</v>
      </c>
      <c r="H204">
        <v>50.502223807175</v>
      </c>
      <c r="I204">
        <v>17.331254917228001</v>
      </c>
      <c r="J204">
        <v>72.456301910929</v>
      </c>
      <c r="L204" s="1">
        <f t="shared" si="52"/>
        <v>3.5183085447560014</v>
      </c>
      <c r="M204">
        <f t="shared" si="53"/>
        <v>737.35113705598826</v>
      </c>
      <c r="N204">
        <f t="shared" si="45"/>
        <v>2.0481976029333007</v>
      </c>
      <c r="O204">
        <f t="shared" si="46"/>
        <v>50.502223807175</v>
      </c>
      <c r="P204">
        <f t="shared" si="47"/>
        <v>150</v>
      </c>
      <c r="Q204">
        <f t="shared" si="41"/>
        <v>102.42229428970799</v>
      </c>
      <c r="R204">
        <f t="shared" si="48"/>
        <v>102.42229428970799</v>
      </c>
      <c r="S204">
        <f t="shared" si="43"/>
        <v>105.71789317906753</v>
      </c>
      <c r="T204">
        <f t="shared" si="49"/>
        <v>105.71789317906753</v>
      </c>
      <c r="U204" s="3">
        <f t="shared" si="50"/>
        <v>72.456301910929</v>
      </c>
      <c r="V204">
        <f t="shared" si="42"/>
        <v>100</v>
      </c>
      <c r="W204" s="8">
        <f t="shared" si="44"/>
        <v>49.779863070813001</v>
      </c>
      <c r="X204" s="1">
        <f t="shared" si="51"/>
        <v>49.779863070813001</v>
      </c>
      <c r="Y204" s="18"/>
      <c r="Z204" s="7"/>
      <c r="AA204" s="1"/>
      <c r="AB204" s="1"/>
      <c r="AC204" s="1"/>
    </row>
    <row r="205" spans="1:29" x14ac:dyDescent="0.3">
      <c r="A205">
        <v>204</v>
      </c>
      <c r="E205">
        <v>-430.31762766280002</v>
      </c>
      <c r="F205">
        <v>141.83891796994999</v>
      </c>
      <c r="G205">
        <v>408.48865571469997</v>
      </c>
      <c r="H205">
        <v>50.408137410812003</v>
      </c>
      <c r="I205">
        <v>20.856378805483001</v>
      </c>
      <c r="J205">
        <v>72.939250606285</v>
      </c>
      <c r="L205" s="1">
        <f t="shared" si="52"/>
        <v>3.5251238882549991</v>
      </c>
      <c r="M205">
        <f t="shared" si="53"/>
        <v>740.87626094424331</v>
      </c>
      <c r="N205">
        <f t="shared" si="45"/>
        <v>2.057989613734009</v>
      </c>
      <c r="O205">
        <f t="shared" si="46"/>
        <v>50.408137410812003</v>
      </c>
      <c r="P205">
        <f t="shared" si="47"/>
        <v>151</v>
      </c>
      <c r="Q205">
        <f t="shared" si="41"/>
        <v>102.447538639266</v>
      </c>
      <c r="R205">
        <f t="shared" si="48"/>
        <v>102.447538639266</v>
      </c>
      <c r="S205">
        <f t="shared" si="43"/>
        <v>105.74900064025609</v>
      </c>
      <c r="T205">
        <f t="shared" si="49"/>
        <v>105.74900064025609</v>
      </c>
      <c r="U205" s="3">
        <f t="shared" si="50"/>
        <v>72.939250606285</v>
      </c>
      <c r="V205">
        <f t="shared" si="42"/>
        <v>101</v>
      </c>
      <c r="W205" s="8">
        <f t="shared" si="44"/>
        <v>49.839657585749002</v>
      </c>
      <c r="X205" s="1">
        <f t="shared" si="51"/>
        <v>49.839657585749002</v>
      </c>
      <c r="Y205" s="18"/>
      <c r="Z205" s="7"/>
      <c r="AA205" s="1"/>
      <c r="AB205" s="1"/>
      <c r="AC205" s="1"/>
    </row>
    <row r="206" spans="1:29" x14ac:dyDescent="0.3">
      <c r="A206">
        <v>205</v>
      </c>
      <c r="E206">
        <v>-429.51934464890002</v>
      </c>
      <c r="F206">
        <v>140.91485749993001</v>
      </c>
      <c r="G206">
        <v>411.38444046127</v>
      </c>
      <c r="H206">
        <v>50.255284698910998</v>
      </c>
      <c r="I206">
        <v>24.379811701659001</v>
      </c>
      <c r="J206">
        <v>73.464881306606998</v>
      </c>
      <c r="L206" s="1">
        <f t="shared" si="52"/>
        <v>3.5234328961760006</v>
      </c>
      <c r="M206">
        <f t="shared" si="53"/>
        <v>744.39969384041933</v>
      </c>
      <c r="N206">
        <f t="shared" si="45"/>
        <v>2.0677769273344984</v>
      </c>
      <c r="O206">
        <f t="shared" si="46"/>
        <v>50.255284698910998</v>
      </c>
      <c r="P206">
        <f t="shared" si="47"/>
        <v>152</v>
      </c>
      <c r="Q206">
        <f t="shared" si="41"/>
        <v>102.410434532784</v>
      </c>
      <c r="R206">
        <f t="shared" si="48"/>
        <v>102.410434532784</v>
      </c>
      <c r="S206">
        <f t="shared" si="43"/>
        <v>105.72302394777766</v>
      </c>
      <c r="T206">
        <f t="shared" si="49"/>
        <v>105.72302394777766</v>
      </c>
      <c r="U206" s="3">
        <f t="shared" si="50"/>
        <v>73.464881306606998</v>
      </c>
      <c r="V206">
        <f t="shared" si="42"/>
        <v>102</v>
      </c>
      <c r="W206" s="8">
        <f t="shared" si="44"/>
        <v>49.920922962253997</v>
      </c>
      <c r="X206" s="1">
        <f t="shared" si="51"/>
        <v>49.920922962253997</v>
      </c>
      <c r="Y206" s="18"/>
      <c r="Z206" s="7"/>
      <c r="AA206" s="1"/>
      <c r="AB206" s="1"/>
      <c r="AC206" s="1"/>
    </row>
    <row r="207" spans="1:29" x14ac:dyDescent="0.3">
      <c r="A207">
        <v>206</v>
      </c>
      <c r="E207">
        <v>-428.73062996239997</v>
      </c>
      <c r="F207">
        <v>139.84091737633</v>
      </c>
      <c r="G207">
        <v>414.23056788474997</v>
      </c>
      <c r="H207">
        <v>50.135529635274999</v>
      </c>
      <c r="I207">
        <v>27.916543929107998</v>
      </c>
      <c r="J207">
        <v>73.978914471367005</v>
      </c>
      <c r="L207" s="1">
        <f t="shared" si="52"/>
        <v>3.5367322274489972</v>
      </c>
      <c r="M207">
        <f t="shared" si="53"/>
        <v>747.9364260678683</v>
      </c>
      <c r="N207">
        <f t="shared" si="45"/>
        <v>2.0776011835218564</v>
      </c>
      <c r="O207">
        <f t="shared" si="46"/>
        <v>50.135529635274999</v>
      </c>
      <c r="P207">
        <f t="shared" si="47"/>
        <v>153</v>
      </c>
      <c r="Q207">
        <f t="shared" si="41"/>
        <v>102.379154870739</v>
      </c>
      <c r="R207">
        <f t="shared" si="48"/>
        <v>102.379154870739</v>
      </c>
      <c r="S207">
        <f t="shared" si="43"/>
        <v>105.695211197888</v>
      </c>
      <c r="T207">
        <f t="shared" si="49"/>
        <v>105.695211197888</v>
      </c>
      <c r="U207" s="3">
        <f t="shared" si="50"/>
        <v>73.978914471367005</v>
      </c>
      <c r="V207">
        <f t="shared" si="42"/>
        <v>103</v>
      </c>
      <c r="W207" s="8">
        <f t="shared" si="44"/>
        <v>49.99038410322801</v>
      </c>
      <c r="X207" s="1">
        <f t="shared" si="51"/>
        <v>49.99038410322801</v>
      </c>
      <c r="Y207" s="18"/>
      <c r="Z207" s="7"/>
      <c r="AA207" s="1"/>
      <c r="AB207" s="1"/>
      <c r="AC207" s="1"/>
    </row>
    <row r="208" spans="1:29" x14ac:dyDescent="0.3">
      <c r="A208">
        <v>207</v>
      </c>
      <c r="E208">
        <v>-427.94583668820002</v>
      </c>
      <c r="F208">
        <v>138.60394115857</v>
      </c>
      <c r="G208">
        <v>417.01088534429999</v>
      </c>
      <c r="H208">
        <v>50.031593265015999</v>
      </c>
      <c r="I208">
        <v>31.462872234169001</v>
      </c>
      <c r="J208">
        <v>74.487738151111003</v>
      </c>
      <c r="L208" s="1">
        <f t="shared" si="52"/>
        <v>3.5463283050610031</v>
      </c>
      <c r="M208">
        <f t="shared" si="53"/>
        <v>751.48275437292932</v>
      </c>
      <c r="N208">
        <f t="shared" si="45"/>
        <v>2.087452095480359</v>
      </c>
      <c r="O208">
        <f t="shared" si="46"/>
        <v>50.031593265015999</v>
      </c>
      <c r="P208">
        <f t="shared" si="47"/>
        <v>155</v>
      </c>
      <c r="Q208">
        <f t="shared" si="41"/>
        <v>102.461573099916</v>
      </c>
      <c r="R208">
        <f t="shared" si="48"/>
        <v>102.461573099916</v>
      </c>
      <c r="S208">
        <f t="shared" si="43"/>
        <v>105.70765730651388</v>
      </c>
      <c r="T208">
        <f t="shared" si="49"/>
        <v>105.70765730651388</v>
      </c>
      <c r="U208" s="3">
        <f t="shared" si="50"/>
        <v>74.487738151111003</v>
      </c>
      <c r="V208">
        <f t="shared" si="42"/>
        <v>104</v>
      </c>
      <c r="W208" s="8">
        <f t="shared" si="44"/>
        <v>50.064408319809004</v>
      </c>
      <c r="X208" s="1">
        <f t="shared" si="51"/>
        <v>50.064408319809004</v>
      </c>
      <c r="Y208" s="18"/>
      <c r="Z208" s="7"/>
      <c r="AA208" s="1"/>
      <c r="AB208" s="1"/>
      <c r="AC208" s="1"/>
    </row>
    <row r="209" spans="1:29" x14ac:dyDescent="0.3">
      <c r="A209">
        <v>208</v>
      </c>
      <c r="E209">
        <v>-427.16418718990002</v>
      </c>
      <c r="F209">
        <v>137.18917484421999</v>
      </c>
      <c r="G209">
        <v>419.70601385110001</v>
      </c>
      <c r="H209">
        <v>49.922647321340001</v>
      </c>
      <c r="I209">
        <v>35.017226297519002</v>
      </c>
      <c r="J209">
        <v>74.993084935050007</v>
      </c>
      <c r="L209" s="1">
        <f t="shared" si="52"/>
        <v>3.5543540633500008</v>
      </c>
      <c r="M209">
        <f t="shared" si="53"/>
        <v>755.03710843627937</v>
      </c>
      <c r="N209">
        <f t="shared" si="45"/>
        <v>2.0973253012118871</v>
      </c>
      <c r="O209">
        <f t="shared" si="46"/>
        <v>49.922647321340001</v>
      </c>
      <c r="P209">
        <f t="shared" si="47"/>
        <v>156</v>
      </c>
      <c r="Q209">
        <f t="shared" si="41"/>
        <v>102.43984575509501</v>
      </c>
      <c r="R209">
        <f t="shared" si="48"/>
        <v>102.43984575509501</v>
      </c>
      <c r="S209">
        <f t="shared" si="43"/>
        <v>105.69257708973635</v>
      </c>
      <c r="T209">
        <f t="shared" si="49"/>
        <v>105.69257708973635</v>
      </c>
      <c r="U209" s="3">
        <f t="shared" si="50"/>
        <v>74.993084935050007</v>
      </c>
      <c r="V209">
        <f t="shared" si="42"/>
        <v>105</v>
      </c>
      <c r="W209" s="8">
        <f t="shared" si="44"/>
        <v>50.128192757526008</v>
      </c>
      <c r="X209" s="1">
        <f t="shared" si="51"/>
        <v>50.128192757526008</v>
      </c>
      <c r="Y209" s="18"/>
      <c r="Z209" s="7"/>
      <c r="AA209" s="1"/>
      <c r="AB209" s="1"/>
      <c r="AC209" s="1"/>
    </row>
    <row r="210" spans="1:29" x14ac:dyDescent="0.3">
      <c r="A210">
        <v>209</v>
      </c>
      <c r="E210">
        <v>-426.37796373280003</v>
      </c>
      <c r="F210">
        <v>135.61542451131001</v>
      </c>
      <c r="G210">
        <v>422.31008689788001</v>
      </c>
      <c r="H210">
        <v>49.823089142637997</v>
      </c>
      <c r="I210">
        <v>38.578309050816003</v>
      </c>
      <c r="J210">
        <v>75.503870639929005</v>
      </c>
      <c r="L210" s="1">
        <f t="shared" si="52"/>
        <v>3.5610827532970006</v>
      </c>
      <c r="M210">
        <f t="shared" si="53"/>
        <v>758.59819118957637</v>
      </c>
      <c r="N210">
        <f t="shared" si="45"/>
        <v>2.1072171977488234</v>
      </c>
      <c r="O210">
        <f t="shared" si="46"/>
        <v>49.823089142637997</v>
      </c>
      <c r="P210">
        <f t="shared" si="47"/>
        <v>157</v>
      </c>
      <c r="Q210">
        <f t="shared" ref="Q210:Q273" si="54">IF(P210=0,0,O210+INDEX(O:O,P210))</f>
        <v>102.43442801398299</v>
      </c>
      <c r="R210">
        <f t="shared" si="48"/>
        <v>102.43442801398299</v>
      </c>
      <c r="S210">
        <f t="shared" si="43"/>
        <v>105.69111560876935</v>
      </c>
      <c r="T210">
        <f t="shared" si="49"/>
        <v>105.69111560876935</v>
      </c>
      <c r="U210" s="3">
        <f t="shared" si="50"/>
        <v>75.503870639929005</v>
      </c>
      <c r="V210">
        <f t="shared" si="42"/>
        <v>106</v>
      </c>
      <c r="W210" s="8">
        <f t="shared" si="44"/>
        <v>50.197182119285003</v>
      </c>
      <c r="X210" s="1">
        <f t="shared" si="51"/>
        <v>50.197182119285003</v>
      </c>
      <c r="Y210" s="18"/>
      <c r="Z210" s="7"/>
      <c r="AA210" s="1"/>
      <c r="AB210" s="1"/>
      <c r="AC210" s="1"/>
    </row>
    <row r="211" spans="1:29" x14ac:dyDescent="0.3">
      <c r="A211">
        <v>210</v>
      </c>
      <c r="E211">
        <v>-425.60008929269998</v>
      </c>
      <c r="F211">
        <v>133.88791414686</v>
      </c>
      <c r="G211">
        <v>424.81738955351</v>
      </c>
      <c r="H211">
        <v>49.734717021366002</v>
      </c>
      <c r="I211">
        <v>42.147764813262</v>
      </c>
      <c r="J211">
        <v>76.007893397366999</v>
      </c>
      <c r="L211" s="1">
        <f t="shared" si="52"/>
        <v>3.5694557624459975</v>
      </c>
      <c r="M211">
        <f t="shared" si="53"/>
        <v>762.16764695202232</v>
      </c>
      <c r="N211">
        <f t="shared" si="45"/>
        <v>2.1171323526445063</v>
      </c>
      <c r="O211">
        <f t="shared" si="46"/>
        <v>49.734717021366002</v>
      </c>
      <c r="P211">
        <f t="shared" si="47"/>
        <v>158</v>
      </c>
      <c r="Q211">
        <f t="shared" si="54"/>
        <v>102.413865159452</v>
      </c>
      <c r="R211">
        <f t="shared" si="48"/>
        <v>102.413865159452</v>
      </c>
      <c r="S211">
        <f t="shared" si="43"/>
        <v>105.67663042281876</v>
      </c>
      <c r="T211">
        <f t="shared" si="49"/>
        <v>105.67663042281876</v>
      </c>
      <c r="U211" s="3">
        <f t="shared" si="50"/>
        <v>76.007893397366999</v>
      </c>
      <c r="V211">
        <f t="shared" si="42"/>
        <v>107</v>
      </c>
      <c r="W211" s="8">
        <f t="shared" si="44"/>
        <v>50.257033405298998</v>
      </c>
      <c r="X211" s="1">
        <f t="shared" si="51"/>
        <v>50.257033405298998</v>
      </c>
      <c r="Y211" s="18"/>
      <c r="Z211" s="7"/>
      <c r="AA211" s="1"/>
      <c r="AB211" s="1"/>
      <c r="AC211" s="1"/>
    </row>
    <row r="212" spans="1:29" x14ac:dyDescent="0.3">
      <c r="A212">
        <v>211</v>
      </c>
      <c r="E212">
        <v>-424.83702936219998</v>
      </c>
      <c r="F212">
        <v>131.99125636699</v>
      </c>
      <c r="G212">
        <v>427.20409126554</v>
      </c>
      <c r="H212">
        <v>49.631867050266003</v>
      </c>
      <c r="I212">
        <v>45.725779031198002</v>
      </c>
      <c r="J212">
        <v>76.500003194813999</v>
      </c>
      <c r="L212" s="1">
        <f t="shared" si="52"/>
        <v>3.5780142179360013</v>
      </c>
      <c r="M212">
        <f t="shared" si="53"/>
        <v>765.74566116995834</v>
      </c>
      <c r="N212">
        <f t="shared" si="45"/>
        <v>2.127071281027662</v>
      </c>
      <c r="O212">
        <f t="shared" si="46"/>
        <v>49.631867050266003</v>
      </c>
      <c r="P212">
        <f t="shared" si="47"/>
        <v>159</v>
      </c>
      <c r="Q212">
        <f t="shared" si="54"/>
        <v>102.4000861075</v>
      </c>
      <c r="R212">
        <f t="shared" si="48"/>
        <v>102.4000861075</v>
      </c>
      <c r="S212">
        <f t="shared" si="43"/>
        <v>105.67011440959949</v>
      </c>
      <c r="T212">
        <f t="shared" si="49"/>
        <v>105.67011440959949</v>
      </c>
      <c r="U212" s="3">
        <f t="shared" si="50"/>
        <v>76.500003194813999</v>
      </c>
      <c r="V212">
        <f t="shared" si="42"/>
        <v>108</v>
      </c>
      <c r="W212" s="8">
        <f t="shared" si="44"/>
        <v>50.304258727156999</v>
      </c>
      <c r="X212" s="1">
        <f t="shared" si="51"/>
        <v>50.304258727156999</v>
      </c>
      <c r="Y212" s="18"/>
      <c r="Z212" s="7"/>
      <c r="AA212" s="1"/>
      <c r="AB212" s="1"/>
      <c r="AC212" s="1"/>
    </row>
    <row r="213" spans="1:29" x14ac:dyDescent="0.3">
      <c r="A213">
        <v>212</v>
      </c>
      <c r="E213">
        <v>-424.0838011065</v>
      </c>
      <c r="F213">
        <v>129.95849081068999</v>
      </c>
      <c r="G213">
        <v>429.47940834680003</v>
      </c>
      <c r="H213">
        <v>49.547027258573003</v>
      </c>
      <c r="I213">
        <v>49.312472576914999</v>
      </c>
      <c r="J213">
        <v>76.985757292016999</v>
      </c>
      <c r="L213" s="1">
        <f t="shared" si="52"/>
        <v>3.5866935457169973</v>
      </c>
      <c r="M213">
        <f t="shared" si="53"/>
        <v>769.33235471567536</v>
      </c>
      <c r="N213">
        <f t="shared" si="45"/>
        <v>2.1370343186546537</v>
      </c>
      <c r="O213">
        <f t="shared" si="46"/>
        <v>49.547027258573003</v>
      </c>
      <c r="P213">
        <f t="shared" si="47"/>
        <v>160</v>
      </c>
      <c r="Q213">
        <f t="shared" si="54"/>
        <v>102.40116477309701</v>
      </c>
      <c r="R213">
        <f t="shared" si="48"/>
        <v>102.40116477309701</v>
      </c>
      <c r="S213">
        <f t="shared" si="43"/>
        <v>105.67075140386935</v>
      </c>
      <c r="T213">
        <f t="shared" si="49"/>
        <v>105.67075140386935</v>
      </c>
      <c r="U213" s="3">
        <f t="shared" si="50"/>
        <v>76.985757292016999</v>
      </c>
      <c r="V213">
        <f t="shared" si="42"/>
        <v>109</v>
      </c>
      <c r="W213" s="8">
        <f t="shared" si="44"/>
        <v>50.343396922337</v>
      </c>
      <c r="X213" s="1">
        <f t="shared" si="51"/>
        <v>50.343396922337</v>
      </c>
      <c r="Y213" s="18"/>
      <c r="Z213" s="7"/>
      <c r="AA213" s="1"/>
      <c r="AB213" s="1"/>
      <c r="AC213" s="1"/>
    </row>
    <row r="214" spans="1:29" x14ac:dyDescent="0.3">
      <c r="A214">
        <v>213</v>
      </c>
      <c r="E214">
        <v>-423.3225029912</v>
      </c>
      <c r="F214">
        <v>127.78319449449999</v>
      </c>
      <c r="G214">
        <v>431.61585910997002</v>
      </c>
      <c r="H214">
        <v>49.457916934883997</v>
      </c>
      <c r="I214">
        <v>52.902744769629003</v>
      </c>
      <c r="J214">
        <v>77.484928827934993</v>
      </c>
      <c r="L214" s="1">
        <f t="shared" si="52"/>
        <v>3.5902721927140036</v>
      </c>
      <c r="M214">
        <f t="shared" si="53"/>
        <v>772.92262690838936</v>
      </c>
      <c r="N214">
        <f t="shared" si="45"/>
        <v>2.1470072969677481</v>
      </c>
      <c r="O214">
        <f t="shared" si="46"/>
        <v>49.457916934883997</v>
      </c>
      <c r="P214">
        <f t="shared" si="47"/>
        <v>161</v>
      </c>
      <c r="Q214">
        <f t="shared" si="54"/>
        <v>102.38860969971699</v>
      </c>
      <c r="R214">
        <f t="shared" si="48"/>
        <v>102.38860969971699</v>
      </c>
      <c r="S214">
        <f t="shared" si="43"/>
        <v>105.66245186134981</v>
      </c>
      <c r="T214">
        <f t="shared" si="49"/>
        <v>105.66245186134981</v>
      </c>
      <c r="U214" s="3">
        <f t="shared" si="50"/>
        <v>77.484928827934993</v>
      </c>
      <c r="V214">
        <f t="shared" si="42"/>
        <v>110</v>
      </c>
      <c r="W214" s="8">
        <f t="shared" si="44"/>
        <v>50.397189080455995</v>
      </c>
      <c r="X214" s="1">
        <f t="shared" si="51"/>
        <v>50.397189080455995</v>
      </c>
      <c r="Y214" s="18"/>
      <c r="Z214" s="7"/>
      <c r="AA214" s="1"/>
      <c r="AB214" s="1"/>
      <c r="AC214" s="1"/>
    </row>
    <row r="215" spans="1:29" x14ac:dyDescent="0.3">
      <c r="A215">
        <v>214</v>
      </c>
      <c r="E215">
        <v>-422.56543345659998</v>
      </c>
      <c r="F215">
        <v>125.48276167262</v>
      </c>
      <c r="G215">
        <v>433.61857616553999</v>
      </c>
      <c r="H215">
        <v>49.380176128081999</v>
      </c>
      <c r="I215">
        <v>56.499182002331999</v>
      </c>
      <c r="J215">
        <v>77.985559507532997</v>
      </c>
      <c r="L215" s="1">
        <f t="shared" si="52"/>
        <v>3.5964372327029963</v>
      </c>
      <c r="M215">
        <f t="shared" si="53"/>
        <v>776.51906414109237</v>
      </c>
      <c r="N215">
        <f t="shared" si="45"/>
        <v>2.1569974003919232</v>
      </c>
      <c r="O215">
        <f t="shared" si="46"/>
        <v>49.380176128081999</v>
      </c>
      <c r="P215">
        <f t="shared" si="47"/>
        <v>162</v>
      </c>
      <c r="Q215">
        <f t="shared" si="54"/>
        <v>102.377481180443</v>
      </c>
      <c r="R215">
        <f t="shared" si="48"/>
        <v>102.377481180443</v>
      </c>
      <c r="S215">
        <f t="shared" si="43"/>
        <v>105.65504729715141</v>
      </c>
      <c r="T215">
        <f t="shared" si="49"/>
        <v>105.65504729715141</v>
      </c>
      <c r="U215" s="3">
        <f t="shared" si="50"/>
        <v>77.985559507532997</v>
      </c>
      <c r="V215">
        <f t="shared" si="42"/>
        <v>111</v>
      </c>
      <c r="W215" s="8">
        <f t="shared" si="44"/>
        <v>50.44859810314</v>
      </c>
      <c r="X215" s="1">
        <f t="shared" si="51"/>
        <v>50.44859810314</v>
      </c>
      <c r="Y215" s="18"/>
      <c r="Z215" s="7"/>
      <c r="AA215" s="1"/>
      <c r="AB215" s="1"/>
      <c r="AC215" s="1"/>
    </row>
    <row r="216" spans="1:29" x14ac:dyDescent="0.3">
      <c r="A216">
        <v>215</v>
      </c>
      <c r="E216">
        <v>-421.82477369959997</v>
      </c>
      <c r="F216">
        <v>123.06280096554001</v>
      </c>
      <c r="G216">
        <v>435.48175142014998</v>
      </c>
      <c r="H216">
        <v>49.313177489042999</v>
      </c>
      <c r="I216">
        <v>60.103073602498</v>
      </c>
      <c r="J216">
        <v>78.476209238221998</v>
      </c>
      <c r="L216" s="1">
        <f t="shared" si="52"/>
        <v>3.6038916001660013</v>
      </c>
      <c r="M216">
        <f t="shared" si="53"/>
        <v>780.12295574125835</v>
      </c>
      <c r="N216">
        <f t="shared" si="45"/>
        <v>2.1670082103923844</v>
      </c>
      <c r="O216">
        <f t="shared" si="46"/>
        <v>49.313177489042999</v>
      </c>
      <c r="P216">
        <f t="shared" si="47"/>
        <v>163</v>
      </c>
      <c r="Q216">
        <f t="shared" si="54"/>
        <v>102.372438606909</v>
      </c>
      <c r="R216">
        <f t="shared" si="48"/>
        <v>102.372438606909</v>
      </c>
      <c r="S216">
        <f t="shared" si="43"/>
        <v>105.64642736485033</v>
      </c>
      <c r="T216">
        <f t="shared" si="49"/>
        <v>105.64642736485033</v>
      </c>
      <c r="U216" s="3">
        <f t="shared" si="50"/>
        <v>78.476209238221998</v>
      </c>
      <c r="V216">
        <f t="shared" si="42"/>
        <v>112</v>
      </c>
      <c r="W216" s="8">
        <f t="shared" si="44"/>
        <v>50.477636159805996</v>
      </c>
      <c r="X216" s="1">
        <f t="shared" si="51"/>
        <v>50.477636159805996</v>
      </c>
      <c r="Y216" s="18"/>
      <c r="Z216" s="7"/>
      <c r="AA216" s="1"/>
      <c r="AB216" s="1"/>
      <c r="AC216" s="1"/>
    </row>
    <row r="217" spans="1:29" x14ac:dyDescent="0.3">
      <c r="A217">
        <v>216</v>
      </c>
      <c r="E217">
        <v>-421.08646346080002</v>
      </c>
      <c r="F217">
        <v>120.53659959001</v>
      </c>
      <c r="G217">
        <v>437.19907215965998</v>
      </c>
      <c r="H217">
        <v>49.261107852076002</v>
      </c>
      <c r="I217">
        <v>63.710674608543997</v>
      </c>
      <c r="J217">
        <v>78.971923815191005</v>
      </c>
      <c r="L217" s="1">
        <f t="shared" si="52"/>
        <v>3.6076010060459964</v>
      </c>
      <c r="M217">
        <f t="shared" si="53"/>
        <v>783.73055674730438</v>
      </c>
      <c r="N217">
        <f t="shared" si="45"/>
        <v>2.1770293242980676</v>
      </c>
      <c r="O217">
        <f t="shared" si="46"/>
        <v>49.261107852076002</v>
      </c>
      <c r="P217">
        <f t="shared" si="47"/>
        <v>164</v>
      </c>
      <c r="Q217">
        <f t="shared" si="54"/>
        <v>102.379540980022</v>
      </c>
      <c r="R217">
        <f t="shared" si="48"/>
        <v>102.379540980022</v>
      </c>
      <c r="S217">
        <f t="shared" si="43"/>
        <v>105.65276821411813</v>
      </c>
      <c r="T217">
        <f t="shared" si="49"/>
        <v>105.65276821411813</v>
      </c>
      <c r="U217" s="3">
        <f t="shared" si="50"/>
        <v>78.971923815191005</v>
      </c>
      <c r="V217">
        <f t="shared" si="42"/>
        <v>113</v>
      </c>
      <c r="W217" s="8">
        <f t="shared" si="44"/>
        <v>50.521954512527003</v>
      </c>
      <c r="X217" s="1">
        <f t="shared" si="51"/>
        <v>50.521954512527003</v>
      </c>
      <c r="Y217" s="18"/>
      <c r="Z217" s="7"/>
      <c r="AA217" s="1"/>
      <c r="AB217" s="1"/>
      <c r="AC217" s="1"/>
    </row>
    <row r="218" spans="1:29" x14ac:dyDescent="0.3">
      <c r="A218">
        <v>217</v>
      </c>
      <c r="E218">
        <v>-420.35136665620001</v>
      </c>
      <c r="F218">
        <v>117.90896074472001</v>
      </c>
      <c r="G218">
        <v>438.75830972968998</v>
      </c>
      <c r="H218">
        <v>49.216689252948001</v>
      </c>
      <c r="I218">
        <v>67.320960655449994</v>
      </c>
      <c r="J218">
        <v>79.473016951526006</v>
      </c>
      <c r="L218" s="1">
        <f t="shared" si="52"/>
        <v>3.6102860469059976</v>
      </c>
      <c r="M218">
        <f t="shared" si="53"/>
        <v>787.3408427942104</v>
      </c>
      <c r="N218">
        <f t="shared" si="45"/>
        <v>2.1870578966505843</v>
      </c>
      <c r="O218">
        <f t="shared" si="46"/>
        <v>49.216689252948001</v>
      </c>
      <c r="P218">
        <f t="shared" si="47"/>
        <v>165</v>
      </c>
      <c r="Q218">
        <f t="shared" si="54"/>
        <v>102.38357808285599</v>
      </c>
      <c r="R218">
        <f t="shared" si="48"/>
        <v>102.38357808285599</v>
      </c>
      <c r="S218">
        <f t="shared" si="43"/>
        <v>105.65842290133797</v>
      </c>
      <c r="T218">
        <f t="shared" si="49"/>
        <v>105.65842290133797</v>
      </c>
      <c r="U218" s="3">
        <f t="shared" si="50"/>
        <v>79.473016951526006</v>
      </c>
      <c r="V218">
        <f t="shared" si="42"/>
        <v>114</v>
      </c>
      <c r="W218" s="8">
        <f t="shared" si="44"/>
        <v>50.564496414509009</v>
      </c>
      <c r="X218" s="1">
        <f t="shared" si="51"/>
        <v>50.564496414509009</v>
      </c>
      <c r="Y218" s="18"/>
      <c r="Z218" s="7"/>
      <c r="AA218" s="1"/>
      <c r="AB218" s="1"/>
      <c r="AC218" s="1"/>
    </row>
    <row r="219" spans="1:29" x14ac:dyDescent="0.3">
      <c r="A219">
        <v>218</v>
      </c>
      <c r="E219">
        <v>-419.63197787920001</v>
      </c>
      <c r="F219">
        <v>115.18284756190999</v>
      </c>
      <c r="G219">
        <v>440.14641078374001</v>
      </c>
      <c r="H219">
        <v>49.16987894263</v>
      </c>
      <c r="I219">
        <v>70.935651336343994</v>
      </c>
      <c r="J219">
        <v>79.968210473529993</v>
      </c>
      <c r="L219" s="1">
        <f t="shared" si="52"/>
        <v>3.6146906808940003</v>
      </c>
      <c r="M219">
        <f t="shared" si="53"/>
        <v>790.9555334751044</v>
      </c>
      <c r="N219">
        <f t="shared" si="45"/>
        <v>2.1970987040975123</v>
      </c>
      <c r="O219">
        <f t="shared" si="46"/>
        <v>49.16987894263</v>
      </c>
      <c r="P219">
        <f t="shared" si="47"/>
        <v>166</v>
      </c>
      <c r="Q219">
        <f t="shared" si="54"/>
        <v>102.384199109977</v>
      </c>
      <c r="R219">
        <f t="shared" si="48"/>
        <v>102.384199109977</v>
      </c>
      <c r="S219">
        <f t="shared" si="43"/>
        <v>105.65579323344811</v>
      </c>
      <c r="T219">
        <f t="shared" si="49"/>
        <v>105.65579323344811</v>
      </c>
      <c r="U219" s="3">
        <f t="shared" si="50"/>
        <v>79.968210473529993</v>
      </c>
      <c r="V219">
        <f t="shared" si="42"/>
        <v>115</v>
      </c>
      <c r="W219" s="8">
        <f t="shared" si="44"/>
        <v>50.594016215900993</v>
      </c>
      <c r="X219" s="1">
        <f t="shared" si="51"/>
        <v>50.594016215900993</v>
      </c>
      <c r="Y219" s="18"/>
      <c r="Z219" s="7"/>
      <c r="AA219" s="1"/>
      <c r="AB219" s="1"/>
      <c r="AC219" s="1"/>
    </row>
    <row r="220" spans="1:29" x14ac:dyDescent="0.3">
      <c r="A220">
        <v>219</v>
      </c>
      <c r="E220">
        <v>-418.93772865120002</v>
      </c>
      <c r="F220">
        <v>112.37182292785</v>
      </c>
      <c r="G220">
        <v>441.36803900906</v>
      </c>
      <c r="H220">
        <v>49.131097644394998</v>
      </c>
      <c r="I220">
        <v>74.556423082506001</v>
      </c>
      <c r="J220">
        <v>80.448284406409996</v>
      </c>
      <c r="L220" s="1">
        <f t="shared" si="52"/>
        <v>3.6207717461620064</v>
      </c>
      <c r="M220">
        <f t="shared" si="53"/>
        <v>794.57630522126647</v>
      </c>
      <c r="N220">
        <f t="shared" si="45"/>
        <v>2.2071564033924069</v>
      </c>
      <c r="O220">
        <f t="shared" si="46"/>
        <v>49.131097644394998</v>
      </c>
      <c r="P220">
        <f t="shared" si="47"/>
        <v>167</v>
      </c>
      <c r="Q220">
        <f t="shared" si="54"/>
        <v>102.375022985559</v>
      </c>
      <c r="R220">
        <f t="shared" si="48"/>
        <v>102.375022985559</v>
      </c>
      <c r="S220">
        <f t="shared" si="43"/>
        <v>105.64108186939714</v>
      </c>
      <c r="T220">
        <f t="shared" si="49"/>
        <v>105.64108186939714</v>
      </c>
      <c r="U220" s="3">
        <f t="shared" si="50"/>
        <v>80.448284406409996</v>
      </c>
      <c r="V220">
        <f t="shared" si="42"/>
        <v>116</v>
      </c>
      <c r="W220" s="8">
        <f t="shared" si="44"/>
        <v>50.602549363479994</v>
      </c>
      <c r="X220" s="1">
        <f t="shared" si="51"/>
        <v>50.602549363479994</v>
      </c>
      <c r="Y220" s="18"/>
      <c r="Z220" s="7"/>
      <c r="AA220" s="1"/>
      <c r="AB220" s="1"/>
      <c r="AC220" s="1"/>
    </row>
    <row r="221" spans="1:29" x14ac:dyDescent="0.3">
      <c r="A221">
        <v>220</v>
      </c>
      <c r="E221">
        <v>-418.24099654539998</v>
      </c>
      <c r="F221">
        <v>109.49176496539</v>
      </c>
      <c r="G221">
        <v>442.41499685477999</v>
      </c>
      <c r="H221">
        <v>49.101196693348001</v>
      </c>
      <c r="I221">
        <v>78.177349662615995</v>
      </c>
      <c r="J221">
        <v>80.942047636965</v>
      </c>
      <c r="L221" s="1">
        <f t="shared" si="52"/>
        <v>3.6209265801099946</v>
      </c>
      <c r="M221">
        <f t="shared" si="53"/>
        <v>798.19723180137646</v>
      </c>
      <c r="N221">
        <f t="shared" si="45"/>
        <v>2.2172145327816013</v>
      </c>
      <c r="O221">
        <f t="shared" si="46"/>
        <v>49.101196693348001</v>
      </c>
      <c r="P221">
        <f t="shared" si="47"/>
        <v>168</v>
      </c>
      <c r="Q221">
        <f t="shared" si="54"/>
        <v>102.368995331522</v>
      </c>
      <c r="R221">
        <f t="shared" si="48"/>
        <v>102.368995331522</v>
      </c>
      <c r="S221">
        <f t="shared" si="43"/>
        <v>105.63155944416457</v>
      </c>
      <c r="T221">
        <f t="shared" si="49"/>
        <v>105.63155944416457</v>
      </c>
      <c r="U221" s="3">
        <f t="shared" si="50"/>
        <v>80.942047636965</v>
      </c>
      <c r="V221">
        <f t="shared" si="42"/>
        <v>117</v>
      </c>
      <c r="W221" s="8">
        <f t="shared" si="44"/>
        <v>50.626842964982004</v>
      </c>
      <c r="X221" s="1">
        <f t="shared" si="51"/>
        <v>50.626842964982004</v>
      </c>
      <c r="Y221" s="18"/>
      <c r="Z221" s="7"/>
      <c r="AA221" s="1"/>
      <c r="AB221" s="1"/>
      <c r="AC221" s="1"/>
    </row>
    <row r="222" spans="1:29" x14ac:dyDescent="0.3">
      <c r="A222">
        <v>221</v>
      </c>
      <c r="E222">
        <v>-417.55252413519997</v>
      </c>
      <c r="F222">
        <v>106.55086081354</v>
      </c>
      <c r="G222">
        <v>443.28259756223002</v>
      </c>
      <c r="H222">
        <v>49.077886601133002</v>
      </c>
      <c r="I222">
        <v>81.799494055419999</v>
      </c>
      <c r="J222">
        <v>81.439507058450005</v>
      </c>
      <c r="L222" s="1">
        <f t="shared" si="52"/>
        <v>3.6221443928040031</v>
      </c>
      <c r="M222">
        <f t="shared" si="53"/>
        <v>801.81937619418045</v>
      </c>
      <c r="N222">
        <f t="shared" si="45"/>
        <v>2.2272760449838347</v>
      </c>
      <c r="O222">
        <f t="shared" si="46"/>
        <v>49.077886601133002</v>
      </c>
      <c r="P222">
        <f t="shared" si="47"/>
        <v>170</v>
      </c>
      <c r="Q222">
        <f t="shared" si="54"/>
        <v>102.37543524972901</v>
      </c>
      <c r="R222">
        <f t="shared" si="48"/>
        <v>102.37543524972901</v>
      </c>
      <c r="S222">
        <f t="shared" si="43"/>
        <v>105.5581231892768</v>
      </c>
      <c r="T222">
        <f t="shared" si="49"/>
        <v>105.5581231892768</v>
      </c>
      <c r="U222" s="3">
        <f t="shared" si="50"/>
        <v>81.439507058450005</v>
      </c>
      <c r="V222">
        <f t="shared" si="42"/>
        <v>118</v>
      </c>
      <c r="W222" s="8">
        <f t="shared" si="44"/>
        <v>50.654688938404007</v>
      </c>
      <c r="X222" s="1">
        <f t="shared" si="51"/>
        <v>50.654688938404007</v>
      </c>
      <c r="Y222" s="18"/>
      <c r="Z222" s="7"/>
      <c r="AA222" s="1"/>
      <c r="AB222" s="1"/>
      <c r="AC222" s="1"/>
    </row>
    <row r="223" spans="1:29" x14ac:dyDescent="0.3">
      <c r="A223">
        <v>222</v>
      </c>
      <c r="E223">
        <v>-416.88165919739998</v>
      </c>
      <c r="F223">
        <v>103.55891049170999</v>
      </c>
      <c r="G223">
        <v>443.97133832576998</v>
      </c>
      <c r="H223">
        <v>49.064050175458</v>
      </c>
      <c r="I223">
        <v>85.424158614172001</v>
      </c>
      <c r="J223">
        <v>81.931708252782997</v>
      </c>
      <c r="L223" s="1">
        <f t="shared" si="52"/>
        <v>3.6246645587520021</v>
      </c>
      <c r="M223">
        <f t="shared" si="53"/>
        <v>805.44404075293244</v>
      </c>
      <c r="N223">
        <f t="shared" si="45"/>
        <v>2.2373445576470345</v>
      </c>
      <c r="O223">
        <f t="shared" si="46"/>
        <v>49.064050175458</v>
      </c>
      <c r="P223">
        <f t="shared" si="47"/>
        <v>171</v>
      </c>
      <c r="Q223">
        <f t="shared" si="54"/>
        <v>102.36222058298199</v>
      </c>
      <c r="R223">
        <f t="shared" si="48"/>
        <v>102.36222058298199</v>
      </c>
      <c r="S223">
        <f t="shared" si="43"/>
        <v>105.54750603230717</v>
      </c>
      <c r="T223">
        <f t="shared" si="49"/>
        <v>105.54750603230717</v>
      </c>
      <c r="U223" s="3">
        <f t="shared" si="50"/>
        <v>81.931708252782997</v>
      </c>
      <c r="V223">
        <f t="shared" si="42"/>
        <v>119</v>
      </c>
      <c r="W223" s="8">
        <f t="shared" si="44"/>
        <v>50.661535747609996</v>
      </c>
      <c r="X223" s="1">
        <f t="shared" si="51"/>
        <v>50.661535747609996</v>
      </c>
      <c r="Y223" s="18"/>
      <c r="Z223" s="7"/>
      <c r="AA223" s="1"/>
      <c r="AB223" s="1"/>
      <c r="AC223" s="1"/>
    </row>
    <row r="224" spans="1:29" x14ac:dyDescent="0.3">
      <c r="A224">
        <v>223</v>
      </c>
      <c r="E224">
        <v>-416.22786723079997</v>
      </c>
      <c r="F224">
        <v>100.52518415458</v>
      </c>
      <c r="G224">
        <v>444.46652996748003</v>
      </c>
      <c r="H224">
        <v>49.047879522812003</v>
      </c>
      <c r="I224">
        <v>89.050498420850005</v>
      </c>
      <c r="J224">
        <v>82.420735223031002</v>
      </c>
      <c r="L224" s="1">
        <f t="shared" si="52"/>
        <v>3.6263398066780042</v>
      </c>
      <c r="M224">
        <f t="shared" si="53"/>
        <v>809.07038055961038</v>
      </c>
      <c r="N224">
        <f t="shared" si="45"/>
        <v>2.2474177237766955</v>
      </c>
      <c r="O224">
        <f t="shared" si="46"/>
        <v>49.047879522812003</v>
      </c>
      <c r="P224">
        <f t="shared" si="47"/>
        <v>172</v>
      </c>
      <c r="Q224">
        <f t="shared" si="54"/>
        <v>102.354534366938</v>
      </c>
      <c r="R224">
        <f t="shared" si="48"/>
        <v>102.354534366938</v>
      </c>
      <c r="S224">
        <f t="shared" si="43"/>
        <v>105.54062082881948</v>
      </c>
      <c r="T224">
        <f t="shared" si="49"/>
        <v>105.54062082881948</v>
      </c>
      <c r="U224" s="3">
        <f t="shared" si="50"/>
        <v>82.420735223031002</v>
      </c>
      <c r="V224">
        <f t="shared" si="42"/>
        <v>120</v>
      </c>
      <c r="W224" s="8">
        <f t="shared" si="44"/>
        <v>50.670777462102002</v>
      </c>
      <c r="X224" s="1">
        <f t="shared" si="51"/>
        <v>50.670777462102002</v>
      </c>
      <c r="Y224" s="18"/>
      <c r="Z224" s="7"/>
      <c r="AA224" s="1"/>
      <c r="AB224" s="1"/>
      <c r="AC224" s="1"/>
    </row>
    <row r="225" spans="1:29" x14ac:dyDescent="0.3">
      <c r="A225">
        <v>224</v>
      </c>
      <c r="E225">
        <v>-415.59125057770001</v>
      </c>
      <c r="F225">
        <v>97.464460776839999</v>
      </c>
      <c r="G225">
        <v>444.78686396120997</v>
      </c>
      <c r="H225">
        <v>49.050514968624</v>
      </c>
      <c r="I225">
        <v>92.678108808887998</v>
      </c>
      <c r="J225">
        <v>82.905584070979998</v>
      </c>
      <c r="L225" s="1">
        <f t="shared" si="52"/>
        <v>3.6276103880379935</v>
      </c>
      <c r="M225">
        <f t="shared" si="53"/>
        <v>812.69799094764835</v>
      </c>
      <c r="N225">
        <f t="shared" si="45"/>
        <v>2.2574944192990234</v>
      </c>
      <c r="O225">
        <f t="shared" si="46"/>
        <v>49.050514968624</v>
      </c>
      <c r="P225">
        <f t="shared" si="47"/>
        <v>173</v>
      </c>
      <c r="Q225">
        <f t="shared" si="54"/>
        <v>102.35765993494201</v>
      </c>
      <c r="R225">
        <f t="shared" si="48"/>
        <v>102.35765993494201</v>
      </c>
      <c r="S225">
        <f t="shared" si="43"/>
        <v>105.54209305514595</v>
      </c>
      <c r="T225">
        <f t="shared" si="49"/>
        <v>105.54209305514595</v>
      </c>
      <c r="U225" s="3">
        <f t="shared" si="50"/>
        <v>82.905584070979998</v>
      </c>
      <c r="V225">
        <f t="shared" si="42"/>
        <v>121</v>
      </c>
      <c r="W225" s="8">
        <f t="shared" si="44"/>
        <v>50.676174668763998</v>
      </c>
      <c r="X225" s="1">
        <f t="shared" si="51"/>
        <v>50.676174668763998</v>
      </c>
      <c r="Y225" s="18"/>
      <c r="Z225" s="7"/>
      <c r="AA225" s="1"/>
      <c r="AB225" s="1"/>
      <c r="AC225" s="1"/>
    </row>
    <row r="226" spans="1:29" x14ac:dyDescent="0.3">
      <c r="A226">
        <v>225</v>
      </c>
      <c r="E226">
        <v>-414.9571622062</v>
      </c>
      <c r="F226">
        <v>94.389270699772993</v>
      </c>
      <c r="G226">
        <v>444.91624284823001</v>
      </c>
      <c r="H226">
        <v>49.058451042865002</v>
      </c>
      <c r="I226">
        <v>96.303001098902996</v>
      </c>
      <c r="J226">
        <v>83.402638840503997</v>
      </c>
      <c r="L226" s="1">
        <f t="shared" si="52"/>
        <v>3.6248922900149978</v>
      </c>
      <c r="M226">
        <f t="shared" si="53"/>
        <v>816.32288323766329</v>
      </c>
      <c r="N226">
        <f t="shared" si="45"/>
        <v>2.2675635645490648</v>
      </c>
      <c r="O226">
        <f t="shared" si="46"/>
        <v>49.058451042865002</v>
      </c>
      <c r="P226">
        <f t="shared" si="47"/>
        <v>174</v>
      </c>
      <c r="Q226">
        <f t="shared" si="54"/>
        <v>102.350576856942</v>
      </c>
      <c r="R226">
        <f t="shared" si="48"/>
        <v>102.350576856942</v>
      </c>
      <c r="S226">
        <f t="shared" si="43"/>
        <v>105.53478466000453</v>
      </c>
      <c r="T226">
        <f t="shared" si="49"/>
        <v>105.53478466000453</v>
      </c>
      <c r="U226" s="3">
        <f t="shared" si="50"/>
        <v>83.402638840503997</v>
      </c>
      <c r="V226">
        <f t="shared" si="42"/>
        <v>122</v>
      </c>
      <c r="W226" s="8">
        <f t="shared" si="44"/>
        <v>50.680281219927998</v>
      </c>
      <c r="X226" s="1">
        <f t="shared" si="51"/>
        <v>50.680281219927998</v>
      </c>
      <c r="Y226" s="18"/>
      <c r="Z226" s="7"/>
      <c r="AA226" s="1"/>
      <c r="AB226" s="1"/>
      <c r="AC226" s="1"/>
    </row>
    <row r="227" spans="1:29" x14ac:dyDescent="0.3">
      <c r="A227">
        <v>226</v>
      </c>
      <c r="E227">
        <v>-414.33642571579998</v>
      </c>
      <c r="F227">
        <v>91.309155371293997</v>
      </c>
      <c r="G227">
        <v>444.85448579745997</v>
      </c>
      <c r="H227">
        <v>49.070983672905001</v>
      </c>
      <c r="I227">
        <v>99.926896995394998</v>
      </c>
      <c r="J227">
        <v>83.901519165207006</v>
      </c>
      <c r="L227" s="1">
        <f t="shared" si="52"/>
        <v>3.6238958964920016</v>
      </c>
      <c r="M227">
        <f t="shared" si="53"/>
        <v>819.94677913415535</v>
      </c>
      <c r="N227">
        <f t="shared" si="45"/>
        <v>2.2776299420393205</v>
      </c>
      <c r="O227">
        <f t="shared" si="46"/>
        <v>49.070983672905001</v>
      </c>
      <c r="P227">
        <f t="shared" si="47"/>
        <v>175</v>
      </c>
      <c r="Q227">
        <f t="shared" si="54"/>
        <v>102.334624682168</v>
      </c>
      <c r="R227">
        <f t="shared" si="48"/>
        <v>102.334624682168</v>
      </c>
      <c r="S227">
        <f t="shared" si="43"/>
        <v>105.51809846733865</v>
      </c>
      <c r="T227">
        <f t="shared" si="49"/>
        <v>105.51809846733865</v>
      </c>
      <c r="U227" s="3">
        <f t="shared" si="50"/>
        <v>83.901519165207006</v>
      </c>
      <c r="V227">
        <f t="shared" si="42"/>
        <v>123</v>
      </c>
      <c r="W227" s="8">
        <f t="shared" si="44"/>
        <v>50.702622015812004</v>
      </c>
      <c r="X227" s="1">
        <f t="shared" si="51"/>
        <v>50.702622015812004</v>
      </c>
      <c r="Y227" s="18"/>
      <c r="Z227" s="7"/>
      <c r="AA227" s="1"/>
      <c r="AB227" s="1"/>
      <c r="AC227" s="1"/>
    </row>
    <row r="228" spans="1:29" x14ac:dyDescent="0.3">
      <c r="A228">
        <v>227</v>
      </c>
      <c r="E228">
        <v>-413.73404252829999</v>
      </c>
      <c r="F228">
        <v>88.234059945322002</v>
      </c>
      <c r="G228">
        <v>444.61694497649</v>
      </c>
      <c r="H228">
        <v>49.102972975246999</v>
      </c>
      <c r="I228">
        <v>103.5495929491</v>
      </c>
      <c r="J228">
        <v>84.396414457193003</v>
      </c>
      <c r="L228" s="1">
        <f t="shared" si="52"/>
        <v>3.622695953705005</v>
      </c>
      <c r="M228">
        <f t="shared" si="53"/>
        <v>823.56947508786038</v>
      </c>
      <c r="N228">
        <f t="shared" si="45"/>
        <v>2.2876929863551676</v>
      </c>
      <c r="O228">
        <f t="shared" si="46"/>
        <v>49.102972975246999</v>
      </c>
      <c r="P228">
        <f t="shared" si="47"/>
        <v>176</v>
      </c>
      <c r="Q228">
        <f t="shared" si="54"/>
        <v>102.336904826596</v>
      </c>
      <c r="R228">
        <f t="shared" si="48"/>
        <v>102.336904826596</v>
      </c>
      <c r="S228">
        <f t="shared" si="43"/>
        <v>105.51667423662067</v>
      </c>
      <c r="T228">
        <f t="shared" si="49"/>
        <v>105.51667423662067</v>
      </c>
      <c r="U228" s="3">
        <f t="shared" si="50"/>
        <v>84.396414457193003</v>
      </c>
      <c r="V228">
        <f t="shared" si="42"/>
        <v>124</v>
      </c>
      <c r="W228" s="8">
        <f t="shared" si="44"/>
        <v>50.725599074580003</v>
      </c>
      <c r="X228" s="1">
        <f t="shared" si="51"/>
        <v>50.725599074580003</v>
      </c>
      <c r="Y228" s="18"/>
      <c r="Z228" s="7"/>
      <c r="AA228" s="1"/>
      <c r="AB228" s="1"/>
      <c r="AC228" s="1"/>
    </row>
    <row r="229" spans="1:29" x14ac:dyDescent="0.3">
      <c r="A229">
        <v>228</v>
      </c>
      <c r="E229">
        <v>-413.14814080069999</v>
      </c>
      <c r="F229">
        <v>85.175837552472998</v>
      </c>
      <c r="G229">
        <v>444.19204280500003</v>
      </c>
      <c r="H229">
        <v>49.142261362147003</v>
      </c>
      <c r="I229">
        <v>107.16989111581999</v>
      </c>
      <c r="J229">
        <v>84.890595463850005</v>
      </c>
      <c r="L229" s="1">
        <f t="shared" si="52"/>
        <v>3.6202981667199907</v>
      </c>
      <c r="M229">
        <f t="shared" si="53"/>
        <v>827.18977325458036</v>
      </c>
      <c r="N229">
        <f t="shared" si="45"/>
        <v>2.2977493701516121</v>
      </c>
      <c r="O229">
        <f t="shared" si="46"/>
        <v>49.142261362147003</v>
      </c>
      <c r="P229">
        <f t="shared" si="47"/>
        <v>177</v>
      </c>
      <c r="Q229">
        <f t="shared" si="54"/>
        <v>102.347473828746</v>
      </c>
      <c r="R229">
        <f t="shared" si="48"/>
        <v>102.347473828746</v>
      </c>
      <c r="S229">
        <f t="shared" si="43"/>
        <v>105.52526603369277</v>
      </c>
      <c r="T229">
        <f t="shared" si="49"/>
        <v>105.52526603369277</v>
      </c>
      <c r="U229" s="3">
        <f t="shared" si="50"/>
        <v>84.890595463850005</v>
      </c>
      <c r="V229">
        <f t="shared" si="42"/>
        <v>125</v>
      </c>
      <c r="W229" s="8">
        <f t="shared" si="44"/>
        <v>50.744082928209004</v>
      </c>
      <c r="X229" s="1">
        <f t="shared" si="51"/>
        <v>50.744082928209004</v>
      </c>
      <c r="Y229" s="18"/>
      <c r="Z229" s="7"/>
      <c r="AA229" s="1"/>
      <c r="AB229" s="1"/>
      <c r="AC229" s="1"/>
    </row>
    <row r="230" spans="1:29" x14ac:dyDescent="0.3">
      <c r="A230">
        <v>229</v>
      </c>
      <c r="E230">
        <v>-412.58962991879997</v>
      </c>
      <c r="F230">
        <v>82.144114762982994</v>
      </c>
      <c r="G230">
        <v>443.58147533894999</v>
      </c>
      <c r="H230">
        <v>49.188480545456002</v>
      </c>
      <c r="I230">
        <v>110.78891775547</v>
      </c>
      <c r="J230">
        <v>85.373449354398005</v>
      </c>
      <c r="L230" s="1">
        <f t="shared" si="52"/>
        <v>3.6190266396500022</v>
      </c>
      <c r="M230">
        <f t="shared" si="53"/>
        <v>830.80879989423033</v>
      </c>
      <c r="N230">
        <f t="shared" si="45"/>
        <v>2.3078022219284176</v>
      </c>
      <c r="O230">
        <f t="shared" si="46"/>
        <v>49.188480545456002</v>
      </c>
      <c r="P230">
        <f t="shared" si="47"/>
        <v>178</v>
      </c>
      <c r="Q230">
        <f t="shared" si="54"/>
        <v>102.359276156752</v>
      </c>
      <c r="R230">
        <f t="shared" si="48"/>
        <v>102.359276156752</v>
      </c>
      <c r="S230">
        <f t="shared" si="43"/>
        <v>105.53103146970656</v>
      </c>
      <c r="T230">
        <f t="shared" si="49"/>
        <v>105.53103146970656</v>
      </c>
      <c r="U230" s="3">
        <f t="shared" si="50"/>
        <v>85.373449354398005</v>
      </c>
      <c r="V230">
        <f t="shared" si="42"/>
        <v>126</v>
      </c>
      <c r="W230" s="8">
        <f t="shared" si="44"/>
        <v>50.737080662014002</v>
      </c>
      <c r="X230" s="1">
        <f t="shared" si="51"/>
        <v>50.737080662014002</v>
      </c>
      <c r="Y230" s="18"/>
      <c r="Z230" s="7"/>
      <c r="AA230" s="1"/>
      <c r="AB230" s="1"/>
      <c r="AC230" s="1"/>
    </row>
    <row r="231" spans="1:29" x14ac:dyDescent="0.3">
      <c r="A231">
        <v>230</v>
      </c>
      <c r="E231">
        <v>-412.04660404809999</v>
      </c>
      <c r="F231">
        <v>79.151317164781005</v>
      </c>
      <c r="G231">
        <v>442.79118820291001</v>
      </c>
      <c r="H231">
        <v>49.246169216558002</v>
      </c>
      <c r="I231">
        <v>114.40383606165</v>
      </c>
      <c r="J231">
        <v>85.856858737306993</v>
      </c>
      <c r="L231" s="1">
        <f t="shared" si="52"/>
        <v>3.6149183061800017</v>
      </c>
      <c r="M231">
        <f t="shared" si="53"/>
        <v>834.42371820041035</v>
      </c>
      <c r="N231">
        <f t="shared" si="45"/>
        <v>2.3178436616678066</v>
      </c>
      <c r="O231">
        <f t="shared" si="46"/>
        <v>49.246169216558002</v>
      </c>
      <c r="P231">
        <f t="shared" si="47"/>
        <v>179</v>
      </c>
      <c r="Q231">
        <f t="shared" si="54"/>
        <v>102.37585179421001</v>
      </c>
      <c r="R231">
        <f t="shared" si="48"/>
        <v>102.37585179421001</v>
      </c>
      <c r="S231">
        <f t="shared" si="43"/>
        <v>105.54307840171498</v>
      </c>
      <c r="T231">
        <f t="shared" si="49"/>
        <v>105.54307840171498</v>
      </c>
      <c r="U231" s="3">
        <f t="shared" si="50"/>
        <v>85.856858737306993</v>
      </c>
      <c r="V231">
        <f t="shared" si="42"/>
        <v>127</v>
      </c>
      <c r="W231" s="8">
        <f t="shared" si="44"/>
        <v>50.723762169236991</v>
      </c>
      <c r="X231" s="1">
        <f t="shared" si="51"/>
        <v>50.723762169236991</v>
      </c>
      <c r="Y231" s="18"/>
      <c r="Z231" s="7"/>
      <c r="AA231" s="1"/>
      <c r="AB231" s="1"/>
      <c r="AC231" s="1"/>
    </row>
    <row r="232" spans="1:29" x14ac:dyDescent="0.3">
      <c r="A232">
        <v>231</v>
      </c>
      <c r="E232">
        <v>-411.51925436350001</v>
      </c>
      <c r="F232">
        <v>76.218746473745995</v>
      </c>
      <c r="G232">
        <v>441.79151488188</v>
      </c>
      <c r="H232">
        <v>49.281201278722001</v>
      </c>
      <c r="I232">
        <v>118.01530437418</v>
      </c>
      <c r="J232">
        <v>86.343871067698004</v>
      </c>
      <c r="L232" s="1">
        <f t="shared" si="52"/>
        <v>3.6114683125300076</v>
      </c>
      <c r="M232">
        <f t="shared" si="53"/>
        <v>838.0351865129403</v>
      </c>
      <c r="N232">
        <f t="shared" si="45"/>
        <v>2.327875518091501</v>
      </c>
      <c r="O232">
        <f t="shared" si="46"/>
        <v>49.281201278722001</v>
      </c>
      <c r="P232">
        <f t="shared" si="47"/>
        <v>180</v>
      </c>
      <c r="Q232">
        <f t="shared" si="54"/>
        <v>102.349744367632</v>
      </c>
      <c r="R232">
        <f t="shared" si="48"/>
        <v>102.349744367632</v>
      </c>
      <c r="S232">
        <f t="shared" si="43"/>
        <v>105.51134873539657</v>
      </c>
      <c r="T232">
        <f t="shared" si="49"/>
        <v>105.51134873539657</v>
      </c>
      <c r="U232" s="3">
        <f t="shared" si="50"/>
        <v>86.343871067698004</v>
      </c>
      <c r="V232">
        <f t="shared" si="42"/>
        <v>128</v>
      </c>
      <c r="W232" s="8">
        <f t="shared" si="44"/>
        <v>50.723014348908002</v>
      </c>
      <c r="X232" s="1">
        <f t="shared" si="51"/>
        <v>50.723014348908002</v>
      </c>
      <c r="Y232" s="18"/>
      <c r="Z232" s="7"/>
      <c r="AA232" s="1"/>
      <c r="AB232" s="1"/>
      <c r="AC232" s="1"/>
    </row>
    <row r="233" spans="1:29" x14ac:dyDescent="0.3">
      <c r="A233">
        <v>232</v>
      </c>
      <c r="E233">
        <v>-411.00171042229999</v>
      </c>
      <c r="F233">
        <v>73.344212234094002</v>
      </c>
      <c r="G233">
        <v>440.63155646697999</v>
      </c>
      <c r="H233">
        <v>49.341079285928998</v>
      </c>
      <c r="I233">
        <v>121.62165141394</v>
      </c>
      <c r="J233">
        <v>86.836308534035993</v>
      </c>
      <c r="L233" s="1">
        <f t="shared" si="52"/>
        <v>3.6063470397599957</v>
      </c>
      <c r="M233">
        <f t="shared" si="53"/>
        <v>841.64153355270025</v>
      </c>
      <c r="N233">
        <f t="shared" si="45"/>
        <v>2.3378931487575008</v>
      </c>
      <c r="O233">
        <f t="shared" si="46"/>
        <v>49.341079285928998</v>
      </c>
      <c r="P233">
        <f t="shared" si="47"/>
        <v>181</v>
      </c>
      <c r="Q233">
        <f t="shared" si="54"/>
        <v>102.35545967418901</v>
      </c>
      <c r="R233">
        <f t="shared" si="48"/>
        <v>102.35545967418901</v>
      </c>
      <c r="S233">
        <f t="shared" si="43"/>
        <v>105.51135472636018</v>
      </c>
      <c r="T233">
        <f t="shared" si="49"/>
        <v>105.51135472636018</v>
      </c>
      <c r="U233" s="3">
        <f t="shared" si="50"/>
        <v>86.836308534035993</v>
      </c>
      <c r="V233">
        <f t="shared" si="42"/>
        <v>129</v>
      </c>
      <c r="W233" s="8">
        <f t="shared" si="44"/>
        <v>50.71017972872199</v>
      </c>
      <c r="X233" s="1">
        <f t="shared" si="51"/>
        <v>50.71017972872199</v>
      </c>
      <c r="Y233" s="18"/>
      <c r="Z233" s="7"/>
      <c r="AA233" s="1"/>
      <c r="AB233" s="1"/>
      <c r="AC233" s="1"/>
    </row>
    <row r="234" spans="1:29" x14ac:dyDescent="0.3">
      <c r="A234">
        <v>233</v>
      </c>
      <c r="E234">
        <v>-410.51293068960001</v>
      </c>
      <c r="F234">
        <v>70.536175761230993</v>
      </c>
      <c r="G234">
        <v>439.30805930062002</v>
      </c>
      <c r="H234">
        <v>49.417918421098001</v>
      </c>
      <c r="I234">
        <v>125.22477992052001</v>
      </c>
      <c r="J234">
        <v>87.315891475282001</v>
      </c>
      <c r="L234" s="1">
        <f t="shared" si="52"/>
        <v>3.6031285065800063</v>
      </c>
      <c r="M234">
        <f t="shared" si="53"/>
        <v>845.24466205928024</v>
      </c>
      <c r="N234">
        <f t="shared" si="45"/>
        <v>2.3479018390535562</v>
      </c>
      <c r="O234">
        <f t="shared" si="46"/>
        <v>49.417918421098001</v>
      </c>
      <c r="P234">
        <f t="shared" si="47"/>
        <v>183</v>
      </c>
      <c r="Q234">
        <f t="shared" si="54"/>
        <v>102.295765170679</v>
      </c>
      <c r="R234">
        <f t="shared" si="48"/>
        <v>102.295765170679</v>
      </c>
      <c r="S234">
        <f t="shared" si="43"/>
        <v>105.36868293654577</v>
      </c>
      <c r="T234">
        <f t="shared" si="49"/>
        <v>105.36868293654577</v>
      </c>
      <c r="U234" s="3">
        <f t="shared" si="50"/>
        <v>87.315891475282001</v>
      </c>
      <c r="V234">
        <f t="shared" si="42"/>
        <v>130</v>
      </c>
      <c r="W234" s="8">
        <f t="shared" si="44"/>
        <v>50.686436719314003</v>
      </c>
      <c r="X234" s="1">
        <f t="shared" si="51"/>
        <v>50.686436719314003</v>
      </c>
      <c r="Y234" s="18"/>
      <c r="Z234" s="7"/>
      <c r="AA234" s="1"/>
      <c r="AB234" s="1"/>
      <c r="AC234" s="1"/>
    </row>
    <row r="235" spans="1:29" x14ac:dyDescent="0.3">
      <c r="A235">
        <v>234</v>
      </c>
      <c r="E235">
        <v>-410.03429610299997</v>
      </c>
      <c r="F235">
        <v>67.807554844156996</v>
      </c>
      <c r="G235">
        <v>437.82473507295998</v>
      </c>
      <c r="H235">
        <v>49.511108563519002</v>
      </c>
      <c r="I235">
        <v>128.81996093198001</v>
      </c>
      <c r="J235">
        <v>87.801387581553001</v>
      </c>
      <c r="L235" s="1">
        <f t="shared" si="52"/>
        <v>3.5951810114599994</v>
      </c>
      <c r="M235">
        <f t="shared" si="53"/>
        <v>848.83984307074024</v>
      </c>
      <c r="N235">
        <f t="shared" si="45"/>
        <v>2.3578884529742785</v>
      </c>
      <c r="O235">
        <f t="shared" si="46"/>
        <v>49.511108563519002</v>
      </c>
      <c r="P235">
        <f t="shared" si="47"/>
        <v>184</v>
      </c>
      <c r="Q235">
        <f t="shared" si="54"/>
        <v>102.30175377459099</v>
      </c>
      <c r="R235">
        <f t="shared" si="48"/>
        <v>102.30175377459099</v>
      </c>
      <c r="S235">
        <f t="shared" si="43"/>
        <v>105.37162270230334</v>
      </c>
      <c r="T235">
        <f t="shared" si="49"/>
        <v>105.37162270230334</v>
      </c>
      <c r="U235" s="3">
        <f t="shared" si="50"/>
        <v>87.801387581553001</v>
      </c>
      <c r="V235">
        <f t="shared" si="42"/>
        <v>131</v>
      </c>
      <c r="W235" s="8">
        <f t="shared" si="44"/>
        <v>50.675298378956001</v>
      </c>
      <c r="X235" s="1">
        <f t="shared" si="51"/>
        <v>50.675298378956001</v>
      </c>
      <c r="Y235" s="18"/>
      <c r="Z235" s="7"/>
      <c r="AA235" s="1"/>
      <c r="AB235" s="1"/>
      <c r="AC235" s="1"/>
    </row>
    <row r="236" spans="1:29" x14ac:dyDescent="0.3">
      <c r="A236">
        <v>235</v>
      </c>
      <c r="E236">
        <v>-409.56425361949999</v>
      </c>
      <c r="F236">
        <v>65.176555702564997</v>
      </c>
      <c r="G236">
        <v>436.17158241216998</v>
      </c>
      <c r="H236">
        <v>49.602919587644003</v>
      </c>
      <c r="I236">
        <v>132.40707485566</v>
      </c>
      <c r="J236">
        <v>88.295880117642</v>
      </c>
      <c r="L236" s="1">
        <f t="shared" si="52"/>
        <v>3.5871139236799934</v>
      </c>
      <c r="M236">
        <f t="shared" si="53"/>
        <v>852.42695699442027</v>
      </c>
      <c r="N236">
        <f t="shared" si="45"/>
        <v>2.3678526583178341</v>
      </c>
      <c r="O236">
        <f t="shared" si="46"/>
        <v>49.602919587644003</v>
      </c>
      <c r="P236">
        <f t="shared" si="47"/>
        <v>185</v>
      </c>
      <c r="Q236">
        <f t="shared" si="54"/>
        <v>102.310290734982</v>
      </c>
      <c r="R236">
        <f t="shared" si="48"/>
        <v>102.310290734982</v>
      </c>
      <c r="S236">
        <f t="shared" si="43"/>
        <v>105.37816300358583</v>
      </c>
      <c r="T236">
        <f t="shared" si="49"/>
        <v>105.37816300358583</v>
      </c>
      <c r="U236" s="3">
        <f t="shared" si="50"/>
        <v>88.295880117642</v>
      </c>
      <c r="V236">
        <f t="shared" si="42"/>
        <v>132</v>
      </c>
      <c r="W236" s="8">
        <f t="shared" si="44"/>
        <v>50.702797340849003</v>
      </c>
      <c r="X236" s="1">
        <f t="shared" si="51"/>
        <v>50.702797340849003</v>
      </c>
      <c r="Y236" s="18"/>
      <c r="Z236" s="7"/>
      <c r="AA236" s="1"/>
      <c r="AB236" s="1"/>
      <c r="AC236" s="1"/>
    </row>
    <row r="237" spans="1:29" x14ac:dyDescent="0.3">
      <c r="A237">
        <v>236</v>
      </c>
      <c r="E237">
        <v>-409.12179009030001</v>
      </c>
      <c r="F237">
        <v>62.645872230427997</v>
      </c>
      <c r="G237">
        <v>434.36201676268001</v>
      </c>
      <c r="H237">
        <v>49.701415404411001</v>
      </c>
      <c r="I237">
        <v>135.98880462490001</v>
      </c>
      <c r="J237">
        <v>88.779492129207995</v>
      </c>
      <c r="L237" s="1">
        <f t="shared" si="52"/>
        <v>3.5817297692400132</v>
      </c>
      <c r="M237">
        <f t="shared" si="53"/>
        <v>856.00868676366031</v>
      </c>
      <c r="N237">
        <f t="shared" si="45"/>
        <v>2.377801907676834</v>
      </c>
      <c r="O237">
        <f t="shared" si="46"/>
        <v>49.701415404411001</v>
      </c>
      <c r="P237">
        <f t="shared" si="47"/>
        <v>186</v>
      </c>
      <c r="Q237">
        <f t="shared" si="54"/>
        <v>102.334909195641</v>
      </c>
      <c r="R237">
        <f t="shared" si="48"/>
        <v>102.334909195641</v>
      </c>
      <c r="S237">
        <f t="shared" si="43"/>
        <v>105.40025950400228</v>
      </c>
      <c r="T237">
        <f t="shared" si="49"/>
        <v>105.40025950400228</v>
      </c>
      <c r="U237" s="3">
        <f t="shared" si="50"/>
        <v>88.779492129207995</v>
      </c>
      <c r="V237">
        <f t="shared" si="42"/>
        <v>133</v>
      </c>
      <c r="W237" s="8">
        <f t="shared" si="44"/>
        <v>50.705106425158995</v>
      </c>
      <c r="X237" s="1">
        <f t="shared" si="51"/>
        <v>50.705106425158995</v>
      </c>
      <c r="Y237" s="18"/>
      <c r="Z237" s="7"/>
      <c r="AA237" s="1"/>
      <c r="AB237" s="1"/>
      <c r="AC237" s="1"/>
    </row>
    <row r="238" spans="1:29" x14ac:dyDescent="0.3">
      <c r="A238">
        <v>237</v>
      </c>
      <c r="E238">
        <v>-408.69504474770002</v>
      </c>
      <c r="F238">
        <v>60.22735223291</v>
      </c>
      <c r="G238">
        <v>432.40121214051999</v>
      </c>
      <c r="H238">
        <v>49.804843057749999</v>
      </c>
      <c r="I238">
        <v>139.56316831729001</v>
      </c>
      <c r="J238">
        <v>89.264099878457003</v>
      </c>
      <c r="L238" s="1">
        <f t="shared" si="52"/>
        <v>3.5743636923899942</v>
      </c>
      <c r="M238">
        <f t="shared" si="53"/>
        <v>859.58305045605027</v>
      </c>
      <c r="N238">
        <f t="shared" si="45"/>
        <v>2.3877306957112507</v>
      </c>
      <c r="O238">
        <f t="shared" si="46"/>
        <v>49.804843057749999</v>
      </c>
      <c r="P238">
        <f t="shared" si="47"/>
        <v>187</v>
      </c>
      <c r="Q238">
        <f t="shared" si="54"/>
        <v>102.34584479393101</v>
      </c>
      <c r="R238">
        <f t="shared" si="48"/>
        <v>102.34584479393101</v>
      </c>
      <c r="S238">
        <f t="shared" si="43"/>
        <v>105.40860140765434</v>
      </c>
      <c r="T238">
        <f t="shared" si="49"/>
        <v>105.40860140765434</v>
      </c>
      <c r="U238" s="3">
        <f t="shared" si="50"/>
        <v>89.264099878457003</v>
      </c>
      <c r="V238">
        <f t="shared" si="42"/>
        <v>134</v>
      </c>
      <c r="W238" s="8">
        <f t="shared" si="44"/>
        <v>50.726812851059002</v>
      </c>
      <c r="X238" s="1">
        <f t="shared" si="51"/>
        <v>50.726812851059002</v>
      </c>
      <c r="Y238" s="18"/>
      <c r="Z238" s="7"/>
      <c r="AA238" s="1"/>
      <c r="AB238" s="1"/>
      <c r="AC238" s="1"/>
    </row>
    <row r="239" spans="1:29" x14ac:dyDescent="0.3">
      <c r="A239">
        <v>238</v>
      </c>
      <c r="E239">
        <v>-408.29362957559999</v>
      </c>
      <c r="F239">
        <v>57.911395292427002</v>
      </c>
      <c r="G239">
        <v>430.31519622029998</v>
      </c>
      <c r="H239">
        <v>49.938415022949002</v>
      </c>
      <c r="I239">
        <v>143.12970276919</v>
      </c>
      <c r="J239">
        <v>89.737656239892004</v>
      </c>
      <c r="L239" s="1">
        <f t="shared" si="52"/>
        <v>3.5665344518999973</v>
      </c>
      <c r="M239">
        <f t="shared" si="53"/>
        <v>863.14958490795027</v>
      </c>
      <c r="N239">
        <f t="shared" si="45"/>
        <v>2.3976377358554175</v>
      </c>
      <c r="O239">
        <f t="shared" si="46"/>
        <v>49.938415022949002</v>
      </c>
      <c r="P239">
        <f t="shared" si="47"/>
        <v>188</v>
      </c>
      <c r="Q239">
        <f t="shared" si="54"/>
        <v>102.374794053313</v>
      </c>
      <c r="R239">
        <f t="shared" si="48"/>
        <v>102.374794053313</v>
      </c>
      <c r="S239">
        <f t="shared" si="43"/>
        <v>105.43083854123678</v>
      </c>
      <c r="T239">
        <f t="shared" si="49"/>
        <v>105.43083854123678</v>
      </c>
      <c r="U239" s="3">
        <f t="shared" si="50"/>
        <v>89.737656239892004</v>
      </c>
      <c r="V239">
        <f t="shared" si="42"/>
        <v>135</v>
      </c>
      <c r="W239" s="8">
        <f t="shared" si="44"/>
        <v>50.726531911453002</v>
      </c>
      <c r="X239" s="1">
        <f t="shared" si="51"/>
        <v>50.726531911453002</v>
      </c>
      <c r="Y239" s="18"/>
      <c r="Z239" s="7"/>
      <c r="AA239" s="1"/>
      <c r="AB239" s="1"/>
      <c r="AC239" s="1"/>
    </row>
    <row r="240" spans="1:29" x14ac:dyDescent="0.3">
      <c r="A240">
        <v>239</v>
      </c>
      <c r="E240">
        <v>-407.90890997000002</v>
      </c>
      <c r="F240">
        <v>55.739504668163001</v>
      </c>
      <c r="G240">
        <v>428.07696697708002</v>
      </c>
      <c r="H240">
        <v>50.054835787824999</v>
      </c>
      <c r="I240">
        <v>146.68759509925999</v>
      </c>
      <c r="J240">
        <v>90.212600489923005</v>
      </c>
      <c r="L240" s="1">
        <f t="shared" si="52"/>
        <v>3.5578923300699898</v>
      </c>
      <c r="M240">
        <f t="shared" si="53"/>
        <v>866.70747723802026</v>
      </c>
      <c r="N240">
        <f t="shared" si="45"/>
        <v>2.4075207701056121</v>
      </c>
      <c r="O240">
        <f t="shared" si="46"/>
        <v>50.054835787824999</v>
      </c>
      <c r="P240">
        <f t="shared" si="47"/>
        <v>189</v>
      </c>
      <c r="Q240">
        <f t="shared" si="54"/>
        <v>102.38576422826199</v>
      </c>
      <c r="R240">
        <f t="shared" si="48"/>
        <v>102.38576422826199</v>
      </c>
      <c r="S240">
        <f t="shared" si="43"/>
        <v>105.43539964010949</v>
      </c>
      <c r="T240">
        <f t="shared" si="49"/>
        <v>105.43539964010949</v>
      </c>
      <c r="U240" s="3">
        <f t="shared" si="50"/>
        <v>90.212600489923005</v>
      </c>
      <c r="V240">
        <f t="shared" si="42"/>
        <v>136</v>
      </c>
      <c r="W240" s="8">
        <f t="shared" si="44"/>
        <v>50.718309678274004</v>
      </c>
      <c r="X240" s="1">
        <f t="shared" si="51"/>
        <v>50.718309678274004</v>
      </c>
      <c r="Y240" s="18"/>
      <c r="Z240" s="7"/>
      <c r="AA240" s="1"/>
      <c r="AB240" s="1"/>
      <c r="AC240" s="1"/>
    </row>
    <row r="241" spans="1:29" x14ac:dyDescent="0.3">
      <c r="A241">
        <v>240</v>
      </c>
      <c r="E241">
        <v>-407.54009863789997</v>
      </c>
      <c r="F241">
        <v>53.716084574923997</v>
      </c>
      <c r="G241">
        <v>425.70077006346003</v>
      </c>
      <c r="H241">
        <v>50.160624058869999</v>
      </c>
      <c r="I241">
        <v>150.23814610605999</v>
      </c>
      <c r="J241">
        <v>90.688752486452003</v>
      </c>
      <c r="L241" s="1">
        <f t="shared" si="52"/>
        <v>3.5505510067999921</v>
      </c>
      <c r="M241">
        <f t="shared" si="53"/>
        <v>870.25802824482025</v>
      </c>
      <c r="N241">
        <f t="shared" si="45"/>
        <v>2.4173834117911674</v>
      </c>
      <c r="O241">
        <f t="shared" si="46"/>
        <v>50.160624058869999</v>
      </c>
      <c r="P241">
        <f t="shared" si="47"/>
        <v>190</v>
      </c>
      <c r="Q241">
        <f t="shared" si="54"/>
        <v>102.36722914011699</v>
      </c>
      <c r="R241">
        <f t="shared" si="48"/>
        <v>102.36722914011699</v>
      </c>
      <c r="S241">
        <f t="shared" si="43"/>
        <v>105.40967231338736</v>
      </c>
      <c r="T241">
        <f t="shared" si="49"/>
        <v>105.40967231338736</v>
      </c>
      <c r="U241" s="3">
        <f t="shared" si="50"/>
        <v>90.688752486452003</v>
      </c>
      <c r="V241">
        <f t="shared" ref="V241:V304" si="55">IFERROR(MATCH(N241-1,N:N,1),0)</f>
        <v>137</v>
      </c>
      <c r="W241" s="8">
        <f t="shared" si="44"/>
        <v>50.718168788627004</v>
      </c>
      <c r="X241" s="1">
        <f t="shared" si="51"/>
        <v>50.718168788627004</v>
      </c>
      <c r="Y241" s="18"/>
      <c r="Z241" s="7"/>
      <c r="AA241" s="1"/>
      <c r="AB241" s="1"/>
      <c r="AC241" s="1"/>
    </row>
    <row r="242" spans="1:29" x14ac:dyDescent="0.3">
      <c r="A242">
        <v>241</v>
      </c>
      <c r="E242">
        <v>-407.17109437300002</v>
      </c>
      <c r="F242">
        <v>51.843283978019997</v>
      </c>
      <c r="G242">
        <v>423.20458539126003</v>
      </c>
      <c r="H242">
        <v>50.266516485945999</v>
      </c>
      <c r="I242">
        <v>153.77799485052</v>
      </c>
      <c r="J242">
        <v>91.180793830427007</v>
      </c>
      <c r="L242" s="1">
        <f t="shared" si="52"/>
        <v>3.5398487444600164</v>
      </c>
      <c r="M242">
        <f t="shared" si="53"/>
        <v>873.79787698928021</v>
      </c>
      <c r="N242">
        <f t="shared" si="45"/>
        <v>2.4272163249702228</v>
      </c>
      <c r="O242">
        <f t="shared" si="46"/>
        <v>50.266516485945999</v>
      </c>
      <c r="P242">
        <f t="shared" si="47"/>
        <v>191</v>
      </c>
      <c r="Q242">
        <f t="shared" si="54"/>
        <v>102.34849345770701</v>
      </c>
      <c r="R242">
        <f t="shared" si="48"/>
        <v>102.34849345770701</v>
      </c>
      <c r="S242">
        <f t="shared" si="43"/>
        <v>105.38928589929883</v>
      </c>
      <c r="T242">
        <f t="shared" si="49"/>
        <v>105.38928589929883</v>
      </c>
      <c r="U242" s="3">
        <f t="shared" si="50"/>
        <v>91.180793830427007</v>
      </c>
      <c r="V242">
        <f t="shared" si="55"/>
        <v>138</v>
      </c>
      <c r="W242" s="8">
        <f t="shared" si="44"/>
        <v>50.743105554502009</v>
      </c>
      <c r="X242" s="1">
        <f t="shared" si="51"/>
        <v>50.743105554502009</v>
      </c>
      <c r="Y242" s="18"/>
      <c r="Z242" s="7"/>
      <c r="AA242" s="1"/>
      <c r="AB242" s="1"/>
      <c r="AC242" s="1"/>
    </row>
    <row r="243" spans="1:29" x14ac:dyDescent="0.3">
      <c r="A243">
        <v>242</v>
      </c>
      <c r="E243">
        <v>-406.85027329299999</v>
      </c>
      <c r="F243">
        <v>50.075916054046999</v>
      </c>
      <c r="G243">
        <v>420.62585717641002</v>
      </c>
      <c r="H243">
        <v>50.427165425104</v>
      </c>
      <c r="I243">
        <v>157.31258615249999</v>
      </c>
      <c r="J243">
        <v>91.635718365781003</v>
      </c>
      <c r="L243" s="1">
        <f t="shared" si="52"/>
        <v>3.5345913019799866</v>
      </c>
      <c r="M243">
        <f t="shared" si="53"/>
        <v>877.33246829126017</v>
      </c>
      <c r="N243">
        <f t="shared" si="45"/>
        <v>2.4370346341423894</v>
      </c>
      <c r="O243">
        <f t="shared" si="46"/>
        <v>50.427165425104</v>
      </c>
      <c r="P243">
        <f t="shared" si="47"/>
        <v>192</v>
      </c>
      <c r="Q243">
        <f t="shared" si="54"/>
        <v>102.39672942483699</v>
      </c>
      <c r="R243">
        <f t="shared" si="48"/>
        <v>102.39672942483699</v>
      </c>
      <c r="S243">
        <f t="shared" si="43"/>
        <v>105.42738515803967</v>
      </c>
      <c r="T243">
        <f t="shared" si="49"/>
        <v>105.42738515803967</v>
      </c>
      <c r="U243" s="3">
        <f t="shared" si="50"/>
        <v>91.635718365781003</v>
      </c>
      <c r="V243">
        <f t="shared" si="55"/>
        <v>139</v>
      </c>
      <c r="W243" s="8">
        <f t="shared" si="44"/>
        <v>50.734167623905002</v>
      </c>
      <c r="X243" s="1">
        <f t="shared" si="51"/>
        <v>50.734167623905002</v>
      </c>
      <c r="Y243" s="18"/>
      <c r="Z243" s="7"/>
      <c r="AA243" s="1"/>
      <c r="AB243" s="1"/>
      <c r="AC243" s="1"/>
    </row>
    <row r="244" spans="1:29" x14ac:dyDescent="0.3">
      <c r="A244">
        <v>243</v>
      </c>
      <c r="E244">
        <v>-406.54735191899999</v>
      </c>
      <c r="F244">
        <v>48.474241558519999</v>
      </c>
      <c r="G244">
        <v>417.93941396224</v>
      </c>
      <c r="H244">
        <v>50.580907000380002</v>
      </c>
      <c r="I244">
        <v>160.83657228617</v>
      </c>
      <c r="J244">
        <v>92.088137112503006</v>
      </c>
      <c r="L244" s="1">
        <f t="shared" si="52"/>
        <v>3.5239861336700073</v>
      </c>
      <c r="M244">
        <f t="shared" si="53"/>
        <v>880.85645442493023</v>
      </c>
      <c r="N244">
        <f t="shared" si="45"/>
        <v>2.4468234845136951</v>
      </c>
      <c r="O244">
        <f t="shared" si="46"/>
        <v>50.580907000380002</v>
      </c>
      <c r="P244">
        <f t="shared" si="47"/>
        <v>193</v>
      </c>
      <c r="Q244">
        <f t="shared" si="54"/>
        <v>102.415989865973</v>
      </c>
      <c r="R244">
        <f t="shared" si="48"/>
        <v>102.415989865973</v>
      </c>
      <c r="S244">
        <f t="shared" si="43"/>
        <v>105.43157212178409</v>
      </c>
      <c r="T244">
        <f t="shared" si="49"/>
        <v>105.43157212178409</v>
      </c>
      <c r="U244" s="3">
        <f t="shared" si="50"/>
        <v>92.088137112503006</v>
      </c>
      <c r="V244">
        <f t="shared" si="55"/>
        <v>140</v>
      </c>
      <c r="W244" s="8">
        <f t="shared" si="44"/>
        <v>50.700422245078009</v>
      </c>
      <c r="X244" s="1">
        <f t="shared" si="51"/>
        <v>50.700422245078009</v>
      </c>
      <c r="Y244" s="18"/>
      <c r="Z244" s="7"/>
      <c r="AA244" s="1"/>
      <c r="AB244" s="1"/>
      <c r="AC244" s="1"/>
    </row>
    <row r="245" spans="1:29" x14ac:dyDescent="0.3">
      <c r="A245">
        <v>244</v>
      </c>
      <c r="E245">
        <v>-406.23182783940001</v>
      </c>
      <c r="F245">
        <v>47.066293505491998</v>
      </c>
      <c r="G245">
        <v>415.14754611425002</v>
      </c>
      <c r="H245">
        <v>50.706236694413001</v>
      </c>
      <c r="I245">
        <v>164.34780360382001</v>
      </c>
      <c r="J245">
        <v>92.569377086214004</v>
      </c>
      <c r="L245" s="1">
        <f t="shared" si="52"/>
        <v>3.5112313176500152</v>
      </c>
      <c r="M245">
        <f t="shared" si="53"/>
        <v>884.36768574258031</v>
      </c>
      <c r="N245">
        <f t="shared" si="45"/>
        <v>2.4565769048405008</v>
      </c>
      <c r="O245">
        <f t="shared" si="46"/>
        <v>50.706236694413001</v>
      </c>
      <c r="P245">
        <f t="shared" si="47"/>
        <v>194</v>
      </c>
      <c r="Q245">
        <f t="shared" si="54"/>
        <v>102.41543060104701</v>
      </c>
      <c r="R245">
        <f t="shared" si="48"/>
        <v>102.41543060104701</v>
      </c>
      <c r="S245">
        <f t="shared" si="43"/>
        <v>105.42678579080571</v>
      </c>
      <c r="T245">
        <f t="shared" si="49"/>
        <v>105.42678579080571</v>
      </c>
      <c r="U245" s="3">
        <f t="shared" si="50"/>
        <v>92.569377086214004</v>
      </c>
      <c r="V245">
        <f t="shared" si="55"/>
        <v>141</v>
      </c>
      <c r="W245" s="8">
        <f t="shared" si="44"/>
        <v>50.709615560307007</v>
      </c>
      <c r="X245" s="1">
        <f t="shared" si="51"/>
        <v>50.709615560307007</v>
      </c>
      <c r="Y245" s="18"/>
      <c r="Z245" s="7"/>
      <c r="AA245" s="1"/>
      <c r="AB245" s="1"/>
      <c r="AC245" s="1"/>
    </row>
    <row r="246" spans="1:29" x14ac:dyDescent="0.3">
      <c r="A246">
        <v>245</v>
      </c>
      <c r="E246">
        <v>-405.94036149110002</v>
      </c>
      <c r="F246">
        <v>45.812398221544001</v>
      </c>
      <c r="G246">
        <v>412.28059741412</v>
      </c>
      <c r="H246">
        <v>50.849123409801003</v>
      </c>
      <c r="I246">
        <v>167.85096695082001</v>
      </c>
      <c r="J246">
        <v>93.038892224147006</v>
      </c>
      <c r="L246" s="1">
        <f t="shared" si="52"/>
        <v>3.5031633469999974</v>
      </c>
      <c r="M246">
        <f t="shared" si="53"/>
        <v>887.87084908958036</v>
      </c>
      <c r="N246">
        <f t="shared" si="45"/>
        <v>2.4663079141377233</v>
      </c>
      <c r="O246">
        <f t="shared" si="46"/>
        <v>50.849123409801003</v>
      </c>
      <c r="P246">
        <f t="shared" si="47"/>
        <v>195</v>
      </c>
      <c r="Q246">
        <f t="shared" si="54"/>
        <v>102.42520806543101</v>
      </c>
      <c r="R246">
        <f t="shared" si="48"/>
        <v>102.42520806543101</v>
      </c>
      <c r="S246">
        <f t="shared" si="43"/>
        <v>105.43083164583376</v>
      </c>
      <c r="T246">
        <f t="shared" si="49"/>
        <v>105.43083164583376</v>
      </c>
      <c r="U246" s="3">
        <f t="shared" si="50"/>
        <v>93.038892224147006</v>
      </c>
      <c r="V246">
        <f t="shared" si="55"/>
        <v>142</v>
      </c>
      <c r="W246" s="8">
        <f t="shared" si="44"/>
        <v>50.730320997907008</v>
      </c>
      <c r="X246" s="1">
        <f t="shared" si="51"/>
        <v>50.730320997907008</v>
      </c>
      <c r="Y246" s="18"/>
      <c r="Z246" s="7"/>
      <c r="AA246" s="1"/>
      <c r="AB246" s="1"/>
      <c r="AC246" s="1"/>
    </row>
    <row r="247" spans="1:29" x14ac:dyDescent="0.3">
      <c r="A247">
        <v>246</v>
      </c>
      <c r="E247">
        <v>-405.68903957510003</v>
      </c>
      <c r="F247">
        <v>44.761972066692003</v>
      </c>
      <c r="G247">
        <v>409.32942711164998</v>
      </c>
      <c r="H247">
        <v>50.959727286487997</v>
      </c>
      <c r="I247">
        <v>171.35091614378999</v>
      </c>
      <c r="J247">
        <v>93.483387766728001</v>
      </c>
      <c r="L247" s="1">
        <f t="shared" si="52"/>
        <v>3.4999491929699786</v>
      </c>
      <c r="M247">
        <f t="shared" si="53"/>
        <v>891.37079828255037</v>
      </c>
      <c r="N247">
        <f t="shared" si="45"/>
        <v>2.4760299952293066</v>
      </c>
      <c r="O247">
        <f t="shared" si="46"/>
        <v>50.959727286487997</v>
      </c>
      <c r="P247">
        <f t="shared" si="47"/>
        <v>196</v>
      </c>
      <c r="Q247">
        <f t="shared" si="54"/>
        <v>102.43922118686</v>
      </c>
      <c r="R247">
        <f t="shared" si="48"/>
        <v>102.43922118686</v>
      </c>
      <c r="S247">
        <f t="shared" si="43"/>
        <v>105.4302342819432</v>
      </c>
      <c r="T247">
        <f t="shared" si="49"/>
        <v>105.4302342819432</v>
      </c>
      <c r="U247" s="3">
        <f t="shared" si="50"/>
        <v>93.483387766728001</v>
      </c>
      <c r="V247">
        <f t="shared" si="55"/>
        <v>143</v>
      </c>
      <c r="W247" s="8">
        <f t="shared" si="44"/>
        <v>50.689328552619003</v>
      </c>
      <c r="X247" s="1">
        <f t="shared" si="51"/>
        <v>50.689328552619003</v>
      </c>
      <c r="Y247" s="18"/>
      <c r="Z247" s="7"/>
      <c r="AA247" s="1"/>
      <c r="AB247" s="1"/>
      <c r="AC247" s="1"/>
    </row>
    <row r="248" spans="1:29" x14ac:dyDescent="0.3">
      <c r="A248">
        <v>247</v>
      </c>
      <c r="E248">
        <v>-405.41796203749999</v>
      </c>
      <c r="F248">
        <v>43.912561073749004</v>
      </c>
      <c r="G248">
        <v>406.31608837438</v>
      </c>
      <c r="H248">
        <v>51.050977454434999</v>
      </c>
      <c r="I248">
        <v>174.83904045368999</v>
      </c>
      <c r="J248">
        <v>93.960655119372007</v>
      </c>
      <c r="L248" s="1">
        <f t="shared" si="52"/>
        <v>3.4881243099000017</v>
      </c>
      <c r="M248">
        <f t="shared" si="53"/>
        <v>894.85892259245043</v>
      </c>
      <c r="N248">
        <f t="shared" si="45"/>
        <v>2.4857192294234736</v>
      </c>
      <c r="O248">
        <f t="shared" si="46"/>
        <v>51.050977454434999</v>
      </c>
      <c r="P248">
        <f t="shared" si="47"/>
        <v>197</v>
      </c>
      <c r="Q248">
        <f t="shared" si="54"/>
        <v>102.426141044399</v>
      </c>
      <c r="R248">
        <f t="shared" si="48"/>
        <v>102.426141044399</v>
      </c>
      <c r="S248">
        <f t="shared" si="43"/>
        <v>105.41257258302299</v>
      </c>
      <c r="T248">
        <f t="shared" si="49"/>
        <v>105.41257258302299</v>
      </c>
      <c r="U248" s="3">
        <f t="shared" si="50"/>
        <v>93.960655119372007</v>
      </c>
      <c r="V248">
        <f t="shared" si="55"/>
        <v>144</v>
      </c>
      <c r="W248" s="8">
        <f t="shared" si="44"/>
        <v>50.701901891733009</v>
      </c>
      <c r="X248" s="1">
        <f t="shared" si="51"/>
        <v>50.701901891733009</v>
      </c>
      <c r="Y248" s="18"/>
      <c r="Z248" s="7"/>
      <c r="AA248" s="1"/>
      <c r="AB248" s="1"/>
      <c r="AC248" s="1"/>
    </row>
    <row r="249" spans="1:29" x14ac:dyDescent="0.3">
      <c r="A249">
        <v>248</v>
      </c>
      <c r="E249">
        <v>-405.1468467066</v>
      </c>
      <c r="F249">
        <v>43.236856142481003</v>
      </c>
      <c r="G249">
        <v>403.25894587318999</v>
      </c>
      <c r="H249">
        <v>51.152145619751003</v>
      </c>
      <c r="I249">
        <v>178.31859184391999</v>
      </c>
      <c r="J249">
        <v>94.448481740513998</v>
      </c>
      <c r="L249" s="1">
        <f t="shared" si="52"/>
        <v>3.4795513902300002</v>
      </c>
      <c r="M249">
        <f t="shared" si="53"/>
        <v>898.3384739826804</v>
      </c>
      <c r="N249">
        <f t="shared" si="45"/>
        <v>2.4953846499518901</v>
      </c>
      <c r="O249">
        <f t="shared" si="46"/>
        <v>51.152145619751003</v>
      </c>
      <c r="P249">
        <f t="shared" si="47"/>
        <v>198</v>
      </c>
      <c r="Q249">
        <f t="shared" si="54"/>
        <v>102.343242252172</v>
      </c>
      <c r="R249">
        <f t="shared" si="48"/>
        <v>102.343242252172</v>
      </c>
      <c r="S249">
        <f t="shared" si="43"/>
        <v>105.31925606069591</v>
      </c>
      <c r="T249">
        <f t="shared" si="49"/>
        <v>105.31925606069591</v>
      </c>
      <c r="U249" s="3">
        <f t="shared" si="50"/>
        <v>94.448481740513998</v>
      </c>
      <c r="V249">
        <f t="shared" si="55"/>
        <v>145</v>
      </c>
      <c r="W249" s="8">
        <f t="shared" si="44"/>
        <v>50.729162430237999</v>
      </c>
      <c r="X249" s="1">
        <f t="shared" si="51"/>
        <v>50.729162430237999</v>
      </c>
      <c r="Y249" s="18"/>
      <c r="Z249" s="7"/>
      <c r="AA249" s="1"/>
      <c r="AB249" s="1"/>
      <c r="AC249" s="1"/>
    </row>
    <row r="250" spans="1:29" x14ac:dyDescent="0.3">
      <c r="A250">
        <v>249</v>
      </c>
      <c r="E250">
        <v>-404.90436008659998</v>
      </c>
      <c r="F250">
        <v>42.772847193498002</v>
      </c>
      <c r="G250">
        <v>400.16012470196</v>
      </c>
      <c r="H250">
        <v>51.224907605182999</v>
      </c>
      <c r="I250">
        <v>-178.20389631419999</v>
      </c>
      <c r="J250">
        <v>94.919679586355002</v>
      </c>
      <c r="L250" s="1">
        <f t="shared" si="52"/>
        <v>-356.52248815811998</v>
      </c>
      <c r="M250">
        <f t="shared" si="53"/>
        <v>901.81802537291037</v>
      </c>
      <c r="N250">
        <f t="shared" si="45"/>
        <v>2.5050500704803067</v>
      </c>
      <c r="O250">
        <f t="shared" si="46"/>
        <v>51.224907605182999</v>
      </c>
      <c r="P250">
        <f t="shared" si="47"/>
        <v>199</v>
      </c>
      <c r="Q250">
        <f t="shared" si="54"/>
        <v>102.34960972483</v>
      </c>
      <c r="R250">
        <f t="shared" si="48"/>
        <v>102.34960972483</v>
      </c>
      <c r="S250">
        <f t="shared" si="43"/>
        <v>105.3355486273184</v>
      </c>
      <c r="T250">
        <f t="shared" si="49"/>
        <v>105.3355486273184</v>
      </c>
      <c r="U250" s="3">
        <f t="shared" si="50"/>
        <v>94.919679586355002</v>
      </c>
      <c r="V250">
        <f t="shared" si="55"/>
        <v>146</v>
      </c>
      <c r="W250" s="8">
        <f t="shared" si="44"/>
        <v>50.721116342373001</v>
      </c>
      <c r="X250" s="1">
        <f t="shared" si="51"/>
        <v>50.721116342373001</v>
      </c>
      <c r="Y250" s="18"/>
      <c r="Z250" s="7"/>
      <c r="AA250" s="1"/>
      <c r="AB250" s="1"/>
      <c r="AC250" s="1"/>
    </row>
    <row r="251" spans="1:29" x14ac:dyDescent="0.3">
      <c r="A251">
        <v>250</v>
      </c>
      <c r="E251">
        <v>-404.62587185339999</v>
      </c>
      <c r="F251">
        <v>42.466534985625003</v>
      </c>
      <c r="G251">
        <v>397.04489412612003</v>
      </c>
      <c r="H251">
        <v>51.328938000325998</v>
      </c>
      <c r="I251">
        <v>-174.74124509710001</v>
      </c>
      <c r="J251">
        <v>95.434413252987994</v>
      </c>
      <c r="L251" s="1">
        <f t="shared" si="52"/>
        <v>3.4626512170999888</v>
      </c>
      <c r="M251">
        <f t="shared" si="53"/>
        <v>905.28067659001033</v>
      </c>
      <c r="N251">
        <f t="shared" si="45"/>
        <v>2.514668546083362</v>
      </c>
      <c r="O251">
        <f t="shared" si="46"/>
        <v>51.328938000325998</v>
      </c>
      <c r="P251">
        <f t="shared" si="47"/>
        <v>200</v>
      </c>
      <c r="Q251">
        <f t="shared" si="54"/>
        <v>102.37798265728</v>
      </c>
      <c r="R251">
        <f t="shared" si="48"/>
        <v>102.37798265728</v>
      </c>
      <c r="S251">
        <f t="shared" si="43"/>
        <v>105.38593843532105</v>
      </c>
      <c r="T251">
        <f t="shared" si="49"/>
        <v>105.38593843532105</v>
      </c>
      <c r="U251" s="3">
        <f t="shared" si="50"/>
        <v>95.434413252987994</v>
      </c>
      <c r="V251">
        <f t="shared" si="55"/>
        <v>147</v>
      </c>
      <c r="W251" s="8">
        <f t="shared" si="44"/>
        <v>50.800611151216991</v>
      </c>
      <c r="X251" s="1">
        <f t="shared" si="51"/>
        <v>50.800611151216991</v>
      </c>
      <c r="Y251" s="18"/>
      <c r="Z251" s="7"/>
      <c r="AA251" s="1"/>
      <c r="AB251" s="1"/>
      <c r="AC251" s="1"/>
    </row>
    <row r="252" spans="1:29" x14ac:dyDescent="0.3">
      <c r="A252">
        <v>251</v>
      </c>
      <c r="E252">
        <v>-404.40603869479997</v>
      </c>
      <c r="F252">
        <v>42.282516664943003</v>
      </c>
      <c r="G252">
        <v>393.91541925253</v>
      </c>
      <c r="H252">
        <v>51.495142974037002</v>
      </c>
      <c r="I252">
        <v>-171.28156429640001</v>
      </c>
      <c r="J252">
        <v>95.896805761907999</v>
      </c>
      <c r="L252" s="1">
        <f t="shared" si="52"/>
        <v>3.4596808006999993</v>
      </c>
      <c r="M252">
        <f t="shared" si="53"/>
        <v>908.7403573907103</v>
      </c>
      <c r="N252">
        <f t="shared" si="45"/>
        <v>2.5242787705297509</v>
      </c>
      <c r="O252">
        <f t="shared" si="46"/>
        <v>51.495142974037002</v>
      </c>
      <c r="P252">
        <f t="shared" si="47"/>
        <v>201</v>
      </c>
      <c r="Q252">
        <f t="shared" si="54"/>
        <v>102.363835648877</v>
      </c>
      <c r="R252">
        <f t="shared" si="48"/>
        <v>102.363835648877</v>
      </c>
      <c r="S252">
        <f t="shared" si="43"/>
        <v>105.35359526478511</v>
      </c>
      <c r="T252">
        <f t="shared" si="49"/>
        <v>105.35359526478511</v>
      </c>
      <c r="U252" s="3">
        <f t="shared" si="50"/>
        <v>95.896805761907999</v>
      </c>
      <c r="V252">
        <f t="shared" si="55"/>
        <v>148</v>
      </c>
      <c r="W252" s="8">
        <f t="shared" si="44"/>
        <v>50.761318233433002</v>
      </c>
      <c r="X252" s="1">
        <f t="shared" si="51"/>
        <v>50.761318233433002</v>
      </c>
      <c r="Y252" s="18"/>
      <c r="Z252" s="7"/>
      <c r="AA252" s="1"/>
      <c r="AB252" s="1"/>
      <c r="AC252" s="1"/>
    </row>
    <row r="253" spans="1:29" x14ac:dyDescent="0.3">
      <c r="A253">
        <v>252</v>
      </c>
      <c r="E253">
        <v>-404.22224959099998</v>
      </c>
      <c r="F253">
        <v>42.230297831103996</v>
      </c>
      <c r="G253">
        <v>390.77859710812999</v>
      </c>
      <c r="H253">
        <v>51.715592860553002</v>
      </c>
      <c r="I253">
        <v>-167.83373261969999</v>
      </c>
      <c r="J253">
        <v>96.329207596518003</v>
      </c>
      <c r="L253" s="1">
        <f t="shared" si="52"/>
        <v>3.4478316767000194</v>
      </c>
      <c r="M253">
        <f t="shared" si="53"/>
        <v>912.18818906741035</v>
      </c>
      <c r="N253">
        <f t="shared" si="45"/>
        <v>2.5338560807428063</v>
      </c>
      <c r="O253">
        <f t="shared" si="46"/>
        <v>51.715592860553002</v>
      </c>
      <c r="P253">
        <f t="shared" si="47"/>
        <v>202</v>
      </c>
      <c r="Q253">
        <f t="shared" si="54"/>
        <v>102.422441041855</v>
      </c>
      <c r="R253">
        <f t="shared" si="48"/>
        <v>102.422441041855</v>
      </c>
      <c r="S253">
        <f t="shared" si="43"/>
        <v>105.38675122506255</v>
      </c>
      <c r="T253">
        <f t="shared" si="49"/>
        <v>105.38675122506255</v>
      </c>
      <c r="U253" s="3">
        <f t="shared" si="50"/>
        <v>96.329207596518003</v>
      </c>
      <c r="V253">
        <f t="shared" si="55"/>
        <v>149</v>
      </c>
      <c r="W253" s="8">
        <f t="shared" si="44"/>
        <v>50.686614157638004</v>
      </c>
      <c r="X253" s="1">
        <f t="shared" si="51"/>
        <v>50.686614157638004</v>
      </c>
      <c r="Y253" s="18"/>
      <c r="Z253" s="7"/>
      <c r="AA253" s="1"/>
      <c r="AB253" s="1"/>
      <c r="AC253" s="1"/>
    </row>
    <row r="254" spans="1:29" x14ac:dyDescent="0.3">
      <c r="A254">
        <v>253</v>
      </c>
      <c r="E254">
        <v>-403.99443465159999</v>
      </c>
      <c r="F254">
        <v>42.435317840488999</v>
      </c>
      <c r="G254">
        <v>387.65077943354999</v>
      </c>
      <c r="H254">
        <v>51.866760104863999</v>
      </c>
      <c r="I254">
        <v>-164.4022681358</v>
      </c>
      <c r="J254">
        <v>96.815116944492004</v>
      </c>
      <c r="L254" s="1">
        <f t="shared" si="52"/>
        <v>3.4314644838999868</v>
      </c>
      <c r="M254">
        <f t="shared" si="53"/>
        <v>915.61965355131031</v>
      </c>
      <c r="N254">
        <f t="shared" si="45"/>
        <v>2.5433879265314174</v>
      </c>
      <c r="O254">
        <f t="shared" si="46"/>
        <v>51.866760104863999</v>
      </c>
      <c r="P254">
        <f t="shared" si="47"/>
        <v>203</v>
      </c>
      <c r="Q254">
        <f t="shared" si="54"/>
        <v>102.44722494486899</v>
      </c>
      <c r="R254">
        <f t="shared" si="48"/>
        <v>102.44722494486899</v>
      </c>
      <c r="S254">
        <f t="shared" si="43"/>
        <v>105.40591554387373</v>
      </c>
      <c r="T254">
        <f t="shared" si="49"/>
        <v>105.40591554387373</v>
      </c>
      <c r="U254" s="3">
        <f t="shared" si="50"/>
        <v>96.815116944492004</v>
      </c>
      <c r="V254">
        <f t="shared" si="55"/>
        <v>150</v>
      </c>
      <c r="W254" s="8">
        <f t="shared" si="44"/>
        <v>50.688891044098007</v>
      </c>
      <c r="X254" s="1">
        <f t="shared" si="51"/>
        <v>50.688891044098007</v>
      </c>
      <c r="Y254" s="18"/>
      <c r="Z254" s="7"/>
      <c r="AA254" s="1"/>
      <c r="AB254" s="1"/>
      <c r="AC254" s="1"/>
    </row>
    <row r="255" spans="1:29" x14ac:dyDescent="0.3">
      <c r="A255">
        <v>254</v>
      </c>
      <c r="E255">
        <v>-403.78308260109998</v>
      </c>
      <c r="F255">
        <v>42.803014448501997</v>
      </c>
      <c r="G255">
        <v>384.53701990936997</v>
      </c>
      <c r="H255">
        <v>52.039941923979001</v>
      </c>
      <c r="I255">
        <v>-160.98123585050001</v>
      </c>
      <c r="J255">
        <v>97.290067890364</v>
      </c>
      <c r="L255" s="1">
        <f t="shared" si="52"/>
        <v>3.4210322852999866</v>
      </c>
      <c r="M255">
        <f t="shared" si="53"/>
        <v>919.04068583661024</v>
      </c>
      <c r="N255">
        <f t="shared" si="45"/>
        <v>2.5528907939905841</v>
      </c>
      <c r="O255">
        <f t="shared" si="46"/>
        <v>52.039941923979001</v>
      </c>
      <c r="P255">
        <f t="shared" si="47"/>
        <v>204</v>
      </c>
      <c r="Q255">
        <f t="shared" si="54"/>
        <v>102.542165731154</v>
      </c>
      <c r="R255">
        <f t="shared" si="48"/>
        <v>102.542165731154</v>
      </c>
      <c r="S255">
        <f t="shared" si="43"/>
        <v>105.49564949758313</v>
      </c>
      <c r="T255">
        <f t="shared" si="49"/>
        <v>105.49564949758313</v>
      </c>
      <c r="U255" s="3">
        <f t="shared" si="50"/>
        <v>97.290067890364</v>
      </c>
      <c r="V255">
        <f t="shared" si="55"/>
        <v>151</v>
      </c>
      <c r="W255" s="8">
        <f t="shared" si="44"/>
        <v>50.716823953579002</v>
      </c>
      <c r="X255" s="1">
        <f t="shared" si="51"/>
        <v>50.716823953579002</v>
      </c>
      <c r="Y255" s="18"/>
      <c r="Z255" s="7"/>
      <c r="AA255" s="1"/>
      <c r="AB255" s="1"/>
      <c r="AC255" s="1"/>
    </row>
    <row r="256" spans="1:29" x14ac:dyDescent="0.3">
      <c r="A256">
        <v>255</v>
      </c>
      <c r="E256">
        <v>-403.55205066780002</v>
      </c>
      <c r="F256">
        <v>43.398976339138997</v>
      </c>
      <c r="G256">
        <v>381.46010793136998</v>
      </c>
      <c r="H256">
        <v>52.167374621150003</v>
      </c>
      <c r="I256">
        <v>-157.57201375170001</v>
      </c>
      <c r="J256">
        <v>97.790877358190002</v>
      </c>
      <c r="L256" s="1">
        <f t="shared" si="52"/>
        <v>3.4092220988000008</v>
      </c>
      <c r="M256">
        <f t="shared" si="53"/>
        <v>922.44990793541024</v>
      </c>
      <c r="N256">
        <f t="shared" si="45"/>
        <v>2.5623608553761397</v>
      </c>
      <c r="O256">
        <f t="shared" si="46"/>
        <v>52.167374621150003</v>
      </c>
      <c r="P256">
        <f t="shared" si="47"/>
        <v>205</v>
      </c>
      <c r="Q256">
        <f t="shared" si="54"/>
        <v>102.57551203196201</v>
      </c>
      <c r="R256">
        <f t="shared" si="48"/>
        <v>102.57551203196201</v>
      </c>
      <c r="S256">
        <f t="shared" si="43"/>
        <v>105.53369421861674</v>
      </c>
      <c r="T256">
        <f t="shared" si="49"/>
        <v>105.53369421861674</v>
      </c>
      <c r="U256" s="3">
        <f t="shared" si="50"/>
        <v>97.790877358190002</v>
      </c>
      <c r="V256">
        <f t="shared" si="55"/>
        <v>152</v>
      </c>
      <c r="W256" s="8">
        <f t="shared" si="44"/>
        <v>50.742273762511005</v>
      </c>
      <c r="X256" s="1">
        <f t="shared" si="51"/>
        <v>50.742273762511005</v>
      </c>
      <c r="Y256" s="18"/>
      <c r="Z256" s="7"/>
      <c r="AA256" s="1"/>
      <c r="AB256" s="1"/>
      <c r="AC256" s="1"/>
    </row>
    <row r="257" spans="1:29" x14ac:dyDescent="0.3">
      <c r="A257">
        <v>256</v>
      </c>
      <c r="E257">
        <v>-403.35069571259999</v>
      </c>
      <c r="F257">
        <v>44.197912434914002</v>
      </c>
      <c r="G257">
        <v>378.42747104182001</v>
      </c>
      <c r="H257">
        <v>52.271237994903998</v>
      </c>
      <c r="I257">
        <v>-154.16511131070001</v>
      </c>
      <c r="J257">
        <v>98.266771595283998</v>
      </c>
      <c r="L257" s="1">
        <f t="shared" si="52"/>
        <v>3.4069024409999997</v>
      </c>
      <c r="M257">
        <f t="shared" si="53"/>
        <v>925.85681037641029</v>
      </c>
      <c r="N257">
        <f t="shared" si="45"/>
        <v>2.5718244732678062</v>
      </c>
      <c r="O257">
        <f t="shared" si="46"/>
        <v>52.271237994903998</v>
      </c>
      <c r="P257">
        <f t="shared" si="47"/>
        <v>206</v>
      </c>
      <c r="Q257">
        <f t="shared" si="54"/>
        <v>102.526522693815</v>
      </c>
      <c r="R257">
        <f t="shared" si="48"/>
        <v>102.526522693815</v>
      </c>
      <c r="S257">
        <f t="shared" si="43"/>
        <v>105.47571987512198</v>
      </c>
      <c r="T257">
        <f t="shared" si="49"/>
        <v>105.47571987512198</v>
      </c>
      <c r="U257" s="3">
        <f t="shared" si="50"/>
        <v>98.266771595283998</v>
      </c>
      <c r="V257">
        <f t="shared" si="55"/>
        <v>153</v>
      </c>
      <c r="W257" s="8">
        <f t="shared" si="44"/>
        <v>50.726974229970999</v>
      </c>
      <c r="X257" s="1">
        <f t="shared" si="51"/>
        <v>50.726974229970999</v>
      </c>
      <c r="Y257" s="18"/>
      <c r="Z257" s="7"/>
      <c r="AA257" s="1"/>
      <c r="AB257" s="1"/>
      <c r="AC257" s="1"/>
    </row>
    <row r="258" spans="1:29" x14ac:dyDescent="0.3">
      <c r="A258">
        <v>257</v>
      </c>
      <c r="E258">
        <v>-403.15597115690002</v>
      </c>
      <c r="F258">
        <v>45.155490123499</v>
      </c>
      <c r="G258">
        <v>375.44058317849999</v>
      </c>
      <c r="H258">
        <v>52.394436955915999</v>
      </c>
      <c r="I258">
        <v>-150.76561550069999</v>
      </c>
      <c r="J258">
        <v>98.738796918586004</v>
      </c>
      <c r="L258" s="1">
        <f t="shared" si="52"/>
        <v>3.399495810000019</v>
      </c>
      <c r="M258">
        <f t="shared" si="53"/>
        <v>929.25630618641026</v>
      </c>
      <c r="N258">
        <f t="shared" si="45"/>
        <v>2.581267517184473</v>
      </c>
      <c r="O258">
        <f t="shared" si="46"/>
        <v>52.394436955915999</v>
      </c>
      <c r="P258">
        <f t="shared" si="47"/>
        <v>207</v>
      </c>
      <c r="Q258">
        <f t="shared" si="54"/>
        <v>102.529966591191</v>
      </c>
      <c r="R258">
        <f t="shared" si="48"/>
        <v>102.529966591191</v>
      </c>
      <c r="S258">
        <f t="shared" ref="S258:S321" si="56">IF(P258=0,0,SQRT((E258-INDEX(E:E,P258))^2+(F258-INDEX(F:F,P258))^2+(G258-INDEX(G:G,P258))^2))</f>
        <v>105.47064151023257</v>
      </c>
      <c r="T258">
        <f t="shared" si="49"/>
        <v>105.47064151023257</v>
      </c>
      <c r="U258" s="3">
        <f t="shared" si="50"/>
        <v>98.738796918586004</v>
      </c>
      <c r="V258">
        <f t="shared" si="55"/>
        <v>154</v>
      </c>
      <c r="W258" s="8">
        <f t="shared" ref="W258:W321" si="57">IF(V258=0,0,U258-INDEX(U:U,V258))</f>
        <v>50.717975313436007</v>
      </c>
      <c r="X258" s="1">
        <f t="shared" si="51"/>
        <v>50.717975313436007</v>
      </c>
      <c r="Y258" s="18"/>
      <c r="Z258" s="7"/>
      <c r="AA258" s="1"/>
      <c r="AB258" s="1"/>
      <c r="AC258" s="1"/>
    </row>
    <row r="259" spans="1:29" x14ac:dyDescent="0.3">
      <c r="A259">
        <v>258</v>
      </c>
      <c r="E259">
        <v>-402.93151000519998</v>
      </c>
      <c r="F259">
        <v>46.288780411712999</v>
      </c>
      <c r="G259">
        <v>372.51808676159999</v>
      </c>
      <c r="H259">
        <v>52.514472260725</v>
      </c>
      <c r="I259">
        <v>-147.3794048028</v>
      </c>
      <c r="J259">
        <v>99.242368020748998</v>
      </c>
      <c r="L259" s="1">
        <f t="shared" si="52"/>
        <v>3.3862106978999975</v>
      </c>
      <c r="M259">
        <f t="shared" si="53"/>
        <v>932.64251688431023</v>
      </c>
      <c r="N259">
        <f t="shared" ref="N259:N322" si="58">M259/360</f>
        <v>2.5906736580119727</v>
      </c>
      <c r="O259">
        <f t="shared" ref="O259:O322" si="59">H259</f>
        <v>52.514472260725</v>
      </c>
      <c r="P259">
        <f t="shared" ref="P259:P322" si="60">IFERROR(MATCH(N259-0.5,N:N,1),0)</f>
        <v>208</v>
      </c>
      <c r="Q259">
        <f t="shared" si="54"/>
        <v>102.546065525741</v>
      </c>
      <c r="R259">
        <f t="shared" ref="R259:R322" si="61">IF(Q259=0,MAX(Q:Q),Q259)</f>
        <v>102.546065525741</v>
      </c>
      <c r="S259">
        <f t="shared" si="56"/>
        <v>105.48656108169708</v>
      </c>
      <c r="T259">
        <f t="shared" ref="T259:T322" si="62">IF(S259=0,MAX(S:S),S259)</f>
        <v>105.48656108169708</v>
      </c>
      <c r="U259" s="3">
        <f t="shared" ref="U259:U322" si="63">J259</f>
        <v>99.242368020748998</v>
      </c>
      <c r="V259">
        <f t="shared" si="55"/>
        <v>155</v>
      </c>
      <c r="W259" s="8">
        <f t="shared" si="57"/>
        <v>50.749730585163</v>
      </c>
      <c r="X259" s="1">
        <f t="shared" ref="X259:X322" si="64">IF(W259=0,MAX(W:W),W259)</f>
        <v>50.749730585163</v>
      </c>
      <c r="Y259" s="18"/>
      <c r="Z259" s="7"/>
      <c r="AA259" s="1"/>
      <c r="AB259" s="1"/>
      <c r="AC259" s="1"/>
    </row>
    <row r="260" spans="1:29" x14ac:dyDescent="0.3">
      <c r="A260">
        <v>259</v>
      </c>
      <c r="E260">
        <v>-402.72912187470001</v>
      </c>
      <c r="F260">
        <v>47.615351479668</v>
      </c>
      <c r="G260">
        <v>369.67632739315002</v>
      </c>
      <c r="H260">
        <v>52.608372728478997</v>
      </c>
      <c r="I260">
        <v>-143.99541192020001</v>
      </c>
      <c r="J260">
        <v>99.725283017476002</v>
      </c>
      <c r="L260" s="1">
        <f t="shared" ref="L260:L323" si="65">I260-I259</f>
        <v>3.3839928825999834</v>
      </c>
      <c r="M260">
        <f t="shared" ref="M260:M323" si="66">IF(L260&gt;0,M259+L260,M259+L259)</f>
        <v>936.02650976691018</v>
      </c>
      <c r="N260">
        <f t="shared" si="58"/>
        <v>2.6000736382414171</v>
      </c>
      <c r="O260">
        <f t="shared" si="59"/>
        <v>52.608372728478997</v>
      </c>
      <c r="P260">
        <f t="shared" si="60"/>
        <v>209</v>
      </c>
      <c r="Q260">
        <f t="shared" si="54"/>
        <v>102.53102004981901</v>
      </c>
      <c r="R260">
        <f t="shared" si="61"/>
        <v>102.53102004981901</v>
      </c>
      <c r="S260">
        <f t="shared" si="56"/>
        <v>105.46806045520529</v>
      </c>
      <c r="T260">
        <f t="shared" si="62"/>
        <v>105.46806045520529</v>
      </c>
      <c r="U260" s="3">
        <f t="shared" si="63"/>
        <v>99.725283017476002</v>
      </c>
      <c r="V260">
        <f t="shared" si="55"/>
        <v>156</v>
      </c>
      <c r="W260" s="8">
        <f t="shared" si="57"/>
        <v>50.752589027483999</v>
      </c>
      <c r="X260" s="1">
        <f t="shared" si="64"/>
        <v>50.752589027483999</v>
      </c>
      <c r="Y260" s="18"/>
      <c r="Z260" s="7"/>
      <c r="AA260" s="1"/>
      <c r="AB260" s="1"/>
      <c r="AC260" s="1"/>
    </row>
    <row r="261" spans="1:29" x14ac:dyDescent="0.3">
      <c r="A261">
        <v>260</v>
      </c>
      <c r="E261">
        <v>-402.54441749810002</v>
      </c>
      <c r="F261">
        <v>49.090358548339999</v>
      </c>
      <c r="G261">
        <v>366.90765457284999</v>
      </c>
      <c r="H261">
        <v>52.720236029002002</v>
      </c>
      <c r="I261">
        <v>-140.615955082</v>
      </c>
      <c r="J261">
        <v>100.19071699513999</v>
      </c>
      <c r="L261" s="1">
        <f t="shared" si="65"/>
        <v>3.3794568382000136</v>
      </c>
      <c r="M261">
        <f t="shared" si="66"/>
        <v>939.40596660511017</v>
      </c>
      <c r="N261">
        <f t="shared" si="58"/>
        <v>2.6094610183475284</v>
      </c>
      <c r="O261">
        <f t="shared" si="59"/>
        <v>52.720236029002002</v>
      </c>
      <c r="P261">
        <f t="shared" si="60"/>
        <v>210</v>
      </c>
      <c r="Q261">
        <f t="shared" si="54"/>
        <v>102.54332517163999</v>
      </c>
      <c r="R261">
        <f t="shared" si="61"/>
        <v>102.54332517163999</v>
      </c>
      <c r="S261">
        <f t="shared" si="56"/>
        <v>105.47063322815231</v>
      </c>
      <c r="T261">
        <f t="shared" si="62"/>
        <v>105.47063322815231</v>
      </c>
      <c r="U261" s="3">
        <f t="shared" si="63"/>
        <v>100.19071699513999</v>
      </c>
      <c r="V261">
        <f t="shared" si="55"/>
        <v>157</v>
      </c>
      <c r="W261" s="8">
        <f t="shared" si="57"/>
        <v>50.724645802670992</v>
      </c>
      <c r="X261" s="1">
        <f t="shared" si="64"/>
        <v>50.724645802670992</v>
      </c>
      <c r="Y261" s="18"/>
      <c r="Z261" s="7"/>
      <c r="AA261" s="1"/>
      <c r="AB261" s="1"/>
      <c r="AC261" s="1"/>
    </row>
    <row r="262" spans="1:29" x14ac:dyDescent="0.3">
      <c r="A262">
        <v>261</v>
      </c>
      <c r="E262">
        <v>-402.35677287319999</v>
      </c>
      <c r="F262">
        <v>50.735027387686998</v>
      </c>
      <c r="G262">
        <v>364.23631642090999</v>
      </c>
      <c r="H262">
        <v>52.819580581407997</v>
      </c>
      <c r="I262">
        <v>-137.2429686504</v>
      </c>
      <c r="J262">
        <v>100.65812347846</v>
      </c>
      <c r="L262" s="1">
        <f t="shared" si="65"/>
        <v>3.3729864315999976</v>
      </c>
      <c r="M262">
        <f t="shared" si="66"/>
        <v>942.77895303671016</v>
      </c>
      <c r="N262">
        <f t="shared" si="58"/>
        <v>2.6188304251019727</v>
      </c>
      <c r="O262">
        <f t="shared" si="59"/>
        <v>52.819580581407997</v>
      </c>
      <c r="P262">
        <f t="shared" si="60"/>
        <v>211</v>
      </c>
      <c r="Q262">
        <f t="shared" si="54"/>
        <v>102.554297602774</v>
      </c>
      <c r="R262">
        <f t="shared" si="61"/>
        <v>102.554297602774</v>
      </c>
      <c r="S262">
        <f t="shared" si="56"/>
        <v>105.47379179899752</v>
      </c>
      <c r="T262">
        <f t="shared" si="62"/>
        <v>105.47379179899752</v>
      </c>
      <c r="U262" s="3">
        <f t="shared" si="63"/>
        <v>100.65812347846</v>
      </c>
      <c r="V262">
        <f t="shared" si="55"/>
        <v>158</v>
      </c>
      <c r="W262" s="8">
        <f t="shared" si="57"/>
        <v>50.713319601864995</v>
      </c>
      <c r="X262" s="1">
        <f t="shared" si="64"/>
        <v>50.713319601864995</v>
      </c>
      <c r="Y262" s="18"/>
      <c r="Z262" s="7"/>
      <c r="AA262" s="1"/>
      <c r="AB262" s="1"/>
      <c r="AC262" s="1"/>
    </row>
    <row r="263" spans="1:29" x14ac:dyDescent="0.3">
      <c r="A263">
        <v>262</v>
      </c>
      <c r="E263">
        <v>-402.15862106119999</v>
      </c>
      <c r="F263">
        <v>52.537484511262001</v>
      </c>
      <c r="G263">
        <v>361.66956575587</v>
      </c>
      <c r="H263">
        <v>52.912169508387997</v>
      </c>
      <c r="I263">
        <v>-133.87724899560001</v>
      </c>
      <c r="J263">
        <v>101.13397828127</v>
      </c>
      <c r="L263" s="1">
        <f t="shared" si="65"/>
        <v>3.3657196547999888</v>
      </c>
      <c r="M263">
        <f t="shared" si="66"/>
        <v>946.1446726915101</v>
      </c>
      <c r="N263">
        <f t="shared" si="58"/>
        <v>2.628179646365306</v>
      </c>
      <c r="O263">
        <f t="shared" si="59"/>
        <v>52.912169508387997</v>
      </c>
      <c r="P263">
        <f t="shared" si="60"/>
        <v>212</v>
      </c>
      <c r="Q263">
        <f t="shared" si="54"/>
        <v>102.544036558654</v>
      </c>
      <c r="R263">
        <f t="shared" si="61"/>
        <v>102.544036558654</v>
      </c>
      <c r="S263">
        <f t="shared" si="56"/>
        <v>105.46082731965708</v>
      </c>
      <c r="T263">
        <f t="shared" si="62"/>
        <v>105.46082731965708</v>
      </c>
      <c r="U263" s="3">
        <f t="shared" si="63"/>
        <v>101.13397828127</v>
      </c>
      <c r="V263">
        <f t="shared" si="55"/>
        <v>159</v>
      </c>
      <c r="W263" s="8">
        <f t="shared" si="57"/>
        <v>50.729345889634004</v>
      </c>
      <c r="X263" s="1">
        <f t="shared" si="64"/>
        <v>50.729345889634004</v>
      </c>
      <c r="Y263" s="18"/>
      <c r="Z263" s="7"/>
      <c r="AA263" s="1"/>
      <c r="AB263" s="1"/>
      <c r="AC263" s="1"/>
    </row>
    <row r="264" spans="1:29" x14ac:dyDescent="0.3">
      <c r="A264">
        <v>263</v>
      </c>
      <c r="E264">
        <v>-401.94652234519998</v>
      </c>
      <c r="F264">
        <v>54.478583783703002</v>
      </c>
      <c r="G264">
        <v>359.20718766857999</v>
      </c>
      <c r="H264">
        <v>53.013150976288003</v>
      </c>
      <c r="I264">
        <v>-130.5198600558</v>
      </c>
      <c r="J264">
        <v>101.62095180143</v>
      </c>
      <c r="L264" s="1">
        <f t="shared" si="65"/>
        <v>3.3573889398000176</v>
      </c>
      <c r="M264">
        <f t="shared" si="66"/>
        <v>949.50206163131008</v>
      </c>
      <c r="N264">
        <f t="shared" si="58"/>
        <v>2.637505726753639</v>
      </c>
      <c r="O264">
        <f t="shared" si="59"/>
        <v>53.013150976288003</v>
      </c>
      <c r="P264">
        <f t="shared" si="60"/>
        <v>213</v>
      </c>
      <c r="Q264">
        <f t="shared" si="54"/>
        <v>102.56017823486101</v>
      </c>
      <c r="R264">
        <f t="shared" si="61"/>
        <v>102.56017823486101</v>
      </c>
      <c r="S264">
        <f t="shared" si="56"/>
        <v>105.47729838598713</v>
      </c>
      <c r="T264">
        <f t="shared" si="62"/>
        <v>105.47729838598713</v>
      </c>
      <c r="U264" s="3">
        <f t="shared" si="63"/>
        <v>101.62095180143</v>
      </c>
      <c r="V264">
        <f t="shared" si="55"/>
        <v>160</v>
      </c>
      <c r="W264" s="8">
        <f t="shared" si="57"/>
        <v>50.735291742171995</v>
      </c>
      <c r="X264" s="1">
        <f t="shared" si="64"/>
        <v>50.735291742171995</v>
      </c>
      <c r="Y264" s="18"/>
      <c r="Z264" s="7"/>
      <c r="AA264" s="1"/>
      <c r="AB264" s="1"/>
      <c r="AC264" s="1"/>
    </row>
    <row r="265" spans="1:29" x14ac:dyDescent="0.3">
      <c r="A265">
        <v>264</v>
      </c>
      <c r="E265">
        <v>-401.7265804415</v>
      </c>
      <c r="F265">
        <v>56.573137148783999</v>
      </c>
      <c r="G265">
        <v>356.87476556568998</v>
      </c>
      <c r="H265">
        <v>53.094619117568001</v>
      </c>
      <c r="I265">
        <v>-127.168312873</v>
      </c>
      <c r="J265">
        <v>102.11151182787</v>
      </c>
      <c r="L265" s="1">
        <f t="shared" si="65"/>
        <v>3.3515471827999903</v>
      </c>
      <c r="M265">
        <f t="shared" si="66"/>
        <v>952.85360881411009</v>
      </c>
      <c r="N265">
        <f t="shared" si="58"/>
        <v>2.6468155800391946</v>
      </c>
      <c r="O265">
        <f t="shared" si="59"/>
        <v>53.094619117568001</v>
      </c>
      <c r="P265">
        <f t="shared" si="60"/>
        <v>213</v>
      </c>
      <c r="Q265">
        <f t="shared" si="54"/>
        <v>102.64164637614101</v>
      </c>
      <c r="R265">
        <f t="shared" si="61"/>
        <v>102.64164637614101</v>
      </c>
      <c r="S265">
        <f t="shared" si="56"/>
        <v>105.62523184030944</v>
      </c>
      <c r="T265">
        <f t="shared" si="62"/>
        <v>105.62523184030944</v>
      </c>
      <c r="U265" s="3">
        <f t="shared" si="63"/>
        <v>102.11151182787</v>
      </c>
      <c r="V265">
        <f t="shared" si="55"/>
        <v>161</v>
      </c>
      <c r="W265" s="8">
        <f t="shared" si="57"/>
        <v>50.750444461063005</v>
      </c>
      <c r="X265" s="1">
        <f t="shared" si="64"/>
        <v>50.750444461063005</v>
      </c>
      <c r="Y265" s="18"/>
      <c r="Z265" s="7"/>
      <c r="AA265" s="1"/>
      <c r="AB265" s="1"/>
      <c r="AC265" s="1"/>
    </row>
    <row r="266" spans="1:29" x14ac:dyDescent="0.3">
      <c r="A266">
        <v>265</v>
      </c>
      <c r="E266">
        <v>-401.50706864760002</v>
      </c>
      <c r="F266">
        <v>58.809777032058001</v>
      </c>
      <c r="G266">
        <v>354.67804531620999</v>
      </c>
      <c r="H266">
        <v>53.161191824269999</v>
      </c>
      <c r="I266">
        <v>-123.82000400690001</v>
      </c>
      <c r="J266">
        <v>102.5964990841</v>
      </c>
      <c r="L266" s="1">
        <f t="shared" si="65"/>
        <v>3.3483088660999982</v>
      </c>
      <c r="M266">
        <f t="shared" si="66"/>
        <v>956.20191768021004</v>
      </c>
      <c r="N266">
        <f t="shared" si="58"/>
        <v>2.6561164380005833</v>
      </c>
      <c r="O266">
        <f t="shared" si="59"/>
        <v>53.161191824269999</v>
      </c>
      <c r="P266">
        <f t="shared" si="60"/>
        <v>214</v>
      </c>
      <c r="Q266">
        <f t="shared" si="54"/>
        <v>102.61910875915399</v>
      </c>
      <c r="R266">
        <f t="shared" si="61"/>
        <v>102.61910875915399</v>
      </c>
      <c r="S266">
        <f t="shared" si="56"/>
        <v>105.6062151741625</v>
      </c>
      <c r="T266">
        <f t="shared" si="62"/>
        <v>105.6062151741625</v>
      </c>
      <c r="U266" s="3">
        <f t="shared" si="63"/>
        <v>102.5964990841</v>
      </c>
      <c r="V266">
        <f t="shared" si="55"/>
        <v>162</v>
      </c>
      <c r="W266" s="8">
        <f t="shared" si="57"/>
        <v>50.75861699467</v>
      </c>
      <c r="X266" s="1">
        <f t="shared" si="64"/>
        <v>50.75861699467</v>
      </c>
      <c r="Y266" s="18"/>
      <c r="Z266" s="7"/>
      <c r="AA266" s="1"/>
      <c r="AB266" s="1"/>
      <c r="AC266" s="1"/>
    </row>
    <row r="267" spans="1:29" x14ac:dyDescent="0.3">
      <c r="A267">
        <v>266</v>
      </c>
      <c r="E267">
        <v>-401.2839501935</v>
      </c>
      <c r="F267">
        <v>61.171147036485998</v>
      </c>
      <c r="G267">
        <v>352.61638705073</v>
      </c>
      <c r="H267">
        <v>53.225240045085997</v>
      </c>
      <c r="I267">
        <v>-120.47538706970001</v>
      </c>
      <c r="J267">
        <v>103.07928490523</v>
      </c>
      <c r="L267" s="1">
        <f t="shared" si="65"/>
        <v>3.3446169372000014</v>
      </c>
      <c r="M267">
        <f t="shared" si="66"/>
        <v>959.54653461741009</v>
      </c>
      <c r="N267">
        <f t="shared" si="58"/>
        <v>2.6654070406039168</v>
      </c>
      <c r="O267">
        <f t="shared" si="59"/>
        <v>53.225240045085997</v>
      </c>
      <c r="P267">
        <f t="shared" si="60"/>
        <v>215</v>
      </c>
      <c r="Q267">
        <f t="shared" si="54"/>
        <v>102.605416173168</v>
      </c>
      <c r="R267">
        <f t="shared" si="61"/>
        <v>102.605416173168</v>
      </c>
      <c r="S267">
        <f t="shared" si="56"/>
        <v>105.59469659209051</v>
      </c>
      <c r="T267">
        <f t="shared" si="62"/>
        <v>105.59469659209051</v>
      </c>
      <c r="U267" s="3">
        <f t="shared" si="63"/>
        <v>103.07928490523</v>
      </c>
      <c r="V267">
        <f t="shared" si="55"/>
        <v>163</v>
      </c>
      <c r="W267" s="8">
        <f t="shared" si="57"/>
        <v>50.748290984694997</v>
      </c>
      <c r="X267" s="1">
        <f t="shared" si="64"/>
        <v>50.748290984694997</v>
      </c>
      <c r="Y267" s="18"/>
      <c r="Z267" s="7"/>
      <c r="AA267" s="1"/>
      <c r="AB267" s="1"/>
      <c r="AC267" s="1"/>
    </row>
    <row r="268" spans="1:29" x14ac:dyDescent="0.3">
      <c r="A268">
        <v>267</v>
      </c>
      <c r="E268">
        <v>-401.0509076706</v>
      </c>
      <c r="F268">
        <v>63.649499477136999</v>
      </c>
      <c r="G268">
        <v>350.69807127882001</v>
      </c>
      <c r="H268">
        <v>53.285136536882</v>
      </c>
      <c r="I268">
        <v>-117.1350641528</v>
      </c>
      <c r="J268">
        <v>103.56518473491001</v>
      </c>
      <c r="L268" s="1">
        <f t="shared" si="65"/>
        <v>3.340322916900007</v>
      </c>
      <c r="M268">
        <f t="shared" si="66"/>
        <v>962.88685753431014</v>
      </c>
      <c r="N268">
        <f t="shared" si="58"/>
        <v>2.6746857153730836</v>
      </c>
      <c r="O268">
        <f t="shared" si="59"/>
        <v>53.285136536882</v>
      </c>
      <c r="P268">
        <f t="shared" si="60"/>
        <v>216</v>
      </c>
      <c r="Q268">
        <f t="shared" si="54"/>
        <v>102.59831402592499</v>
      </c>
      <c r="R268">
        <f t="shared" si="61"/>
        <v>102.59831402592499</v>
      </c>
      <c r="S268">
        <f t="shared" si="56"/>
        <v>105.5924539058074</v>
      </c>
      <c r="T268">
        <f t="shared" si="62"/>
        <v>105.5924539058074</v>
      </c>
      <c r="U268" s="3">
        <f t="shared" si="63"/>
        <v>103.56518473491001</v>
      </c>
      <c r="V268">
        <f t="shared" si="55"/>
        <v>164</v>
      </c>
      <c r="W268" s="8">
        <f t="shared" si="57"/>
        <v>50.751187210329007</v>
      </c>
      <c r="X268" s="1">
        <f t="shared" si="64"/>
        <v>50.751187210329007</v>
      </c>
      <c r="Y268" s="18"/>
      <c r="Z268" s="7"/>
      <c r="AA268" s="1"/>
      <c r="AB268" s="1"/>
      <c r="AC268" s="1"/>
    </row>
    <row r="269" spans="1:29" x14ac:dyDescent="0.3">
      <c r="A269">
        <v>268</v>
      </c>
      <c r="E269">
        <v>-400.8111432325</v>
      </c>
      <c r="F269">
        <v>66.237699316673996</v>
      </c>
      <c r="G269">
        <v>348.93197543169998</v>
      </c>
      <c r="H269">
        <v>53.338090368646</v>
      </c>
      <c r="I269">
        <v>-113.7981545059</v>
      </c>
      <c r="J269">
        <v>104.05000974422001</v>
      </c>
      <c r="L269" s="1">
        <f t="shared" si="65"/>
        <v>3.336909646899997</v>
      </c>
      <c r="M269">
        <f t="shared" si="66"/>
        <v>966.22376718121018</v>
      </c>
      <c r="N269">
        <f t="shared" si="58"/>
        <v>2.6839549088366947</v>
      </c>
      <c r="O269">
        <f t="shared" si="59"/>
        <v>53.338090368646</v>
      </c>
      <c r="P269">
        <f t="shared" si="60"/>
        <v>217</v>
      </c>
      <c r="Q269">
        <f t="shared" si="54"/>
        <v>102.599198220722</v>
      </c>
      <c r="R269">
        <f t="shared" si="61"/>
        <v>102.599198220722</v>
      </c>
      <c r="S269">
        <f t="shared" si="56"/>
        <v>105.59611520333902</v>
      </c>
      <c r="T269">
        <f t="shared" si="62"/>
        <v>105.59611520333902</v>
      </c>
      <c r="U269" s="3">
        <f t="shared" si="63"/>
        <v>104.05000974422001</v>
      </c>
      <c r="V269">
        <f t="shared" si="55"/>
        <v>165</v>
      </c>
      <c r="W269" s="8">
        <f t="shared" si="57"/>
        <v>50.759179321055008</v>
      </c>
      <c r="X269" s="1">
        <f t="shared" si="64"/>
        <v>50.759179321055008</v>
      </c>
      <c r="Y269" s="18"/>
      <c r="Z269" s="7"/>
      <c r="AA269" s="1"/>
      <c r="AB269" s="1"/>
      <c r="AC269" s="1"/>
    </row>
    <row r="270" spans="1:29" x14ac:dyDescent="0.3">
      <c r="A270">
        <v>269</v>
      </c>
      <c r="E270">
        <v>-400.560850308</v>
      </c>
      <c r="F270">
        <v>68.926384637588995</v>
      </c>
      <c r="G270">
        <v>347.32444027372998</v>
      </c>
      <c r="H270">
        <v>53.383740200715998</v>
      </c>
      <c r="I270">
        <v>-110.46442808650001</v>
      </c>
      <c r="J270">
        <v>104.53666502662</v>
      </c>
      <c r="L270" s="1">
        <f t="shared" si="65"/>
        <v>3.3337264193999943</v>
      </c>
      <c r="M270">
        <f t="shared" si="66"/>
        <v>969.5574936006102</v>
      </c>
      <c r="N270">
        <f t="shared" si="58"/>
        <v>2.6932152600016952</v>
      </c>
      <c r="O270">
        <f t="shared" si="59"/>
        <v>53.383740200715998</v>
      </c>
      <c r="P270">
        <f t="shared" si="60"/>
        <v>218</v>
      </c>
      <c r="Q270">
        <f t="shared" si="54"/>
        <v>102.60042945366399</v>
      </c>
      <c r="R270">
        <f t="shared" si="61"/>
        <v>102.60042945366399</v>
      </c>
      <c r="S270">
        <f t="shared" si="56"/>
        <v>105.59881525428582</v>
      </c>
      <c r="T270">
        <f t="shared" si="62"/>
        <v>105.59881525428582</v>
      </c>
      <c r="U270" s="3">
        <f t="shared" si="63"/>
        <v>104.53666502662</v>
      </c>
      <c r="V270">
        <f t="shared" si="55"/>
        <v>166</v>
      </c>
      <c r="W270" s="8">
        <f t="shared" si="57"/>
        <v>50.757608566907003</v>
      </c>
      <c r="X270" s="1">
        <f t="shared" si="64"/>
        <v>50.757608566907003</v>
      </c>
      <c r="Y270" s="18"/>
      <c r="Z270" s="7"/>
      <c r="AA270" s="1"/>
      <c r="AB270" s="1"/>
      <c r="AC270" s="1"/>
    </row>
    <row r="271" spans="1:29" x14ac:dyDescent="0.3">
      <c r="A271">
        <v>270</v>
      </c>
      <c r="E271">
        <v>-400.30148041770002</v>
      </c>
      <c r="F271">
        <v>71.704494132776006</v>
      </c>
      <c r="G271">
        <v>345.87857537151001</v>
      </c>
      <c r="H271">
        <v>53.424958905178002</v>
      </c>
      <c r="I271">
        <v>-107.133321626</v>
      </c>
      <c r="J271">
        <v>105.02300924974</v>
      </c>
      <c r="L271" s="1">
        <f t="shared" si="65"/>
        <v>3.3311064605000098</v>
      </c>
      <c r="M271">
        <f t="shared" si="66"/>
        <v>972.8886000611102</v>
      </c>
      <c r="N271">
        <f t="shared" si="58"/>
        <v>2.7024683335030839</v>
      </c>
      <c r="O271">
        <f t="shared" si="59"/>
        <v>53.424958905178002</v>
      </c>
      <c r="P271">
        <f t="shared" si="60"/>
        <v>219</v>
      </c>
      <c r="Q271">
        <f t="shared" si="54"/>
        <v>102.59483784780801</v>
      </c>
      <c r="R271">
        <f t="shared" si="61"/>
        <v>102.59483784780801</v>
      </c>
      <c r="S271">
        <f t="shared" si="56"/>
        <v>105.59573922429365</v>
      </c>
      <c r="T271">
        <f t="shared" si="62"/>
        <v>105.59573922429365</v>
      </c>
      <c r="U271" s="3">
        <f t="shared" si="63"/>
        <v>105.02300924974</v>
      </c>
      <c r="V271">
        <f t="shared" si="55"/>
        <v>167</v>
      </c>
      <c r="W271" s="8">
        <f t="shared" si="57"/>
        <v>50.763215279770002</v>
      </c>
      <c r="X271" s="1">
        <f t="shared" si="64"/>
        <v>50.763215279770002</v>
      </c>
      <c r="Y271" s="18"/>
      <c r="Z271" s="7"/>
      <c r="AA271" s="1"/>
      <c r="AB271" s="1"/>
      <c r="AC271" s="1"/>
    </row>
    <row r="272" spans="1:29" x14ac:dyDescent="0.3">
      <c r="A272">
        <v>271</v>
      </c>
      <c r="E272">
        <v>-400.0407075032</v>
      </c>
      <c r="F272">
        <v>74.566133380718</v>
      </c>
      <c r="G272">
        <v>344.60602936645</v>
      </c>
      <c r="H272">
        <v>53.454516451479002</v>
      </c>
      <c r="I272">
        <v>-103.8026457965</v>
      </c>
      <c r="J272">
        <v>105.50022775710001</v>
      </c>
      <c r="L272" s="1">
        <f t="shared" si="65"/>
        <v>3.3306758294999952</v>
      </c>
      <c r="M272">
        <f t="shared" si="66"/>
        <v>976.21927589061022</v>
      </c>
      <c r="N272">
        <f t="shared" si="58"/>
        <v>2.7117202108072505</v>
      </c>
      <c r="O272">
        <f t="shared" si="59"/>
        <v>53.454516451479002</v>
      </c>
      <c r="P272">
        <f t="shared" si="60"/>
        <v>220</v>
      </c>
      <c r="Q272">
        <f t="shared" si="54"/>
        <v>102.58561409587401</v>
      </c>
      <c r="R272">
        <f t="shared" si="61"/>
        <v>102.58561409587401</v>
      </c>
      <c r="S272">
        <f t="shared" si="56"/>
        <v>105.59002831933817</v>
      </c>
      <c r="T272">
        <f t="shared" si="62"/>
        <v>105.59002831933817</v>
      </c>
      <c r="U272" s="3">
        <f t="shared" si="63"/>
        <v>105.50022775710001</v>
      </c>
      <c r="V272">
        <f t="shared" si="55"/>
        <v>168</v>
      </c>
      <c r="W272" s="8">
        <f t="shared" si="57"/>
        <v>50.757186906620007</v>
      </c>
      <c r="X272" s="1">
        <f t="shared" si="64"/>
        <v>50.757186906620007</v>
      </c>
      <c r="Y272" s="18"/>
      <c r="Z272" s="7"/>
      <c r="AA272" s="1"/>
      <c r="AB272" s="1"/>
      <c r="AC272" s="1"/>
    </row>
    <row r="273" spans="1:29" x14ac:dyDescent="0.3">
      <c r="A273">
        <v>272</v>
      </c>
      <c r="E273">
        <v>-399.77136470800002</v>
      </c>
      <c r="F273">
        <v>77.498916979059999</v>
      </c>
      <c r="G273">
        <v>343.50948679276001</v>
      </c>
      <c r="H273">
        <v>53.474582564839999</v>
      </c>
      <c r="I273">
        <v>-100.4730227731</v>
      </c>
      <c r="J273">
        <v>105.97474345000001</v>
      </c>
      <c r="L273" s="1">
        <f t="shared" si="65"/>
        <v>3.3296230234000035</v>
      </c>
      <c r="M273">
        <f t="shared" si="66"/>
        <v>979.54889891401024</v>
      </c>
      <c r="N273">
        <f t="shared" si="58"/>
        <v>2.7209691636500284</v>
      </c>
      <c r="O273">
        <f t="shared" si="59"/>
        <v>53.474582564839999</v>
      </c>
      <c r="P273">
        <f t="shared" si="60"/>
        <v>221</v>
      </c>
      <c r="Q273">
        <f t="shared" si="54"/>
        <v>102.57577925818799</v>
      </c>
      <c r="R273">
        <f t="shared" si="61"/>
        <v>102.57577925818799</v>
      </c>
      <c r="S273">
        <f t="shared" si="56"/>
        <v>105.57920980531087</v>
      </c>
      <c r="T273">
        <f t="shared" si="62"/>
        <v>105.57920980531087</v>
      </c>
      <c r="U273" s="3">
        <f t="shared" si="63"/>
        <v>105.97474345000001</v>
      </c>
      <c r="V273">
        <f t="shared" si="55"/>
        <v>169</v>
      </c>
      <c r="W273" s="8">
        <f t="shared" si="57"/>
        <v>50.746967809440008</v>
      </c>
      <c r="X273" s="1">
        <f t="shared" si="64"/>
        <v>50.746967809440008</v>
      </c>
      <c r="Y273" s="18"/>
      <c r="Z273" s="7"/>
      <c r="AA273" s="1"/>
      <c r="AB273" s="1"/>
      <c r="AC273" s="1"/>
    </row>
    <row r="274" spans="1:29" x14ac:dyDescent="0.3">
      <c r="A274">
        <v>273</v>
      </c>
      <c r="E274">
        <v>-399.4839034062</v>
      </c>
      <c r="F274">
        <v>80.487759654087995</v>
      </c>
      <c r="G274">
        <v>342.58194216037998</v>
      </c>
      <c r="H274">
        <v>53.496213486216</v>
      </c>
      <c r="I274">
        <v>-97.145826897600003</v>
      </c>
      <c r="J274">
        <v>106.45601922658</v>
      </c>
      <c r="L274" s="1">
        <f t="shared" si="65"/>
        <v>3.3271958754999957</v>
      </c>
      <c r="M274">
        <f t="shared" si="66"/>
        <v>982.87609478951026</v>
      </c>
      <c r="N274">
        <f t="shared" si="58"/>
        <v>2.7302113744153065</v>
      </c>
      <c r="O274">
        <f t="shared" si="59"/>
        <v>53.496213486216</v>
      </c>
      <c r="P274">
        <f t="shared" si="60"/>
        <v>222</v>
      </c>
      <c r="Q274">
        <f t="shared" ref="Q274:Q337" si="67">IF(P274=0,0,O274+INDEX(O:O,P274))</f>
        <v>102.574100087349</v>
      </c>
      <c r="R274">
        <f t="shared" si="61"/>
        <v>102.574100087349</v>
      </c>
      <c r="S274">
        <f t="shared" si="56"/>
        <v>105.57642869248053</v>
      </c>
      <c r="T274">
        <f t="shared" si="62"/>
        <v>105.57642869248053</v>
      </c>
      <c r="U274" s="3">
        <f t="shared" si="63"/>
        <v>106.45601922658</v>
      </c>
      <c r="V274">
        <f t="shared" si="55"/>
        <v>170</v>
      </c>
      <c r="W274" s="8">
        <f t="shared" si="57"/>
        <v>50.741817495890999</v>
      </c>
      <c r="X274" s="1">
        <f t="shared" si="64"/>
        <v>50.741817495890999</v>
      </c>
      <c r="Y274" s="18"/>
      <c r="Z274" s="7"/>
      <c r="AA274" s="1"/>
      <c r="AB274" s="1"/>
      <c r="AC274" s="1"/>
    </row>
    <row r="275" spans="1:29" x14ac:dyDescent="0.3">
      <c r="A275">
        <v>274</v>
      </c>
      <c r="E275">
        <v>-399.1728779961</v>
      </c>
      <c r="F275">
        <v>83.523395447750005</v>
      </c>
      <c r="G275">
        <v>341.83070503915002</v>
      </c>
      <c r="H275">
        <v>53.514435822007997</v>
      </c>
      <c r="I275">
        <v>-93.821728428520004</v>
      </c>
      <c r="J275">
        <v>106.94851880479</v>
      </c>
      <c r="L275" s="1">
        <f t="shared" si="65"/>
        <v>3.3240984690799991</v>
      </c>
      <c r="M275">
        <f t="shared" si="66"/>
        <v>986.20019325859028</v>
      </c>
      <c r="N275">
        <f t="shared" si="58"/>
        <v>2.7394449812738619</v>
      </c>
      <c r="O275">
        <f t="shared" si="59"/>
        <v>53.514435822007997</v>
      </c>
      <c r="P275">
        <f t="shared" si="60"/>
        <v>223</v>
      </c>
      <c r="Q275">
        <f t="shared" si="67"/>
        <v>102.578485997466</v>
      </c>
      <c r="R275">
        <f t="shared" si="61"/>
        <v>102.578485997466</v>
      </c>
      <c r="S275">
        <f t="shared" si="56"/>
        <v>105.58281944949206</v>
      </c>
      <c r="T275">
        <f t="shared" si="62"/>
        <v>105.58281944949206</v>
      </c>
      <c r="U275" s="3">
        <f t="shared" si="63"/>
        <v>106.94851880479</v>
      </c>
      <c r="V275">
        <f t="shared" si="55"/>
        <v>171</v>
      </c>
      <c r="W275" s="8">
        <f t="shared" si="57"/>
        <v>50.753003243879995</v>
      </c>
      <c r="X275" s="1">
        <f t="shared" si="64"/>
        <v>50.753003243879995</v>
      </c>
      <c r="Y275" s="18"/>
      <c r="Z275" s="7"/>
      <c r="AA275" s="1"/>
      <c r="AB275" s="1"/>
      <c r="AC275" s="1"/>
    </row>
    <row r="276" spans="1:29" x14ac:dyDescent="0.3">
      <c r="A276">
        <v>275</v>
      </c>
      <c r="E276">
        <v>-398.85518690160001</v>
      </c>
      <c r="F276">
        <v>86.598374304770005</v>
      </c>
      <c r="G276">
        <v>341.26564575046001</v>
      </c>
      <c r="H276">
        <v>53.522450579721998</v>
      </c>
      <c r="I276">
        <v>-90.497348443259995</v>
      </c>
      <c r="J276">
        <v>107.43432005123999</v>
      </c>
      <c r="L276" s="1">
        <f t="shared" si="65"/>
        <v>3.3243799852600091</v>
      </c>
      <c r="M276">
        <f t="shared" si="66"/>
        <v>989.52457324385023</v>
      </c>
      <c r="N276">
        <f t="shared" si="58"/>
        <v>2.7486793701218062</v>
      </c>
      <c r="O276">
        <f t="shared" si="59"/>
        <v>53.522450579721998</v>
      </c>
      <c r="P276">
        <f t="shared" si="60"/>
        <v>224</v>
      </c>
      <c r="Q276">
        <f t="shared" si="67"/>
        <v>102.570330102534</v>
      </c>
      <c r="R276">
        <f t="shared" si="61"/>
        <v>102.570330102534</v>
      </c>
      <c r="S276">
        <f t="shared" si="56"/>
        <v>105.57551116422836</v>
      </c>
      <c r="T276">
        <f t="shared" si="62"/>
        <v>105.57551116422836</v>
      </c>
      <c r="U276" s="3">
        <f t="shared" si="63"/>
        <v>107.43432005123999</v>
      </c>
      <c r="V276">
        <f t="shared" si="55"/>
        <v>172</v>
      </c>
      <c r="W276" s="8">
        <f t="shared" si="57"/>
        <v>50.756543613676996</v>
      </c>
      <c r="X276" s="1">
        <f t="shared" si="64"/>
        <v>50.756543613676996</v>
      </c>
      <c r="Y276" s="18"/>
      <c r="Z276" s="7"/>
      <c r="AA276" s="1"/>
      <c r="AB276" s="1"/>
      <c r="AC276" s="1"/>
    </row>
    <row r="277" spans="1:29" x14ac:dyDescent="0.3">
      <c r="A277">
        <v>276</v>
      </c>
      <c r="E277">
        <v>-398.52011433590002</v>
      </c>
      <c r="F277">
        <v>89.701554032174997</v>
      </c>
      <c r="G277">
        <v>340.89978721915998</v>
      </c>
      <c r="H277">
        <v>53.508627108107</v>
      </c>
      <c r="I277">
        <v>-87.173203221009999</v>
      </c>
      <c r="J277">
        <v>107.92260187447</v>
      </c>
      <c r="L277" s="1">
        <f t="shared" si="65"/>
        <v>3.3241452222499959</v>
      </c>
      <c r="M277">
        <f t="shared" si="66"/>
        <v>992.84871846610019</v>
      </c>
      <c r="N277">
        <f t="shared" si="58"/>
        <v>2.7579131068502782</v>
      </c>
      <c r="O277">
        <f t="shared" si="59"/>
        <v>53.508627108107</v>
      </c>
      <c r="P277">
        <f t="shared" si="60"/>
        <v>225</v>
      </c>
      <c r="Q277">
        <f t="shared" si="67"/>
        <v>102.55914207673101</v>
      </c>
      <c r="R277">
        <f t="shared" si="61"/>
        <v>102.55914207673101</v>
      </c>
      <c r="S277">
        <f t="shared" si="56"/>
        <v>105.56614574626209</v>
      </c>
      <c r="T277">
        <f t="shared" si="62"/>
        <v>105.56614574626209</v>
      </c>
      <c r="U277" s="3">
        <f t="shared" si="63"/>
        <v>107.92260187447</v>
      </c>
      <c r="V277">
        <f t="shared" si="55"/>
        <v>173</v>
      </c>
      <c r="W277" s="8">
        <f t="shared" si="57"/>
        <v>50.760636003110001</v>
      </c>
      <c r="X277" s="1">
        <f t="shared" si="64"/>
        <v>50.760636003110001</v>
      </c>
      <c r="Y277" s="18"/>
      <c r="Z277" s="7"/>
      <c r="AA277" s="1"/>
      <c r="AB277" s="1"/>
      <c r="AC277" s="1"/>
    </row>
    <row r="278" spans="1:29" x14ac:dyDescent="0.3">
      <c r="A278">
        <v>277</v>
      </c>
      <c r="E278">
        <v>-398.16698809130003</v>
      </c>
      <c r="F278">
        <v>92.818765157987002</v>
      </c>
      <c r="G278">
        <v>340.71378392384003</v>
      </c>
      <c r="H278">
        <v>53.493625725961003</v>
      </c>
      <c r="I278">
        <v>-83.848789270910004</v>
      </c>
      <c r="J278">
        <v>108.41501276718</v>
      </c>
      <c r="L278" s="1">
        <f t="shared" si="65"/>
        <v>3.324413950099995</v>
      </c>
      <c r="M278">
        <f t="shared" si="66"/>
        <v>996.17313241620013</v>
      </c>
      <c r="N278">
        <f t="shared" si="58"/>
        <v>2.7671475900450004</v>
      </c>
      <c r="O278">
        <f t="shared" si="59"/>
        <v>53.493625725961003</v>
      </c>
      <c r="P278">
        <f t="shared" si="60"/>
        <v>225</v>
      </c>
      <c r="Q278">
        <f t="shared" si="67"/>
        <v>102.544140694585</v>
      </c>
      <c r="R278">
        <f t="shared" si="61"/>
        <v>102.544140694585</v>
      </c>
      <c r="S278">
        <f t="shared" si="56"/>
        <v>105.62382969502104</v>
      </c>
      <c r="T278">
        <f t="shared" si="62"/>
        <v>105.62382969502104</v>
      </c>
      <c r="U278" s="3">
        <f t="shared" si="63"/>
        <v>108.41501276718</v>
      </c>
      <c r="V278">
        <f t="shared" si="55"/>
        <v>174</v>
      </c>
      <c r="W278" s="8">
        <f t="shared" si="57"/>
        <v>50.763750652280002</v>
      </c>
      <c r="X278" s="1">
        <f t="shared" si="64"/>
        <v>50.763750652280002</v>
      </c>
      <c r="Y278" s="18"/>
      <c r="Z278" s="7"/>
      <c r="AA278" s="1"/>
      <c r="AB278" s="1"/>
      <c r="AC278" s="1"/>
    </row>
    <row r="279" spans="1:29" x14ac:dyDescent="0.3">
      <c r="A279">
        <v>278</v>
      </c>
      <c r="E279">
        <v>-397.80430837720002</v>
      </c>
      <c r="F279">
        <v>95.940408103169005</v>
      </c>
      <c r="G279">
        <v>340.71599113076002</v>
      </c>
      <c r="H279">
        <v>53.470331221476997</v>
      </c>
      <c r="I279">
        <v>-80.522345549579995</v>
      </c>
      <c r="J279">
        <v>108.90202962513</v>
      </c>
      <c r="L279" s="1">
        <f t="shared" si="65"/>
        <v>3.3264437213300084</v>
      </c>
      <c r="M279">
        <f t="shared" si="66"/>
        <v>999.49957613753008</v>
      </c>
      <c r="N279">
        <f t="shared" si="58"/>
        <v>2.7763877114931392</v>
      </c>
      <c r="O279">
        <f t="shared" si="59"/>
        <v>53.470331221476997</v>
      </c>
      <c r="P279">
        <f t="shared" si="60"/>
        <v>226</v>
      </c>
      <c r="Q279">
        <f t="shared" si="67"/>
        <v>102.528782264342</v>
      </c>
      <c r="R279">
        <f t="shared" si="61"/>
        <v>102.528782264342</v>
      </c>
      <c r="S279">
        <f t="shared" si="56"/>
        <v>105.61400891788628</v>
      </c>
      <c r="T279">
        <f t="shared" si="62"/>
        <v>105.61400891788628</v>
      </c>
      <c r="U279" s="3">
        <f t="shared" si="63"/>
        <v>108.90202962513</v>
      </c>
      <c r="V279">
        <f t="shared" si="55"/>
        <v>175</v>
      </c>
      <c r="W279" s="8">
        <f t="shared" si="57"/>
        <v>50.758921721602995</v>
      </c>
      <c r="X279" s="1">
        <f t="shared" si="64"/>
        <v>50.758921721602995</v>
      </c>
      <c r="Y279" s="18"/>
      <c r="Z279" s="7"/>
      <c r="AA279" s="1"/>
      <c r="AB279" s="1"/>
      <c r="AC279" s="1"/>
    </row>
    <row r="280" spans="1:29" x14ac:dyDescent="0.3">
      <c r="A280">
        <v>279</v>
      </c>
      <c r="E280">
        <v>-397.43611558840001</v>
      </c>
      <c r="F280">
        <v>99.055748569740999</v>
      </c>
      <c r="G280">
        <v>340.9025489485</v>
      </c>
      <c r="H280">
        <v>53.443080857757998</v>
      </c>
      <c r="I280">
        <v>-77.192857215969994</v>
      </c>
      <c r="J280">
        <v>109.37950458956</v>
      </c>
      <c r="L280" s="1">
        <f t="shared" si="65"/>
        <v>3.3294883336100014</v>
      </c>
      <c r="M280">
        <f t="shared" si="66"/>
        <v>1002.8290644711401</v>
      </c>
      <c r="N280">
        <f t="shared" si="58"/>
        <v>2.7856362901976115</v>
      </c>
      <c r="O280">
        <f t="shared" si="59"/>
        <v>53.443080857757998</v>
      </c>
      <c r="P280">
        <f t="shared" si="60"/>
        <v>227</v>
      </c>
      <c r="Q280">
        <f t="shared" si="67"/>
        <v>102.51406453066301</v>
      </c>
      <c r="R280">
        <f t="shared" si="61"/>
        <v>102.51406453066301</v>
      </c>
      <c r="S280">
        <f t="shared" si="56"/>
        <v>105.60130379514585</v>
      </c>
      <c r="T280">
        <f t="shared" si="62"/>
        <v>105.60130379514585</v>
      </c>
      <c r="U280" s="3">
        <f t="shared" si="63"/>
        <v>109.37950458956</v>
      </c>
      <c r="V280">
        <f t="shared" si="55"/>
        <v>176</v>
      </c>
      <c r="W280" s="8">
        <f t="shared" si="57"/>
        <v>50.741014382743998</v>
      </c>
      <c r="X280" s="1">
        <f t="shared" si="64"/>
        <v>50.741014382743998</v>
      </c>
      <c r="Y280" s="18"/>
      <c r="Z280" s="7"/>
      <c r="AA280" s="1"/>
      <c r="AB280" s="1"/>
      <c r="AC280" s="1"/>
    </row>
    <row r="281" spans="1:29" x14ac:dyDescent="0.3">
      <c r="A281">
        <v>280</v>
      </c>
      <c r="E281">
        <v>-397.05148287819998</v>
      </c>
      <c r="F281">
        <v>102.15271716245</v>
      </c>
      <c r="G281">
        <v>341.27286154609999</v>
      </c>
      <c r="H281">
        <v>53.410944598623999</v>
      </c>
      <c r="I281">
        <v>-73.861617993720003</v>
      </c>
      <c r="J281">
        <v>109.85788109971</v>
      </c>
      <c r="L281" s="1">
        <f t="shared" si="65"/>
        <v>3.3312392222499909</v>
      </c>
      <c r="M281">
        <f t="shared" si="66"/>
        <v>1006.1603036933901</v>
      </c>
      <c r="N281">
        <f t="shared" si="58"/>
        <v>2.7948897324816393</v>
      </c>
      <c r="O281">
        <f t="shared" si="59"/>
        <v>53.410944598623999</v>
      </c>
      <c r="P281">
        <f t="shared" si="60"/>
        <v>228</v>
      </c>
      <c r="Q281">
        <f t="shared" si="67"/>
        <v>102.513917573871</v>
      </c>
      <c r="R281">
        <f t="shared" si="61"/>
        <v>102.513917573871</v>
      </c>
      <c r="S281">
        <f t="shared" si="56"/>
        <v>105.60320258057739</v>
      </c>
      <c r="T281">
        <f t="shared" si="62"/>
        <v>105.60320258057739</v>
      </c>
      <c r="U281" s="3">
        <f t="shared" si="63"/>
        <v>109.85788109971</v>
      </c>
      <c r="V281">
        <f t="shared" si="55"/>
        <v>177</v>
      </c>
      <c r="W281" s="8">
        <f t="shared" si="57"/>
        <v>50.734925269949002</v>
      </c>
      <c r="X281" s="1">
        <f t="shared" si="64"/>
        <v>50.734925269949002</v>
      </c>
      <c r="Y281" s="18"/>
      <c r="Z281" s="7"/>
      <c r="AA281" s="1"/>
      <c r="AB281" s="1"/>
      <c r="AC281" s="1"/>
    </row>
    <row r="282" spans="1:29" x14ac:dyDescent="0.3">
      <c r="A282">
        <v>281</v>
      </c>
      <c r="E282">
        <v>-396.63571105369999</v>
      </c>
      <c r="F282">
        <v>105.21867888942</v>
      </c>
      <c r="G282">
        <v>341.82369072030002</v>
      </c>
      <c r="H282">
        <v>53.374169588754</v>
      </c>
      <c r="I282">
        <v>-70.530834115719998</v>
      </c>
      <c r="J282">
        <v>110.35154871647001</v>
      </c>
      <c r="L282" s="1">
        <f t="shared" si="65"/>
        <v>3.3307838780000054</v>
      </c>
      <c r="M282">
        <f t="shared" si="66"/>
        <v>1009.4910875713902</v>
      </c>
      <c r="N282">
        <f t="shared" si="58"/>
        <v>2.8041419099205283</v>
      </c>
      <c r="O282">
        <f t="shared" si="59"/>
        <v>53.374169588754</v>
      </c>
      <c r="P282">
        <f t="shared" si="60"/>
        <v>229</v>
      </c>
      <c r="Q282">
        <f t="shared" si="67"/>
        <v>102.516430950901</v>
      </c>
      <c r="R282">
        <f t="shared" si="61"/>
        <v>102.516430950901</v>
      </c>
      <c r="S282">
        <f t="shared" si="56"/>
        <v>105.61086749735912</v>
      </c>
      <c r="T282">
        <f t="shared" si="62"/>
        <v>105.61086749735912</v>
      </c>
      <c r="U282" s="3">
        <f t="shared" si="63"/>
        <v>110.35154871647001</v>
      </c>
      <c r="V282">
        <f t="shared" si="55"/>
        <v>178</v>
      </c>
      <c r="W282" s="8">
        <f t="shared" si="57"/>
        <v>50.741161200886005</v>
      </c>
      <c r="X282" s="1">
        <f t="shared" si="64"/>
        <v>50.741161200886005</v>
      </c>
      <c r="Y282" s="18"/>
      <c r="Z282" s="7"/>
      <c r="AA282" s="1"/>
      <c r="AB282" s="1"/>
      <c r="AC282" s="1"/>
    </row>
    <row r="283" spans="1:29" x14ac:dyDescent="0.3">
      <c r="A283">
        <v>282</v>
      </c>
      <c r="E283">
        <v>-396.19412687710002</v>
      </c>
      <c r="F283">
        <v>108.23640635124001</v>
      </c>
      <c r="G283">
        <v>342.58096233467001</v>
      </c>
      <c r="H283">
        <v>53.304344936698001</v>
      </c>
      <c r="I283">
        <v>-67.198791875750004</v>
      </c>
      <c r="J283">
        <v>110.85242860759</v>
      </c>
      <c r="L283" s="1">
        <f t="shared" si="65"/>
        <v>3.3320422399699936</v>
      </c>
      <c r="M283">
        <f t="shared" si="66"/>
        <v>1012.8231298113601</v>
      </c>
      <c r="N283">
        <f t="shared" si="58"/>
        <v>2.8133975828093338</v>
      </c>
      <c r="O283">
        <f t="shared" si="59"/>
        <v>53.304344936698001</v>
      </c>
      <c r="P283">
        <f t="shared" si="60"/>
        <v>230</v>
      </c>
      <c r="Q283">
        <f t="shared" si="67"/>
        <v>102.492825482154</v>
      </c>
      <c r="R283">
        <f t="shared" si="61"/>
        <v>102.492825482154</v>
      </c>
      <c r="S283">
        <f t="shared" si="56"/>
        <v>105.59698777637907</v>
      </c>
      <c r="T283">
        <f t="shared" si="62"/>
        <v>105.59698777637907</v>
      </c>
      <c r="U283" s="3">
        <f t="shared" si="63"/>
        <v>110.85242860759</v>
      </c>
      <c r="V283">
        <f t="shared" si="55"/>
        <v>179</v>
      </c>
      <c r="W283" s="8">
        <f t="shared" si="57"/>
        <v>50.762547857591997</v>
      </c>
      <c r="X283" s="1">
        <f t="shared" si="64"/>
        <v>50.762547857591997</v>
      </c>
      <c r="Y283" s="18"/>
      <c r="Z283" s="7"/>
      <c r="AA283" s="1"/>
      <c r="AB283" s="1"/>
      <c r="AC283" s="1"/>
    </row>
    <row r="284" spans="1:29" x14ac:dyDescent="0.3">
      <c r="A284">
        <v>283</v>
      </c>
      <c r="E284">
        <v>-395.74761394780001</v>
      </c>
      <c r="F284">
        <v>111.20550446556</v>
      </c>
      <c r="G284">
        <v>343.50909238973998</v>
      </c>
      <c r="H284">
        <v>53.237721309179001</v>
      </c>
      <c r="I284">
        <v>-63.860348656539998</v>
      </c>
      <c r="J284">
        <v>111.34255808184</v>
      </c>
      <c r="L284" s="1">
        <f t="shared" si="65"/>
        <v>3.3384432192100064</v>
      </c>
      <c r="M284">
        <f t="shared" si="66"/>
        <v>1016.1615730305701</v>
      </c>
      <c r="N284">
        <f t="shared" si="58"/>
        <v>2.8226710361960281</v>
      </c>
      <c r="O284">
        <f t="shared" si="59"/>
        <v>53.237721309179001</v>
      </c>
      <c r="P284">
        <f t="shared" si="60"/>
        <v>231</v>
      </c>
      <c r="Q284">
        <f t="shared" si="67"/>
        <v>102.483890525737</v>
      </c>
      <c r="R284">
        <f t="shared" si="61"/>
        <v>102.483890525737</v>
      </c>
      <c r="S284">
        <f t="shared" si="56"/>
        <v>105.59385659619868</v>
      </c>
      <c r="T284">
        <f t="shared" si="62"/>
        <v>105.59385659619868</v>
      </c>
      <c r="U284" s="3">
        <f t="shared" si="63"/>
        <v>111.34255808184</v>
      </c>
      <c r="V284">
        <f t="shared" si="55"/>
        <v>180</v>
      </c>
      <c r="W284" s="8">
        <f t="shared" si="57"/>
        <v>50.761572962170995</v>
      </c>
      <c r="X284" s="1">
        <f t="shared" si="64"/>
        <v>50.761572962170995</v>
      </c>
      <c r="Y284" s="18"/>
      <c r="Z284" s="7"/>
      <c r="AA284" s="1"/>
      <c r="AB284" s="1"/>
      <c r="AC284" s="1"/>
    </row>
    <row r="285" spans="1:29" x14ac:dyDescent="0.3">
      <c r="A285">
        <v>284</v>
      </c>
      <c r="E285">
        <v>-395.28528388780001</v>
      </c>
      <c r="F285">
        <v>114.11604519193</v>
      </c>
      <c r="G285">
        <v>344.60051312183998</v>
      </c>
      <c r="H285">
        <v>53.177865358307002</v>
      </c>
      <c r="I285">
        <v>-60.517864595760003</v>
      </c>
      <c r="J285">
        <v>111.83298758356</v>
      </c>
      <c r="L285" s="1">
        <f t="shared" si="65"/>
        <v>3.342484060779995</v>
      </c>
      <c r="M285">
        <f t="shared" si="66"/>
        <v>1019.5040570913501</v>
      </c>
      <c r="N285">
        <f t="shared" si="58"/>
        <v>2.831955714142639</v>
      </c>
      <c r="O285">
        <f t="shared" si="59"/>
        <v>53.177865358307002</v>
      </c>
      <c r="P285">
        <f t="shared" si="60"/>
        <v>232</v>
      </c>
      <c r="Q285">
        <f t="shared" si="67"/>
        <v>102.459066637029</v>
      </c>
      <c r="R285">
        <f t="shared" si="61"/>
        <v>102.459066637029</v>
      </c>
      <c r="S285">
        <f t="shared" si="56"/>
        <v>105.57385031654985</v>
      </c>
      <c r="T285">
        <f t="shared" si="62"/>
        <v>105.57385031654985</v>
      </c>
      <c r="U285" s="3">
        <f t="shared" si="63"/>
        <v>111.83298758356</v>
      </c>
      <c r="V285">
        <f t="shared" si="55"/>
        <v>181</v>
      </c>
      <c r="W285" s="8">
        <f t="shared" si="57"/>
        <v>50.760375236511997</v>
      </c>
      <c r="X285" s="1">
        <f t="shared" si="64"/>
        <v>50.760375236511997</v>
      </c>
      <c r="Y285" s="18"/>
      <c r="Z285" s="7"/>
      <c r="AA285" s="1"/>
      <c r="AB285" s="1"/>
      <c r="AC285" s="1"/>
    </row>
    <row r="286" spans="1:29" x14ac:dyDescent="0.3">
      <c r="A286">
        <v>285</v>
      </c>
      <c r="E286">
        <v>-394.81096307119998</v>
      </c>
      <c r="F286">
        <v>116.95735830597</v>
      </c>
      <c r="G286">
        <v>345.85661372086003</v>
      </c>
      <c r="H286">
        <v>53.120202233873997</v>
      </c>
      <c r="I286">
        <v>-57.171015311730002</v>
      </c>
      <c r="J286">
        <v>112.31936420666</v>
      </c>
      <c r="L286" s="1">
        <f t="shared" si="65"/>
        <v>3.3468492840300001</v>
      </c>
      <c r="M286">
        <f t="shared" si="66"/>
        <v>1022.8509063753801</v>
      </c>
      <c r="N286">
        <f t="shared" si="58"/>
        <v>2.841252517709389</v>
      </c>
      <c r="O286">
        <f t="shared" si="59"/>
        <v>53.120202233873997</v>
      </c>
      <c r="P286">
        <f t="shared" si="60"/>
        <v>233</v>
      </c>
      <c r="Q286">
        <f t="shared" si="67"/>
        <v>102.46128151980299</v>
      </c>
      <c r="R286">
        <f t="shared" si="61"/>
        <v>102.46128151980299</v>
      </c>
      <c r="S286">
        <f t="shared" si="56"/>
        <v>105.57715937931017</v>
      </c>
      <c r="T286">
        <f t="shared" si="62"/>
        <v>105.57715937931017</v>
      </c>
      <c r="U286" s="3">
        <f t="shared" si="63"/>
        <v>112.31936420666</v>
      </c>
      <c r="V286">
        <f t="shared" si="55"/>
        <v>182</v>
      </c>
      <c r="W286" s="8">
        <f t="shared" si="57"/>
        <v>50.761917424484999</v>
      </c>
      <c r="X286" s="1">
        <f t="shared" si="64"/>
        <v>50.761917424484999</v>
      </c>
      <c r="Y286" s="18"/>
      <c r="Z286" s="7"/>
      <c r="AA286" s="1"/>
      <c r="AB286" s="1"/>
      <c r="AC286" s="1"/>
    </row>
    <row r="287" spans="1:29" x14ac:dyDescent="0.3">
      <c r="A287">
        <v>286</v>
      </c>
      <c r="E287">
        <v>-394.32140269140001</v>
      </c>
      <c r="F287">
        <v>119.70648722051</v>
      </c>
      <c r="G287">
        <v>347.29848007173001</v>
      </c>
      <c r="H287">
        <v>53.036068157416999</v>
      </c>
      <c r="I287">
        <v>-53.819675640729997</v>
      </c>
      <c r="J287">
        <v>112.80230686615</v>
      </c>
      <c r="L287" s="1">
        <f t="shared" si="65"/>
        <v>3.3513396710000052</v>
      </c>
      <c r="M287">
        <f t="shared" si="66"/>
        <v>1026.20224604638</v>
      </c>
      <c r="N287">
        <f t="shared" si="58"/>
        <v>2.8505617945732777</v>
      </c>
      <c r="O287">
        <f t="shared" si="59"/>
        <v>53.036068157416999</v>
      </c>
      <c r="P287">
        <f t="shared" si="60"/>
        <v>234</v>
      </c>
      <c r="Q287">
        <f t="shared" si="67"/>
        <v>102.453986578515</v>
      </c>
      <c r="R287">
        <f t="shared" si="61"/>
        <v>102.453986578515</v>
      </c>
      <c r="S287">
        <f t="shared" si="56"/>
        <v>105.57295002886102</v>
      </c>
      <c r="T287">
        <f t="shared" si="62"/>
        <v>105.57295002886102</v>
      </c>
      <c r="U287" s="3">
        <f t="shared" si="63"/>
        <v>112.80230686615</v>
      </c>
      <c r="V287">
        <f t="shared" si="55"/>
        <v>183</v>
      </c>
      <c r="W287" s="8">
        <f t="shared" si="57"/>
        <v>50.747765738568006</v>
      </c>
      <c r="X287" s="1">
        <f t="shared" si="64"/>
        <v>50.747765738568006</v>
      </c>
      <c r="Y287" s="18"/>
      <c r="Z287" s="7"/>
      <c r="AA287" s="1"/>
      <c r="AB287" s="1"/>
      <c r="AC287" s="1"/>
    </row>
    <row r="288" spans="1:29" x14ac:dyDescent="0.3">
      <c r="A288">
        <v>287</v>
      </c>
      <c r="E288">
        <v>-393.8101638567</v>
      </c>
      <c r="F288">
        <v>122.35883454605001</v>
      </c>
      <c r="G288">
        <v>348.9045132087</v>
      </c>
      <c r="H288">
        <v>52.941915187836997</v>
      </c>
      <c r="I288">
        <v>-50.463895275059997</v>
      </c>
      <c r="J288">
        <v>113.28977440590999</v>
      </c>
      <c r="L288" s="1">
        <f t="shared" si="65"/>
        <v>3.3557803656700003</v>
      </c>
      <c r="M288">
        <f t="shared" si="66"/>
        <v>1029.5580264120499</v>
      </c>
      <c r="N288">
        <f t="shared" si="58"/>
        <v>2.8598834067001389</v>
      </c>
      <c r="O288">
        <f t="shared" si="59"/>
        <v>52.941915187836997</v>
      </c>
      <c r="P288">
        <f t="shared" si="60"/>
        <v>235</v>
      </c>
      <c r="Q288">
        <f t="shared" si="67"/>
        <v>102.453023751356</v>
      </c>
      <c r="R288">
        <f t="shared" si="61"/>
        <v>102.453023751356</v>
      </c>
      <c r="S288">
        <f t="shared" si="56"/>
        <v>105.57400456859072</v>
      </c>
      <c r="T288">
        <f t="shared" si="62"/>
        <v>105.57400456859072</v>
      </c>
      <c r="U288" s="3">
        <f t="shared" si="63"/>
        <v>113.28977440590999</v>
      </c>
      <c r="V288">
        <f t="shared" si="55"/>
        <v>184</v>
      </c>
      <c r="W288" s="8">
        <f t="shared" si="57"/>
        <v>50.738643399384998</v>
      </c>
      <c r="X288" s="1">
        <f t="shared" si="64"/>
        <v>50.738643399384998</v>
      </c>
      <c r="Y288" s="18"/>
      <c r="Z288" s="7"/>
      <c r="AA288" s="1"/>
      <c r="AB288" s="1"/>
      <c r="AC288" s="1"/>
    </row>
    <row r="289" spans="1:29" x14ac:dyDescent="0.3">
      <c r="A289">
        <v>288</v>
      </c>
      <c r="E289">
        <v>-393.26199194179998</v>
      </c>
      <c r="F289">
        <v>124.9094624561</v>
      </c>
      <c r="G289">
        <v>350.65648238951002</v>
      </c>
      <c r="H289">
        <v>52.849197317588001</v>
      </c>
      <c r="I289">
        <v>-47.105799968889997</v>
      </c>
      <c r="J289">
        <v>113.79822207545</v>
      </c>
      <c r="L289" s="1">
        <f t="shared" si="65"/>
        <v>3.3580953061700001</v>
      </c>
      <c r="M289">
        <f t="shared" si="66"/>
        <v>1032.91612171822</v>
      </c>
      <c r="N289">
        <f t="shared" si="58"/>
        <v>2.8692114492172776</v>
      </c>
      <c r="O289">
        <f t="shared" si="59"/>
        <v>52.849197317588001</v>
      </c>
      <c r="P289">
        <f t="shared" si="60"/>
        <v>236</v>
      </c>
      <c r="Q289">
        <f t="shared" si="67"/>
        <v>102.452116905232</v>
      </c>
      <c r="R289">
        <f t="shared" si="61"/>
        <v>102.452116905232</v>
      </c>
      <c r="S289">
        <f t="shared" si="56"/>
        <v>105.57753651662958</v>
      </c>
      <c r="T289">
        <f t="shared" si="62"/>
        <v>105.57753651662958</v>
      </c>
      <c r="U289" s="3">
        <f t="shared" si="63"/>
        <v>113.79822207545</v>
      </c>
      <c r="V289">
        <f t="shared" si="55"/>
        <v>185</v>
      </c>
      <c r="W289" s="8">
        <f t="shared" si="57"/>
        <v>50.747690519080997</v>
      </c>
      <c r="X289" s="1">
        <f t="shared" si="64"/>
        <v>50.747690519080997</v>
      </c>
      <c r="Y289" s="18"/>
      <c r="Z289" s="7"/>
      <c r="AA289" s="1"/>
      <c r="AB289" s="1"/>
      <c r="AC289" s="1"/>
    </row>
    <row r="290" spans="1:29" x14ac:dyDescent="0.3">
      <c r="A290">
        <v>289</v>
      </c>
      <c r="E290">
        <v>-392.71180129739997</v>
      </c>
      <c r="F290">
        <v>127.34779151776</v>
      </c>
      <c r="G290">
        <v>352.56119795145997</v>
      </c>
      <c r="H290">
        <v>52.749431461595996</v>
      </c>
      <c r="I290">
        <v>-43.73913970649</v>
      </c>
      <c r="J290">
        <v>114.29190353228999</v>
      </c>
      <c r="L290" s="1">
        <f t="shared" si="65"/>
        <v>3.3666602623999964</v>
      </c>
      <c r="M290">
        <f t="shared" si="66"/>
        <v>1036.28278198062</v>
      </c>
      <c r="N290">
        <f t="shared" si="58"/>
        <v>2.8785632832795001</v>
      </c>
      <c r="O290">
        <f t="shared" si="59"/>
        <v>52.749431461595996</v>
      </c>
      <c r="P290">
        <f t="shared" si="60"/>
        <v>237</v>
      </c>
      <c r="Q290">
        <f t="shared" si="67"/>
        <v>102.450846866007</v>
      </c>
      <c r="R290">
        <f t="shared" si="61"/>
        <v>102.450846866007</v>
      </c>
      <c r="S290">
        <f t="shared" si="56"/>
        <v>105.57935427835112</v>
      </c>
      <c r="T290">
        <f t="shared" si="62"/>
        <v>105.57935427835112</v>
      </c>
      <c r="U290" s="3">
        <f t="shared" si="63"/>
        <v>114.29190353228999</v>
      </c>
      <c r="V290">
        <f t="shared" si="55"/>
        <v>186</v>
      </c>
      <c r="W290" s="8">
        <f t="shared" si="57"/>
        <v>50.753839303521993</v>
      </c>
      <c r="X290" s="1">
        <f t="shared" si="64"/>
        <v>50.753839303521993</v>
      </c>
      <c r="Y290" s="18"/>
      <c r="Z290" s="7"/>
      <c r="AA290" s="1"/>
      <c r="AB290" s="1"/>
      <c r="AC290" s="1"/>
    </row>
    <row r="291" spans="1:29" x14ac:dyDescent="0.3">
      <c r="A291">
        <v>290</v>
      </c>
      <c r="E291">
        <v>-392.15320369829999</v>
      </c>
      <c r="F291">
        <v>129.67517766844</v>
      </c>
      <c r="G291">
        <v>354.59765876065001</v>
      </c>
      <c r="H291">
        <v>52.659902034856998</v>
      </c>
      <c r="I291">
        <v>-40.364976519549998</v>
      </c>
      <c r="J291">
        <v>114.77891948697</v>
      </c>
      <c r="L291" s="1">
        <f t="shared" si="65"/>
        <v>3.3741631869400024</v>
      </c>
      <c r="M291">
        <f t="shared" si="66"/>
        <v>1039.65694516756</v>
      </c>
      <c r="N291">
        <f t="shared" si="58"/>
        <v>2.8879359587987778</v>
      </c>
      <c r="O291">
        <f t="shared" si="59"/>
        <v>52.659902034856998</v>
      </c>
      <c r="P291">
        <f t="shared" si="60"/>
        <v>238</v>
      </c>
      <c r="Q291">
        <f t="shared" si="67"/>
        <v>102.46474509260699</v>
      </c>
      <c r="R291">
        <f t="shared" si="61"/>
        <v>102.46474509260699</v>
      </c>
      <c r="S291">
        <f t="shared" si="56"/>
        <v>105.59368296239005</v>
      </c>
      <c r="T291">
        <f t="shared" si="62"/>
        <v>105.59368296239005</v>
      </c>
      <c r="U291" s="3">
        <f t="shared" si="63"/>
        <v>114.77891948697</v>
      </c>
      <c r="V291">
        <f t="shared" si="55"/>
        <v>187</v>
      </c>
      <c r="W291" s="8">
        <f t="shared" si="57"/>
        <v>50.751373154547991</v>
      </c>
      <c r="X291" s="1">
        <f t="shared" si="64"/>
        <v>50.751373154547991</v>
      </c>
      <c r="Y291" s="18"/>
      <c r="Z291" s="7"/>
      <c r="AA291" s="1"/>
      <c r="AB291" s="1"/>
      <c r="AC291" s="1"/>
    </row>
    <row r="292" spans="1:29" x14ac:dyDescent="0.3">
      <c r="A292">
        <v>291</v>
      </c>
      <c r="E292">
        <v>-391.58245178189998</v>
      </c>
      <c r="F292">
        <v>131.86499507803001</v>
      </c>
      <c r="G292">
        <v>356.77818398465001</v>
      </c>
      <c r="H292">
        <v>52.553842841037998</v>
      </c>
      <c r="I292">
        <v>-36.984288284439998</v>
      </c>
      <c r="J292">
        <v>115.26094010129999</v>
      </c>
      <c r="L292" s="1">
        <f t="shared" si="65"/>
        <v>3.3806882351100001</v>
      </c>
      <c r="M292">
        <f t="shared" si="66"/>
        <v>1043.0376334026701</v>
      </c>
      <c r="N292">
        <f t="shared" si="58"/>
        <v>2.8973267594518615</v>
      </c>
      <c r="O292">
        <f t="shared" si="59"/>
        <v>52.553842841037998</v>
      </c>
      <c r="P292">
        <f t="shared" si="60"/>
        <v>238</v>
      </c>
      <c r="Q292">
        <f t="shared" si="67"/>
        <v>102.358685898788</v>
      </c>
      <c r="R292">
        <f t="shared" si="61"/>
        <v>102.358685898788</v>
      </c>
      <c r="S292">
        <f t="shared" si="56"/>
        <v>105.56341742233256</v>
      </c>
      <c r="T292">
        <f t="shared" si="62"/>
        <v>105.56341742233256</v>
      </c>
      <c r="U292" s="3">
        <f t="shared" si="63"/>
        <v>115.26094010129999</v>
      </c>
      <c r="V292">
        <f t="shared" si="55"/>
        <v>188</v>
      </c>
      <c r="W292" s="8">
        <f t="shared" si="57"/>
        <v>50.740677162291988</v>
      </c>
      <c r="X292" s="1">
        <f t="shared" si="64"/>
        <v>50.740677162291988</v>
      </c>
      <c r="Y292" s="18"/>
      <c r="Z292" s="7"/>
      <c r="AA292" s="1"/>
      <c r="AB292" s="1"/>
      <c r="AC292" s="1"/>
    </row>
    <row r="293" spans="1:29" x14ac:dyDescent="0.3">
      <c r="A293">
        <v>292</v>
      </c>
      <c r="E293">
        <v>-390.9836725166</v>
      </c>
      <c r="F293">
        <v>133.90700016314</v>
      </c>
      <c r="G293">
        <v>359.09066249204</v>
      </c>
      <c r="H293">
        <v>52.431342627848998</v>
      </c>
      <c r="I293">
        <v>-33.598827812259998</v>
      </c>
      <c r="J293">
        <v>115.75433183968001</v>
      </c>
      <c r="L293" s="1">
        <f t="shared" si="65"/>
        <v>3.3854604721800001</v>
      </c>
      <c r="M293">
        <f t="shared" si="66"/>
        <v>1046.4230938748501</v>
      </c>
      <c r="N293">
        <f t="shared" si="58"/>
        <v>2.906730816319028</v>
      </c>
      <c r="O293">
        <f t="shared" si="59"/>
        <v>52.431342627848998</v>
      </c>
      <c r="P293">
        <f t="shared" si="60"/>
        <v>239</v>
      </c>
      <c r="Q293">
        <f t="shared" si="67"/>
        <v>102.36975765079799</v>
      </c>
      <c r="R293">
        <f t="shared" si="61"/>
        <v>102.36975765079799</v>
      </c>
      <c r="S293">
        <f t="shared" si="56"/>
        <v>105.58361983687624</v>
      </c>
      <c r="T293">
        <f t="shared" si="62"/>
        <v>105.58361983687624</v>
      </c>
      <c r="U293" s="3">
        <f t="shared" si="63"/>
        <v>115.75433183968001</v>
      </c>
      <c r="V293">
        <f t="shared" si="55"/>
        <v>189</v>
      </c>
      <c r="W293" s="8">
        <f t="shared" si="57"/>
        <v>50.739481856407011</v>
      </c>
      <c r="X293" s="1">
        <f t="shared" si="64"/>
        <v>50.739481856407011</v>
      </c>
      <c r="Y293" s="18"/>
      <c r="Z293" s="7"/>
      <c r="AA293" s="1"/>
      <c r="AB293" s="1"/>
      <c r="AC293" s="1"/>
    </row>
    <row r="294" spans="1:29" x14ac:dyDescent="0.3">
      <c r="A294">
        <v>293</v>
      </c>
      <c r="E294">
        <v>-390.37057400229997</v>
      </c>
      <c r="F294">
        <v>135.79873829048</v>
      </c>
      <c r="G294">
        <v>361.52412818184001</v>
      </c>
      <c r="H294">
        <v>52.298972012434</v>
      </c>
      <c r="I294">
        <v>-30.205230924479999</v>
      </c>
      <c r="J294">
        <v>116.24622195534</v>
      </c>
      <c r="L294" s="1">
        <f t="shared" si="65"/>
        <v>3.3935968877799993</v>
      </c>
      <c r="M294">
        <f t="shared" si="66"/>
        <v>1049.8166907626301</v>
      </c>
      <c r="N294">
        <f t="shared" si="58"/>
        <v>2.9161574743406389</v>
      </c>
      <c r="O294">
        <f t="shared" si="59"/>
        <v>52.298972012434</v>
      </c>
      <c r="P294">
        <f t="shared" si="60"/>
        <v>240</v>
      </c>
      <c r="Q294">
        <f t="shared" si="67"/>
        <v>102.35380780025901</v>
      </c>
      <c r="R294">
        <f t="shared" si="61"/>
        <v>102.35380780025901</v>
      </c>
      <c r="S294">
        <f t="shared" si="56"/>
        <v>105.57629690614205</v>
      </c>
      <c r="T294">
        <f t="shared" si="62"/>
        <v>105.57629690614205</v>
      </c>
      <c r="U294" s="3">
        <f t="shared" si="63"/>
        <v>116.24622195534</v>
      </c>
      <c r="V294">
        <f t="shared" si="55"/>
        <v>190</v>
      </c>
      <c r="W294" s="8">
        <f t="shared" si="57"/>
        <v>50.729027986944004</v>
      </c>
      <c r="X294" s="1">
        <f t="shared" si="64"/>
        <v>50.729027986944004</v>
      </c>
      <c r="Y294" s="18"/>
      <c r="Z294" s="7"/>
      <c r="AA294" s="1"/>
      <c r="AB294" s="1"/>
      <c r="AC294" s="1"/>
    </row>
    <row r="295" spans="1:29" x14ac:dyDescent="0.3">
      <c r="A295">
        <v>294</v>
      </c>
      <c r="E295">
        <v>-389.73238793050001</v>
      </c>
      <c r="F295">
        <v>137.54390855693001</v>
      </c>
      <c r="G295">
        <v>364.05847785400999</v>
      </c>
      <c r="H295">
        <v>52.171274352894997</v>
      </c>
      <c r="I295">
        <v>-26.80498897911</v>
      </c>
      <c r="J295">
        <v>116.74909614453</v>
      </c>
      <c r="L295" s="1">
        <f t="shared" si="65"/>
        <v>3.4002419453699986</v>
      </c>
      <c r="M295">
        <f t="shared" si="66"/>
        <v>1053.2169327080001</v>
      </c>
      <c r="N295">
        <f t="shared" si="58"/>
        <v>2.9256025908555556</v>
      </c>
      <c r="O295">
        <f t="shared" si="59"/>
        <v>52.171274352894997</v>
      </c>
      <c r="P295">
        <f t="shared" si="60"/>
        <v>241</v>
      </c>
      <c r="Q295">
        <f t="shared" si="67"/>
        <v>102.331898411765</v>
      </c>
      <c r="R295">
        <f t="shared" si="61"/>
        <v>102.331898411765</v>
      </c>
      <c r="S295">
        <f t="shared" si="56"/>
        <v>105.56510229726419</v>
      </c>
      <c r="T295">
        <f t="shared" si="62"/>
        <v>105.56510229726419</v>
      </c>
      <c r="U295" s="3">
        <f t="shared" si="63"/>
        <v>116.74909614453</v>
      </c>
      <c r="V295">
        <f t="shared" si="55"/>
        <v>191</v>
      </c>
      <c r="W295" s="8">
        <f t="shared" si="57"/>
        <v>50.736615748245995</v>
      </c>
      <c r="X295" s="1">
        <f t="shared" si="64"/>
        <v>50.736615748245995</v>
      </c>
      <c r="Y295" s="18"/>
      <c r="Z295" s="7"/>
      <c r="AA295" s="1"/>
      <c r="AB295" s="1"/>
      <c r="AC295" s="1"/>
    </row>
    <row r="296" spans="1:29" x14ac:dyDescent="0.3">
      <c r="A296">
        <v>295</v>
      </c>
      <c r="E296">
        <v>-389.0920268795</v>
      </c>
      <c r="F296">
        <v>139.13576448692999</v>
      </c>
      <c r="G296">
        <v>366.69140217061999</v>
      </c>
      <c r="H296">
        <v>52.046026476450002</v>
      </c>
      <c r="I296">
        <v>-23.394186133790001</v>
      </c>
      <c r="J296">
        <v>117.24004716016</v>
      </c>
      <c r="L296" s="1">
        <f t="shared" si="65"/>
        <v>3.4108028453199992</v>
      </c>
      <c r="M296">
        <f t="shared" si="66"/>
        <v>1056.62773555332</v>
      </c>
      <c r="N296">
        <f t="shared" si="58"/>
        <v>2.9350770432036666</v>
      </c>
      <c r="O296">
        <f t="shared" si="59"/>
        <v>52.046026476450002</v>
      </c>
      <c r="P296">
        <f t="shared" si="60"/>
        <v>242</v>
      </c>
      <c r="Q296">
        <f t="shared" si="67"/>
        <v>102.31254296239601</v>
      </c>
      <c r="R296">
        <f t="shared" si="61"/>
        <v>102.31254296239601</v>
      </c>
      <c r="S296">
        <f t="shared" si="56"/>
        <v>105.54889725886571</v>
      </c>
      <c r="T296">
        <f t="shared" si="62"/>
        <v>105.54889725886571</v>
      </c>
      <c r="U296" s="3">
        <f t="shared" si="63"/>
        <v>117.24004716016</v>
      </c>
      <c r="V296">
        <f t="shared" si="55"/>
        <v>192</v>
      </c>
      <c r="W296" s="8">
        <f t="shared" si="57"/>
        <v>50.741741130584998</v>
      </c>
      <c r="X296" s="1">
        <f t="shared" si="64"/>
        <v>50.741741130584998</v>
      </c>
      <c r="Y296" s="18"/>
      <c r="Z296" s="7"/>
      <c r="AA296" s="1"/>
      <c r="AB296" s="1"/>
      <c r="AC296" s="1"/>
    </row>
    <row r="297" spans="1:29" x14ac:dyDescent="0.3">
      <c r="A297">
        <v>296</v>
      </c>
      <c r="E297">
        <v>-388.44555722069998</v>
      </c>
      <c r="F297">
        <v>140.57005141742999</v>
      </c>
      <c r="G297">
        <v>369.41188077789002</v>
      </c>
      <c r="H297">
        <v>51.925570066626001</v>
      </c>
      <c r="I297">
        <v>-19.973892993290001</v>
      </c>
      <c r="J297">
        <v>117.72370449525999</v>
      </c>
      <c r="L297" s="1">
        <f t="shared" si="65"/>
        <v>3.4202931405000001</v>
      </c>
      <c r="M297">
        <f t="shared" si="66"/>
        <v>1060.04802869382</v>
      </c>
      <c r="N297">
        <f t="shared" si="58"/>
        <v>2.9445778574828334</v>
      </c>
      <c r="O297">
        <f t="shared" si="59"/>
        <v>51.925570066626001</v>
      </c>
      <c r="P297">
        <f t="shared" si="60"/>
        <v>243</v>
      </c>
      <c r="Q297">
        <f t="shared" si="67"/>
        <v>102.35273549173</v>
      </c>
      <c r="R297">
        <f t="shared" si="61"/>
        <v>102.35273549173</v>
      </c>
      <c r="S297">
        <f t="shared" si="56"/>
        <v>105.59731761468389</v>
      </c>
      <c r="T297">
        <f t="shared" si="62"/>
        <v>105.59731761468389</v>
      </c>
      <c r="U297" s="3">
        <f t="shared" si="63"/>
        <v>117.72370449525999</v>
      </c>
      <c r="V297">
        <f t="shared" si="55"/>
        <v>193</v>
      </c>
      <c r="W297" s="8">
        <f t="shared" si="57"/>
        <v>50.717464982577994</v>
      </c>
      <c r="X297" s="1">
        <f t="shared" si="64"/>
        <v>50.717464982577994</v>
      </c>
      <c r="Y297" s="18"/>
      <c r="Z297" s="7"/>
      <c r="AA297" s="1"/>
      <c r="AB297" s="1"/>
      <c r="AC297" s="1"/>
    </row>
    <row r="298" spans="1:29" x14ac:dyDescent="0.3">
      <c r="A298">
        <v>297</v>
      </c>
      <c r="E298">
        <v>-387.78223469139999</v>
      </c>
      <c r="F298">
        <v>141.81643496548</v>
      </c>
      <c r="G298">
        <v>372.21950191428999</v>
      </c>
      <c r="H298">
        <v>51.782852030087</v>
      </c>
      <c r="I298">
        <v>-16.546325797809999</v>
      </c>
      <c r="J298">
        <v>118.20957788027</v>
      </c>
      <c r="L298" s="1">
        <f t="shared" si="65"/>
        <v>3.4275671954800018</v>
      </c>
      <c r="M298">
        <f t="shared" si="66"/>
        <v>1063.4755958892999</v>
      </c>
      <c r="N298">
        <f t="shared" si="58"/>
        <v>2.9540988774702774</v>
      </c>
      <c r="O298">
        <f t="shared" si="59"/>
        <v>51.782852030087</v>
      </c>
      <c r="P298">
        <f t="shared" si="60"/>
        <v>244</v>
      </c>
      <c r="Q298">
        <f t="shared" si="67"/>
        <v>102.36375903046701</v>
      </c>
      <c r="R298">
        <f t="shared" si="61"/>
        <v>102.36375903046701</v>
      </c>
      <c r="S298">
        <f t="shared" si="56"/>
        <v>105.61820417077817</v>
      </c>
      <c r="T298">
        <f t="shared" si="62"/>
        <v>105.61820417077817</v>
      </c>
      <c r="U298" s="3">
        <f t="shared" si="63"/>
        <v>118.20957788027</v>
      </c>
      <c r="V298">
        <f t="shared" si="55"/>
        <v>194</v>
      </c>
      <c r="W298" s="8">
        <f t="shared" si="57"/>
        <v>50.708638683832007</v>
      </c>
      <c r="X298" s="1">
        <f t="shared" si="64"/>
        <v>50.708638683832007</v>
      </c>
      <c r="Y298" s="18"/>
      <c r="Z298" s="7"/>
      <c r="AA298" s="1"/>
      <c r="AB298" s="1"/>
      <c r="AC298" s="1"/>
    </row>
    <row r="299" spans="1:29" x14ac:dyDescent="0.3">
      <c r="A299">
        <v>298</v>
      </c>
      <c r="E299">
        <v>-387.08361737040002</v>
      </c>
      <c r="F299">
        <v>142.88061865898999</v>
      </c>
      <c r="G299">
        <v>375.09291633763002</v>
      </c>
      <c r="H299">
        <v>51.630475107869998</v>
      </c>
      <c r="I299">
        <v>-13.113335729439999</v>
      </c>
      <c r="J299">
        <v>118.71797643572999</v>
      </c>
      <c r="L299" s="1">
        <f t="shared" si="65"/>
        <v>3.4329900683699996</v>
      </c>
      <c r="M299">
        <f t="shared" si="66"/>
        <v>1066.9085859576699</v>
      </c>
      <c r="N299">
        <f t="shared" si="58"/>
        <v>2.9636349609935273</v>
      </c>
      <c r="O299">
        <f t="shared" si="59"/>
        <v>51.630475107869998</v>
      </c>
      <c r="P299">
        <f t="shared" si="60"/>
        <v>245</v>
      </c>
      <c r="Q299">
        <f t="shared" si="67"/>
        <v>102.33671180228299</v>
      </c>
      <c r="R299">
        <f t="shared" si="61"/>
        <v>102.33671180228299</v>
      </c>
      <c r="S299">
        <f t="shared" si="56"/>
        <v>105.60024732607141</v>
      </c>
      <c r="T299">
        <f t="shared" si="62"/>
        <v>105.60024732607141</v>
      </c>
      <c r="U299" s="3">
        <f t="shared" si="63"/>
        <v>118.71797643572999</v>
      </c>
      <c r="V299">
        <f t="shared" si="55"/>
        <v>195</v>
      </c>
      <c r="W299" s="8">
        <f t="shared" si="57"/>
        <v>50.728147624731989</v>
      </c>
      <c r="X299" s="1">
        <f t="shared" si="64"/>
        <v>50.728147624731989</v>
      </c>
      <c r="Y299" s="18"/>
      <c r="Z299" s="7"/>
      <c r="AA299" s="1"/>
      <c r="AB299" s="1"/>
      <c r="AC299" s="1"/>
    </row>
    <row r="300" spans="1:29" x14ac:dyDescent="0.3">
      <c r="A300">
        <v>299</v>
      </c>
      <c r="E300">
        <v>-386.39182333150001</v>
      </c>
      <c r="F300">
        <v>143.78770465707001</v>
      </c>
      <c r="G300">
        <v>378.02124133913998</v>
      </c>
      <c r="H300">
        <v>51.498605615208</v>
      </c>
      <c r="I300">
        <v>-9.6667998853280004</v>
      </c>
      <c r="J300">
        <v>119.20883749620999</v>
      </c>
      <c r="L300" s="1">
        <f t="shared" si="65"/>
        <v>3.4465358441119989</v>
      </c>
      <c r="M300">
        <f t="shared" si="66"/>
        <v>1070.3551218017819</v>
      </c>
      <c r="N300">
        <f t="shared" si="58"/>
        <v>2.9732086716716166</v>
      </c>
      <c r="O300">
        <f t="shared" si="59"/>
        <v>51.498605615208</v>
      </c>
      <c r="P300">
        <f t="shared" si="60"/>
        <v>246</v>
      </c>
      <c r="Q300">
        <f t="shared" si="67"/>
        <v>102.347729025009</v>
      </c>
      <c r="R300">
        <f t="shared" si="61"/>
        <v>102.347729025009</v>
      </c>
      <c r="S300">
        <f t="shared" si="56"/>
        <v>105.61727838751021</v>
      </c>
      <c r="T300">
        <f t="shared" si="62"/>
        <v>105.61727838751021</v>
      </c>
      <c r="U300" s="3">
        <f t="shared" si="63"/>
        <v>119.20883749620999</v>
      </c>
      <c r="V300">
        <f t="shared" si="55"/>
        <v>196</v>
      </c>
      <c r="W300" s="8">
        <f t="shared" si="57"/>
        <v>50.717718173104998</v>
      </c>
      <c r="X300" s="1">
        <f t="shared" si="64"/>
        <v>50.717718173104998</v>
      </c>
      <c r="Y300" s="18"/>
      <c r="Z300" s="7"/>
      <c r="AA300" s="1"/>
      <c r="AB300" s="1"/>
      <c r="AC300" s="1"/>
    </row>
    <row r="301" spans="1:29" x14ac:dyDescent="0.3">
      <c r="A301">
        <v>300</v>
      </c>
      <c r="E301">
        <v>-385.69453322330003</v>
      </c>
      <c r="F301">
        <v>144.49269053844</v>
      </c>
      <c r="G301">
        <v>381.00318704542002</v>
      </c>
      <c r="H301">
        <v>51.344628139622998</v>
      </c>
      <c r="I301">
        <v>-6.210818625371</v>
      </c>
      <c r="J301">
        <v>119.69271797089</v>
      </c>
      <c r="L301" s="1">
        <f t="shared" si="65"/>
        <v>3.4559812599570003</v>
      </c>
      <c r="M301">
        <f t="shared" si="66"/>
        <v>1073.811103061739</v>
      </c>
      <c r="N301">
        <f t="shared" si="58"/>
        <v>2.9828086196159416</v>
      </c>
      <c r="O301">
        <f t="shared" si="59"/>
        <v>51.344628139622998</v>
      </c>
      <c r="P301">
        <f t="shared" si="60"/>
        <v>247</v>
      </c>
      <c r="Q301">
        <f t="shared" si="67"/>
        <v>102.30435542611099</v>
      </c>
      <c r="R301">
        <f t="shared" si="61"/>
        <v>102.30435542611099</v>
      </c>
      <c r="S301">
        <f t="shared" si="56"/>
        <v>105.58585306485389</v>
      </c>
      <c r="T301">
        <f t="shared" si="62"/>
        <v>105.58585306485389</v>
      </c>
      <c r="U301" s="3">
        <f t="shared" si="63"/>
        <v>119.69271797089</v>
      </c>
      <c r="V301">
        <f t="shared" si="55"/>
        <v>197</v>
      </c>
      <c r="W301" s="8">
        <f t="shared" si="57"/>
        <v>50.705369131200001</v>
      </c>
      <c r="X301" s="1">
        <f t="shared" si="64"/>
        <v>50.705369131200001</v>
      </c>
      <c r="Y301" s="18"/>
      <c r="Z301" s="7"/>
      <c r="AA301" s="1"/>
      <c r="AB301" s="1"/>
      <c r="AC301" s="1"/>
    </row>
    <row r="302" spans="1:29" x14ac:dyDescent="0.3">
      <c r="A302">
        <v>301</v>
      </c>
      <c r="E302">
        <v>-384.97187869240003</v>
      </c>
      <c r="F302">
        <v>145.07057493062001</v>
      </c>
      <c r="G302">
        <v>384.00654528849998</v>
      </c>
      <c r="H302">
        <v>51.248113565082001</v>
      </c>
      <c r="I302">
        <v>-2.7468756785299999</v>
      </c>
      <c r="J302">
        <v>120.19501464526</v>
      </c>
      <c r="L302" s="1">
        <f t="shared" si="65"/>
        <v>3.4639429468410001</v>
      </c>
      <c r="M302">
        <f t="shared" si="66"/>
        <v>1077.2750460085799</v>
      </c>
      <c r="N302">
        <f t="shared" si="58"/>
        <v>2.9924306833571666</v>
      </c>
      <c r="O302">
        <f t="shared" si="59"/>
        <v>51.248113565082001</v>
      </c>
      <c r="P302">
        <f t="shared" si="60"/>
        <v>248</v>
      </c>
      <c r="Q302">
        <f t="shared" si="67"/>
        <v>102.29909101951699</v>
      </c>
      <c r="R302">
        <f t="shared" si="61"/>
        <v>102.29909101951699</v>
      </c>
      <c r="S302">
        <f t="shared" si="56"/>
        <v>105.58741309608081</v>
      </c>
      <c r="T302">
        <f t="shared" si="62"/>
        <v>105.58741309608081</v>
      </c>
      <c r="U302" s="3">
        <f t="shared" si="63"/>
        <v>120.19501464526</v>
      </c>
      <c r="V302">
        <f t="shared" si="55"/>
        <v>198</v>
      </c>
      <c r="W302" s="8">
        <f t="shared" si="57"/>
        <v>50.667498235609997</v>
      </c>
      <c r="X302" s="1">
        <f t="shared" si="64"/>
        <v>50.667498235609997</v>
      </c>
      <c r="Y302" s="18"/>
      <c r="Z302" s="7"/>
      <c r="AA302" s="1"/>
      <c r="AB302" s="1"/>
      <c r="AC302" s="1"/>
    </row>
    <row r="303" spans="1:29" x14ac:dyDescent="0.3">
      <c r="A303">
        <v>302</v>
      </c>
      <c r="E303">
        <v>-384.29469713079999</v>
      </c>
      <c r="F303">
        <v>145.47289063759001</v>
      </c>
      <c r="G303">
        <v>387.04886395420999</v>
      </c>
      <c r="H303">
        <v>51.162768918581001</v>
      </c>
      <c r="I303">
        <v>0.73304392334320001</v>
      </c>
      <c r="J303">
        <v>120.64181333019</v>
      </c>
      <c r="L303" s="1">
        <f t="shared" si="65"/>
        <v>3.4799196018731999</v>
      </c>
      <c r="M303">
        <f t="shared" si="66"/>
        <v>1080.7549656104532</v>
      </c>
      <c r="N303">
        <f t="shared" si="58"/>
        <v>3.0020971266957033</v>
      </c>
      <c r="O303">
        <f t="shared" si="59"/>
        <v>51.162768918581001</v>
      </c>
      <c r="P303">
        <f t="shared" si="60"/>
        <v>249</v>
      </c>
      <c r="Q303">
        <f t="shared" si="67"/>
        <v>102.314914538332</v>
      </c>
      <c r="R303">
        <f t="shared" si="61"/>
        <v>102.314914538332</v>
      </c>
      <c r="S303">
        <f t="shared" si="56"/>
        <v>105.59254541413753</v>
      </c>
      <c r="T303">
        <f t="shared" si="62"/>
        <v>105.59254541413753</v>
      </c>
      <c r="U303" s="3">
        <f t="shared" si="63"/>
        <v>120.64181333019</v>
      </c>
      <c r="V303">
        <f t="shared" si="55"/>
        <v>199</v>
      </c>
      <c r="W303" s="8">
        <f t="shared" si="57"/>
        <v>50.68522447688801</v>
      </c>
      <c r="X303" s="1">
        <f t="shared" si="64"/>
        <v>50.68522447688801</v>
      </c>
      <c r="Y303" s="18"/>
      <c r="Z303" s="7"/>
      <c r="AA303" s="1"/>
      <c r="AB303" s="1"/>
      <c r="AC303" s="1"/>
    </row>
    <row r="304" spans="1:29" x14ac:dyDescent="0.3">
      <c r="A304">
        <v>303</v>
      </c>
      <c r="E304">
        <v>-383.61340585800002</v>
      </c>
      <c r="F304">
        <v>145.68315009425001</v>
      </c>
      <c r="G304">
        <v>390.10961755622998</v>
      </c>
      <c r="H304">
        <v>51.073596789595001</v>
      </c>
      <c r="I304">
        <v>4.2196878469432999</v>
      </c>
      <c r="J304">
        <v>121.08347664816</v>
      </c>
      <c r="L304" s="1">
        <f t="shared" si="65"/>
        <v>3.4866439236000999</v>
      </c>
      <c r="M304">
        <f t="shared" si="66"/>
        <v>1084.2416095340532</v>
      </c>
      <c r="N304">
        <f t="shared" si="58"/>
        <v>3.0117822487057033</v>
      </c>
      <c r="O304">
        <f t="shared" si="59"/>
        <v>51.073596789595001</v>
      </c>
      <c r="P304">
        <f t="shared" si="60"/>
        <v>250</v>
      </c>
      <c r="Q304">
        <f t="shared" si="67"/>
        <v>102.29850439477801</v>
      </c>
      <c r="R304">
        <f t="shared" si="61"/>
        <v>102.29850439477801</v>
      </c>
      <c r="S304">
        <f t="shared" si="56"/>
        <v>105.5691615433941</v>
      </c>
      <c r="T304">
        <f t="shared" si="62"/>
        <v>105.5691615433941</v>
      </c>
      <c r="U304" s="3">
        <f t="shared" si="63"/>
        <v>121.08347664816</v>
      </c>
      <c r="V304">
        <f t="shared" si="55"/>
        <v>200</v>
      </c>
      <c r="W304" s="8">
        <f t="shared" si="57"/>
        <v>50.706515933169996</v>
      </c>
      <c r="X304" s="1">
        <f t="shared" si="64"/>
        <v>50.706515933169996</v>
      </c>
      <c r="Y304" s="18"/>
      <c r="Z304" s="7"/>
      <c r="AA304" s="1"/>
      <c r="AB304" s="1"/>
      <c r="AC304" s="1"/>
    </row>
    <row r="305" spans="1:29" x14ac:dyDescent="0.3">
      <c r="A305">
        <v>304</v>
      </c>
      <c r="E305">
        <v>-382.8408817815</v>
      </c>
      <c r="F305">
        <v>145.65151699723</v>
      </c>
      <c r="G305">
        <v>393.15537178163999</v>
      </c>
      <c r="H305">
        <v>50.928389941158002</v>
      </c>
      <c r="I305">
        <v>7.6971812043831003</v>
      </c>
      <c r="J305">
        <v>121.60744513545001</v>
      </c>
      <c r="L305" s="1">
        <f t="shared" si="65"/>
        <v>3.4774933574398004</v>
      </c>
      <c r="M305">
        <f t="shared" si="66"/>
        <v>1087.7191028914929</v>
      </c>
      <c r="N305">
        <f t="shared" si="58"/>
        <v>3.0214419524763692</v>
      </c>
      <c r="O305">
        <f t="shared" si="59"/>
        <v>50.928389941158002</v>
      </c>
      <c r="P305">
        <f t="shared" si="60"/>
        <v>251</v>
      </c>
      <c r="Q305">
        <f t="shared" si="67"/>
        <v>102.25732794148399</v>
      </c>
      <c r="R305">
        <f t="shared" si="61"/>
        <v>102.25732794148399</v>
      </c>
      <c r="S305">
        <f t="shared" si="56"/>
        <v>105.53129720247088</v>
      </c>
      <c r="T305">
        <f t="shared" si="62"/>
        <v>105.53129720247088</v>
      </c>
      <c r="U305" s="3">
        <f t="shared" si="63"/>
        <v>121.60744513545001</v>
      </c>
      <c r="V305">
        <f t="shared" ref="V305:V368" si="68">IFERROR(MATCH(N305-1,N:N,1),0)</f>
        <v>201</v>
      </c>
      <c r="W305" s="8">
        <f t="shared" si="57"/>
        <v>50.688760725181012</v>
      </c>
      <c r="X305" s="1">
        <f t="shared" si="64"/>
        <v>50.688760725181012</v>
      </c>
      <c r="Y305" s="18"/>
      <c r="Z305" s="7"/>
      <c r="AA305" s="1"/>
      <c r="AB305" s="1"/>
      <c r="AC305" s="1"/>
    </row>
    <row r="306" spans="1:29" x14ac:dyDescent="0.3">
      <c r="A306">
        <v>305</v>
      </c>
      <c r="E306">
        <v>-382.03469716170002</v>
      </c>
      <c r="F306">
        <v>145.41777416780999</v>
      </c>
      <c r="G306">
        <v>396.18389091146003</v>
      </c>
      <c r="H306">
        <v>50.767595260253998</v>
      </c>
      <c r="I306">
        <v>11.179412925739999</v>
      </c>
      <c r="J306">
        <v>122.15816358167</v>
      </c>
      <c r="L306" s="1">
        <f t="shared" si="65"/>
        <v>3.4822317213568992</v>
      </c>
      <c r="M306">
        <f t="shared" si="66"/>
        <v>1091.2013346128497</v>
      </c>
      <c r="N306">
        <f t="shared" si="58"/>
        <v>3.0311148183690269</v>
      </c>
      <c r="O306">
        <f t="shared" si="59"/>
        <v>50.767595260253998</v>
      </c>
      <c r="P306">
        <f t="shared" si="60"/>
        <v>252</v>
      </c>
      <c r="Q306">
        <f t="shared" si="67"/>
        <v>102.26273823429099</v>
      </c>
      <c r="R306">
        <f t="shared" si="61"/>
        <v>102.26273823429099</v>
      </c>
      <c r="S306">
        <f t="shared" si="56"/>
        <v>105.55806092307994</v>
      </c>
      <c r="T306">
        <f t="shared" si="62"/>
        <v>105.55806092307994</v>
      </c>
      <c r="U306" s="3">
        <f t="shared" si="63"/>
        <v>122.15816358167</v>
      </c>
      <c r="V306">
        <f t="shared" si="68"/>
        <v>202</v>
      </c>
      <c r="W306" s="8">
        <f t="shared" si="57"/>
        <v>50.704071613254996</v>
      </c>
      <c r="X306" s="1">
        <f t="shared" si="64"/>
        <v>50.704071613254996</v>
      </c>
      <c r="Y306" s="18"/>
      <c r="Z306" s="7"/>
      <c r="AA306" s="1"/>
      <c r="AB306" s="1"/>
      <c r="AC306" s="1"/>
    </row>
    <row r="307" spans="1:29" x14ac:dyDescent="0.3">
      <c r="A307">
        <v>306</v>
      </c>
      <c r="E307">
        <v>-381.32035480730002</v>
      </c>
      <c r="F307">
        <v>145.05728826417001</v>
      </c>
      <c r="G307">
        <v>399.22313543867</v>
      </c>
      <c r="H307">
        <v>50.673522783918003</v>
      </c>
      <c r="I307">
        <v>14.691468318218</v>
      </c>
      <c r="J307">
        <v>122.6114357356</v>
      </c>
      <c r="L307" s="1">
        <f t="shared" si="65"/>
        <v>3.5120553924780005</v>
      </c>
      <c r="M307">
        <f t="shared" si="66"/>
        <v>1094.7133900053277</v>
      </c>
      <c r="N307">
        <f t="shared" si="58"/>
        <v>3.0408705277925772</v>
      </c>
      <c r="O307">
        <f t="shared" si="59"/>
        <v>50.673522783918003</v>
      </c>
      <c r="P307">
        <f t="shared" si="60"/>
        <v>253</v>
      </c>
      <c r="Q307">
        <f t="shared" si="67"/>
        <v>102.389115644471</v>
      </c>
      <c r="R307">
        <f t="shared" si="61"/>
        <v>102.389115644471</v>
      </c>
      <c r="S307">
        <f t="shared" si="56"/>
        <v>105.68442162315822</v>
      </c>
      <c r="T307">
        <f t="shared" si="62"/>
        <v>105.68442162315822</v>
      </c>
      <c r="U307" s="3">
        <f t="shared" si="63"/>
        <v>122.6114357356</v>
      </c>
      <c r="V307">
        <f t="shared" si="68"/>
        <v>203</v>
      </c>
      <c r="W307" s="8">
        <f t="shared" si="57"/>
        <v>50.646239859261996</v>
      </c>
      <c r="X307" s="1">
        <f t="shared" si="64"/>
        <v>50.646239859261996</v>
      </c>
      <c r="Y307" s="18"/>
      <c r="Z307" s="7"/>
      <c r="AA307" s="1"/>
      <c r="AB307" s="1"/>
      <c r="AC307" s="1"/>
    </row>
    <row r="308" spans="1:29" x14ac:dyDescent="0.3">
      <c r="A308">
        <v>307</v>
      </c>
      <c r="E308">
        <v>-380.56818795819999</v>
      </c>
      <c r="F308">
        <v>144.50159985728001</v>
      </c>
      <c r="G308">
        <v>402.22323028530002</v>
      </c>
      <c r="H308">
        <v>50.570179333104001</v>
      </c>
      <c r="I308">
        <v>18.204012232876</v>
      </c>
      <c r="J308">
        <v>123.09764051723</v>
      </c>
      <c r="L308" s="1">
        <f t="shared" si="65"/>
        <v>3.512543914658</v>
      </c>
      <c r="M308">
        <f t="shared" si="66"/>
        <v>1098.2259339199857</v>
      </c>
      <c r="N308">
        <f t="shared" si="58"/>
        <v>3.0506275942221825</v>
      </c>
      <c r="O308">
        <f t="shared" si="59"/>
        <v>50.570179333104001</v>
      </c>
      <c r="P308">
        <f t="shared" si="60"/>
        <v>254</v>
      </c>
      <c r="Q308">
        <f t="shared" si="67"/>
        <v>102.43693943796799</v>
      </c>
      <c r="R308">
        <f t="shared" si="61"/>
        <v>102.43693943796799</v>
      </c>
      <c r="S308">
        <f t="shared" si="56"/>
        <v>105.72923570468964</v>
      </c>
      <c r="T308">
        <f t="shared" si="62"/>
        <v>105.72923570468964</v>
      </c>
      <c r="U308" s="3">
        <f t="shared" si="63"/>
        <v>123.09764051723</v>
      </c>
      <c r="V308">
        <f t="shared" si="68"/>
        <v>204</v>
      </c>
      <c r="W308" s="8">
        <f t="shared" si="57"/>
        <v>50.641338606301005</v>
      </c>
      <c r="X308" s="1">
        <f t="shared" si="64"/>
        <v>50.641338606301005</v>
      </c>
      <c r="Y308" s="18"/>
      <c r="Z308" s="7"/>
      <c r="AA308" s="1"/>
      <c r="AB308" s="1"/>
      <c r="AC308" s="1"/>
    </row>
    <row r="309" spans="1:29" x14ac:dyDescent="0.3">
      <c r="A309">
        <v>308</v>
      </c>
      <c r="E309">
        <v>-379.74849006749997</v>
      </c>
      <c r="F309">
        <v>143.69577804165999</v>
      </c>
      <c r="G309">
        <v>405.14787151422001</v>
      </c>
      <c r="H309">
        <v>50.394987988818002</v>
      </c>
      <c r="I309">
        <v>21.710516627105999</v>
      </c>
      <c r="J309">
        <v>123.64705807202</v>
      </c>
      <c r="L309" s="1">
        <f t="shared" si="65"/>
        <v>3.5065043942299994</v>
      </c>
      <c r="M309">
        <f t="shared" si="66"/>
        <v>1101.7324383142156</v>
      </c>
      <c r="N309">
        <f t="shared" si="58"/>
        <v>3.0603678842061544</v>
      </c>
      <c r="O309">
        <f t="shared" si="59"/>
        <v>50.394987988818002</v>
      </c>
      <c r="P309">
        <f t="shared" si="60"/>
        <v>255</v>
      </c>
      <c r="Q309">
        <f t="shared" si="67"/>
        <v>102.434929912797</v>
      </c>
      <c r="R309">
        <f t="shared" si="61"/>
        <v>102.434929912797</v>
      </c>
      <c r="S309">
        <f t="shared" si="56"/>
        <v>105.74411845392726</v>
      </c>
      <c r="T309">
        <f t="shared" si="62"/>
        <v>105.74411845392726</v>
      </c>
      <c r="U309" s="3">
        <f t="shared" si="63"/>
        <v>123.64705807202</v>
      </c>
      <c r="V309">
        <f t="shared" si="68"/>
        <v>205</v>
      </c>
      <c r="W309" s="8">
        <f t="shared" si="57"/>
        <v>50.707807465735002</v>
      </c>
      <c r="X309" s="1">
        <f t="shared" si="64"/>
        <v>50.707807465735002</v>
      </c>
      <c r="Y309" s="18"/>
      <c r="Z309" s="7"/>
      <c r="AA309" s="1"/>
      <c r="AB309" s="1"/>
      <c r="AC309" s="1"/>
    </row>
    <row r="310" spans="1:29" x14ac:dyDescent="0.3">
      <c r="A310">
        <v>309</v>
      </c>
      <c r="E310">
        <v>-378.97688751129999</v>
      </c>
      <c r="F310">
        <v>142.72281524050001</v>
      </c>
      <c r="G310">
        <v>408.03491244451999</v>
      </c>
      <c r="H310">
        <v>50.239483249183003</v>
      </c>
      <c r="I310">
        <v>25.240113477929999</v>
      </c>
      <c r="J310">
        <v>124.14484341729001</v>
      </c>
      <c r="L310" s="1">
        <f t="shared" si="65"/>
        <v>3.5295968508239994</v>
      </c>
      <c r="M310">
        <f t="shared" si="66"/>
        <v>1105.2620351650396</v>
      </c>
      <c r="N310">
        <f t="shared" si="58"/>
        <v>3.0701723199028876</v>
      </c>
      <c r="O310">
        <f t="shared" si="59"/>
        <v>50.239483249183003</v>
      </c>
      <c r="P310">
        <f t="shared" si="60"/>
        <v>256</v>
      </c>
      <c r="Q310">
        <f t="shared" si="67"/>
        <v>102.406857870333</v>
      </c>
      <c r="R310">
        <f t="shared" si="61"/>
        <v>102.406857870333</v>
      </c>
      <c r="S310">
        <f t="shared" si="56"/>
        <v>105.71368810700083</v>
      </c>
      <c r="T310">
        <f t="shared" si="62"/>
        <v>105.71368810700083</v>
      </c>
      <c r="U310" s="3">
        <f t="shared" si="63"/>
        <v>124.14484341729001</v>
      </c>
      <c r="V310">
        <f t="shared" si="68"/>
        <v>206</v>
      </c>
      <c r="W310" s="8">
        <f t="shared" si="57"/>
        <v>50.679962110683007</v>
      </c>
      <c r="X310" s="1">
        <f t="shared" si="64"/>
        <v>50.679962110683007</v>
      </c>
      <c r="Y310" s="18"/>
      <c r="Z310" s="7"/>
      <c r="AA310" s="1"/>
      <c r="AB310" s="1"/>
      <c r="AC310" s="1"/>
    </row>
    <row r="311" spans="1:29" x14ac:dyDescent="0.3">
      <c r="A311">
        <v>310</v>
      </c>
      <c r="E311">
        <v>-378.18880910360002</v>
      </c>
      <c r="F311">
        <v>141.57927538390999</v>
      </c>
      <c r="G311">
        <v>410.85405992708002</v>
      </c>
      <c r="H311">
        <v>50.091670789741002</v>
      </c>
      <c r="I311">
        <v>28.777897651827001</v>
      </c>
      <c r="J311">
        <v>124.65759692226</v>
      </c>
      <c r="L311" s="1">
        <f t="shared" si="65"/>
        <v>3.5377841738970019</v>
      </c>
      <c r="M311">
        <f t="shared" si="66"/>
        <v>1108.7998193389367</v>
      </c>
      <c r="N311">
        <f t="shared" si="58"/>
        <v>3.0799994981637129</v>
      </c>
      <c r="O311">
        <f t="shared" si="59"/>
        <v>50.091670789741002</v>
      </c>
      <c r="P311">
        <f t="shared" si="60"/>
        <v>257</v>
      </c>
      <c r="Q311">
        <f t="shared" si="67"/>
        <v>102.362908784645</v>
      </c>
      <c r="R311">
        <f t="shared" si="61"/>
        <v>102.362908784645</v>
      </c>
      <c r="S311">
        <f t="shared" si="56"/>
        <v>105.67750022716248</v>
      </c>
      <c r="T311">
        <f t="shared" si="62"/>
        <v>105.67750022716248</v>
      </c>
      <c r="U311" s="3">
        <f t="shared" si="63"/>
        <v>124.65759692226</v>
      </c>
      <c r="V311">
        <f t="shared" si="68"/>
        <v>207</v>
      </c>
      <c r="W311" s="8">
        <f t="shared" si="57"/>
        <v>50.678682450892993</v>
      </c>
      <c r="X311" s="1">
        <f t="shared" si="64"/>
        <v>50.678682450892993</v>
      </c>
      <c r="Y311" s="18"/>
      <c r="Z311" s="7"/>
      <c r="AA311" s="1"/>
      <c r="AB311" s="1"/>
      <c r="AC311" s="1"/>
    </row>
    <row r="312" spans="1:29" x14ac:dyDescent="0.3">
      <c r="A312">
        <v>311</v>
      </c>
      <c r="E312">
        <v>-377.4063443169</v>
      </c>
      <c r="F312">
        <v>140.25846939143</v>
      </c>
      <c r="G312">
        <v>413.59622729383</v>
      </c>
      <c r="H312">
        <v>49.942345170688</v>
      </c>
      <c r="I312">
        <v>32.327334607773999</v>
      </c>
      <c r="J312">
        <v>125.16377674131</v>
      </c>
      <c r="L312" s="1">
        <f t="shared" si="65"/>
        <v>3.549436955946998</v>
      </c>
      <c r="M312">
        <f t="shared" si="66"/>
        <v>1112.3492562948836</v>
      </c>
      <c r="N312">
        <f t="shared" si="58"/>
        <v>3.0898590452635655</v>
      </c>
      <c r="O312">
        <f t="shared" si="59"/>
        <v>49.942345170688</v>
      </c>
      <c r="P312">
        <f t="shared" si="60"/>
        <v>258</v>
      </c>
      <c r="Q312">
        <f t="shared" si="67"/>
        <v>102.33678212660399</v>
      </c>
      <c r="R312">
        <f t="shared" si="61"/>
        <v>102.33678212660399</v>
      </c>
      <c r="S312">
        <f t="shared" si="56"/>
        <v>105.65733824913194</v>
      </c>
      <c r="T312">
        <f t="shared" si="62"/>
        <v>105.65733824913194</v>
      </c>
      <c r="U312" s="3">
        <f t="shared" si="63"/>
        <v>125.16377674131</v>
      </c>
      <c r="V312">
        <f t="shared" si="68"/>
        <v>208</v>
      </c>
      <c r="W312" s="8">
        <f t="shared" si="57"/>
        <v>50.676038590198999</v>
      </c>
      <c r="X312" s="1">
        <f t="shared" si="64"/>
        <v>50.676038590198999</v>
      </c>
      <c r="Y312" s="18"/>
      <c r="Z312" s="7"/>
      <c r="AA312" s="1"/>
      <c r="AB312" s="1"/>
      <c r="AC312" s="1"/>
    </row>
    <row r="313" spans="1:29" x14ac:dyDescent="0.3">
      <c r="A313">
        <v>312</v>
      </c>
      <c r="E313">
        <v>-376.62673548560002</v>
      </c>
      <c r="F313">
        <v>138.77808681854</v>
      </c>
      <c r="G313">
        <v>416.25652022527998</v>
      </c>
      <c r="H313">
        <v>49.806075294415997</v>
      </c>
      <c r="I313">
        <v>35.888178539178</v>
      </c>
      <c r="J313">
        <v>125.66723564576</v>
      </c>
      <c r="L313" s="1">
        <f t="shared" si="65"/>
        <v>3.5608439314040012</v>
      </c>
      <c r="M313">
        <f t="shared" si="66"/>
        <v>1115.9101002262876</v>
      </c>
      <c r="N313">
        <f t="shared" si="58"/>
        <v>3.0997502784063542</v>
      </c>
      <c r="O313">
        <f t="shared" si="59"/>
        <v>49.806075294415997</v>
      </c>
      <c r="P313">
        <f t="shared" si="60"/>
        <v>259</v>
      </c>
      <c r="Q313">
        <f t="shared" si="67"/>
        <v>102.32054755514099</v>
      </c>
      <c r="R313">
        <f t="shared" si="61"/>
        <v>102.32054755514099</v>
      </c>
      <c r="S313">
        <f t="shared" si="56"/>
        <v>105.637415360277</v>
      </c>
      <c r="T313">
        <f t="shared" si="62"/>
        <v>105.637415360277</v>
      </c>
      <c r="U313" s="3">
        <f t="shared" si="63"/>
        <v>125.66723564576</v>
      </c>
      <c r="V313">
        <f t="shared" si="68"/>
        <v>209</v>
      </c>
      <c r="W313" s="8">
        <f t="shared" si="57"/>
        <v>50.674150710709995</v>
      </c>
      <c r="X313" s="1">
        <f t="shared" si="64"/>
        <v>50.674150710709995</v>
      </c>
      <c r="Y313" s="18"/>
      <c r="Z313" s="7"/>
      <c r="AA313" s="1"/>
      <c r="AB313" s="1"/>
      <c r="AC313" s="1"/>
    </row>
    <row r="314" spans="1:29" x14ac:dyDescent="0.3">
      <c r="A314">
        <v>313</v>
      </c>
      <c r="E314">
        <v>-375.8613427496</v>
      </c>
      <c r="F314">
        <v>137.15629114695</v>
      </c>
      <c r="G314">
        <v>418.83711561461001</v>
      </c>
      <c r="H314">
        <v>49.700511343449001</v>
      </c>
      <c r="I314">
        <v>39.461366431009999</v>
      </c>
      <c r="J314">
        <v>126.15721784090999</v>
      </c>
      <c r="L314" s="1">
        <f t="shared" si="65"/>
        <v>3.5731878918319993</v>
      </c>
      <c r="M314">
        <f t="shared" si="66"/>
        <v>1119.4832881181196</v>
      </c>
      <c r="N314">
        <f t="shared" si="58"/>
        <v>3.1096758003281102</v>
      </c>
      <c r="O314">
        <f t="shared" si="59"/>
        <v>49.700511343449001</v>
      </c>
      <c r="P314">
        <f t="shared" si="60"/>
        <v>261</v>
      </c>
      <c r="Q314">
        <f t="shared" si="67"/>
        <v>102.420747372451</v>
      </c>
      <c r="R314">
        <f t="shared" si="61"/>
        <v>102.420747372451</v>
      </c>
      <c r="S314">
        <f t="shared" si="56"/>
        <v>105.66108028306654</v>
      </c>
      <c r="T314">
        <f t="shared" si="62"/>
        <v>105.66108028306654</v>
      </c>
      <c r="U314" s="3">
        <f t="shared" si="63"/>
        <v>126.15721784090999</v>
      </c>
      <c r="V314">
        <f t="shared" si="68"/>
        <v>210</v>
      </c>
      <c r="W314" s="8">
        <f t="shared" si="57"/>
        <v>50.653347200980988</v>
      </c>
      <c r="X314" s="1">
        <f t="shared" si="64"/>
        <v>50.653347200980988</v>
      </c>
      <c r="Y314" s="18"/>
      <c r="Z314" s="7"/>
      <c r="AA314" s="1"/>
      <c r="AB314" s="1"/>
      <c r="AC314" s="1"/>
    </row>
    <row r="315" spans="1:29" x14ac:dyDescent="0.3">
      <c r="A315">
        <v>314</v>
      </c>
      <c r="E315">
        <v>-375.10502814180001</v>
      </c>
      <c r="F315">
        <v>135.38579564630999</v>
      </c>
      <c r="G315">
        <v>421.32100025523999</v>
      </c>
      <c r="H315">
        <v>49.611291731363998</v>
      </c>
      <c r="I315">
        <v>43.043629515009997</v>
      </c>
      <c r="J315">
        <v>126.63991034937</v>
      </c>
      <c r="L315" s="1">
        <f t="shared" si="65"/>
        <v>3.5822630839999974</v>
      </c>
      <c r="M315">
        <f t="shared" si="66"/>
        <v>1123.0655512021197</v>
      </c>
      <c r="N315">
        <f t="shared" si="58"/>
        <v>3.1196265311169991</v>
      </c>
      <c r="O315">
        <f t="shared" si="59"/>
        <v>49.611291731363998</v>
      </c>
      <c r="P315">
        <f t="shared" si="60"/>
        <v>262</v>
      </c>
      <c r="Q315">
        <f t="shared" si="67"/>
        <v>102.430872312772</v>
      </c>
      <c r="R315">
        <f t="shared" si="61"/>
        <v>102.430872312772</v>
      </c>
      <c r="S315">
        <f t="shared" si="56"/>
        <v>105.67436437540515</v>
      </c>
      <c r="T315">
        <f t="shared" si="62"/>
        <v>105.67436437540515</v>
      </c>
      <c r="U315" s="3">
        <f t="shared" si="63"/>
        <v>126.63991034937</v>
      </c>
      <c r="V315">
        <f t="shared" si="68"/>
        <v>211</v>
      </c>
      <c r="W315" s="8">
        <f t="shared" si="57"/>
        <v>50.632016952002999</v>
      </c>
      <c r="X315" s="1">
        <f t="shared" si="64"/>
        <v>50.632016952002999</v>
      </c>
      <c r="Y315" s="18"/>
      <c r="Z315" s="7"/>
      <c r="AA315" s="1"/>
      <c r="AB315" s="1"/>
      <c r="AC315" s="1"/>
    </row>
    <row r="316" spans="1:29" x14ac:dyDescent="0.3">
      <c r="A316">
        <v>315</v>
      </c>
      <c r="E316">
        <v>-374.33793505109998</v>
      </c>
      <c r="F316">
        <v>133.48502083736</v>
      </c>
      <c r="G316">
        <v>423.70313993079998</v>
      </c>
      <c r="H316">
        <v>49.551220140547002</v>
      </c>
      <c r="I316">
        <v>46.629539644213999</v>
      </c>
      <c r="J316">
        <v>127.13623659616999</v>
      </c>
      <c r="L316" s="1">
        <f t="shared" si="65"/>
        <v>3.5859101292040023</v>
      </c>
      <c r="M316">
        <f t="shared" si="66"/>
        <v>1126.6514613313236</v>
      </c>
      <c r="N316">
        <f t="shared" si="58"/>
        <v>3.1295873925870099</v>
      </c>
      <c r="O316">
        <f t="shared" si="59"/>
        <v>49.551220140547002</v>
      </c>
      <c r="P316">
        <f t="shared" si="60"/>
        <v>263</v>
      </c>
      <c r="Q316">
        <f t="shared" si="67"/>
        <v>102.46338964893499</v>
      </c>
      <c r="R316">
        <f t="shared" si="61"/>
        <v>102.46338964893499</v>
      </c>
      <c r="S316">
        <f t="shared" si="56"/>
        <v>105.71025745997439</v>
      </c>
      <c r="T316">
        <f t="shared" si="62"/>
        <v>105.71025745997439</v>
      </c>
      <c r="U316" s="3">
        <f t="shared" si="63"/>
        <v>127.13623659616999</v>
      </c>
      <c r="V316">
        <f t="shared" si="68"/>
        <v>212</v>
      </c>
      <c r="W316" s="8">
        <f t="shared" si="57"/>
        <v>50.636233401355994</v>
      </c>
      <c r="X316" s="1">
        <f t="shared" si="64"/>
        <v>50.636233401355994</v>
      </c>
      <c r="Y316" s="18"/>
      <c r="Z316" s="7"/>
      <c r="AA316" s="1"/>
      <c r="AB316" s="1"/>
      <c r="AC316" s="1"/>
    </row>
    <row r="317" spans="1:29" x14ac:dyDescent="0.3">
      <c r="A317">
        <v>316</v>
      </c>
      <c r="E317">
        <v>-373.5629130291</v>
      </c>
      <c r="F317">
        <v>131.41977115219001</v>
      </c>
      <c r="G317">
        <v>425.94127674251001</v>
      </c>
      <c r="H317">
        <v>49.466985560662003</v>
      </c>
      <c r="I317">
        <v>50.217475803288004</v>
      </c>
      <c r="J317">
        <v>127.64536610918999</v>
      </c>
      <c r="L317" s="1">
        <f t="shared" si="65"/>
        <v>3.5879361590740046</v>
      </c>
      <c r="M317">
        <f t="shared" si="66"/>
        <v>1130.2393974903976</v>
      </c>
      <c r="N317">
        <f t="shared" si="58"/>
        <v>3.1395538819177711</v>
      </c>
      <c r="O317">
        <f t="shared" si="59"/>
        <v>49.466985560662003</v>
      </c>
      <c r="P317">
        <f t="shared" si="60"/>
        <v>264</v>
      </c>
      <c r="Q317">
        <f t="shared" si="67"/>
        <v>102.48013653695</v>
      </c>
      <c r="R317">
        <f t="shared" si="61"/>
        <v>102.48013653695</v>
      </c>
      <c r="S317">
        <f t="shared" si="56"/>
        <v>105.73085753936193</v>
      </c>
      <c r="T317">
        <f t="shared" si="62"/>
        <v>105.73085753936193</v>
      </c>
      <c r="U317" s="3">
        <f t="shared" si="63"/>
        <v>127.64536610918999</v>
      </c>
      <c r="V317">
        <f t="shared" si="68"/>
        <v>213</v>
      </c>
      <c r="W317" s="8">
        <f t="shared" si="57"/>
        <v>50.659608817172995</v>
      </c>
      <c r="X317" s="1">
        <f t="shared" si="64"/>
        <v>50.659608817172995</v>
      </c>
      <c r="Y317" s="18"/>
      <c r="Z317" s="7"/>
      <c r="AA317" s="1"/>
      <c r="AB317" s="1"/>
      <c r="AC317" s="1"/>
    </row>
    <row r="318" spans="1:29" x14ac:dyDescent="0.3">
      <c r="A318">
        <v>317</v>
      </c>
      <c r="E318">
        <v>-372.80888081239999</v>
      </c>
      <c r="F318">
        <v>129.20446103814999</v>
      </c>
      <c r="G318">
        <v>428.03896554167</v>
      </c>
      <c r="H318">
        <v>49.371171201355999</v>
      </c>
      <c r="I318">
        <v>53.814746029925999</v>
      </c>
      <c r="J318">
        <v>128.13879359684</v>
      </c>
      <c r="L318" s="1">
        <f t="shared" si="65"/>
        <v>3.5972702266379954</v>
      </c>
      <c r="M318">
        <f t="shared" si="66"/>
        <v>1133.8366677170357</v>
      </c>
      <c r="N318">
        <f t="shared" si="58"/>
        <v>3.1495462992139878</v>
      </c>
      <c r="O318">
        <f t="shared" si="59"/>
        <v>49.371171201355999</v>
      </c>
      <c r="P318">
        <f t="shared" si="60"/>
        <v>265</v>
      </c>
      <c r="Q318">
        <f t="shared" si="67"/>
        <v>102.46579031892401</v>
      </c>
      <c r="R318">
        <f t="shared" si="61"/>
        <v>102.46579031892401</v>
      </c>
      <c r="S318">
        <f t="shared" si="56"/>
        <v>105.71606273401461</v>
      </c>
      <c r="T318">
        <f t="shared" si="62"/>
        <v>105.71606273401461</v>
      </c>
      <c r="U318" s="3">
        <f t="shared" si="63"/>
        <v>128.13879359684</v>
      </c>
      <c r="V318">
        <f t="shared" si="68"/>
        <v>214</v>
      </c>
      <c r="W318" s="8">
        <f t="shared" si="57"/>
        <v>50.653864768905009</v>
      </c>
      <c r="X318" s="1">
        <f t="shared" si="64"/>
        <v>50.653864768905009</v>
      </c>
      <c r="Y318" s="18"/>
      <c r="Z318" s="7"/>
      <c r="AA318" s="1"/>
      <c r="AB318" s="1"/>
      <c r="AC318" s="1"/>
    </row>
    <row r="319" spans="1:29" x14ac:dyDescent="0.3">
      <c r="A319">
        <v>318</v>
      </c>
      <c r="E319">
        <v>-372.06844241070002</v>
      </c>
      <c r="F319">
        <v>126.86511997539</v>
      </c>
      <c r="G319">
        <v>430.00236126299001</v>
      </c>
      <c r="H319">
        <v>49.287277471145998</v>
      </c>
      <c r="I319">
        <v>57.420252967780002</v>
      </c>
      <c r="J319">
        <v>128.62444224606</v>
      </c>
      <c r="L319" s="1">
        <f t="shared" si="65"/>
        <v>3.6055069378540026</v>
      </c>
      <c r="M319">
        <f t="shared" si="66"/>
        <v>1137.4421746548896</v>
      </c>
      <c r="N319">
        <f t="shared" si="58"/>
        <v>3.1595615962635821</v>
      </c>
      <c r="O319">
        <f t="shared" si="59"/>
        <v>49.287277471145998</v>
      </c>
      <c r="P319">
        <f t="shared" si="60"/>
        <v>266</v>
      </c>
      <c r="Q319">
        <f t="shared" si="67"/>
        <v>102.448469295416</v>
      </c>
      <c r="R319">
        <f t="shared" si="61"/>
        <v>102.448469295416</v>
      </c>
      <c r="S319">
        <f t="shared" si="56"/>
        <v>105.69727995885592</v>
      </c>
      <c r="T319">
        <f t="shared" si="62"/>
        <v>105.69727995885592</v>
      </c>
      <c r="U319" s="3">
        <f t="shared" si="63"/>
        <v>128.62444224606</v>
      </c>
      <c r="V319">
        <f t="shared" si="68"/>
        <v>215</v>
      </c>
      <c r="W319" s="8">
        <f t="shared" si="57"/>
        <v>50.638882738527002</v>
      </c>
      <c r="X319" s="1">
        <f t="shared" si="64"/>
        <v>50.638882738527002</v>
      </c>
      <c r="Y319" s="18"/>
      <c r="Z319" s="7"/>
      <c r="AA319" s="1"/>
      <c r="AB319" s="1"/>
      <c r="AC319" s="1"/>
    </row>
    <row r="320" spans="1:29" x14ac:dyDescent="0.3">
      <c r="A320">
        <v>319</v>
      </c>
      <c r="E320">
        <v>-371.33292976000001</v>
      </c>
      <c r="F320">
        <v>124.40834125142</v>
      </c>
      <c r="G320">
        <v>431.81883965083</v>
      </c>
      <c r="H320">
        <v>49.210753695407</v>
      </c>
      <c r="I320">
        <v>61.031587280575003</v>
      </c>
      <c r="J320">
        <v>129.11222323737999</v>
      </c>
      <c r="L320" s="1">
        <f t="shared" si="65"/>
        <v>3.6113343127950017</v>
      </c>
      <c r="M320">
        <f t="shared" si="66"/>
        <v>1141.0535089676846</v>
      </c>
      <c r="N320">
        <f t="shared" si="58"/>
        <v>3.1695930804657904</v>
      </c>
      <c r="O320">
        <f t="shared" si="59"/>
        <v>49.210753695407</v>
      </c>
      <c r="P320">
        <f t="shared" si="60"/>
        <v>267</v>
      </c>
      <c r="Q320">
        <f t="shared" si="67"/>
        <v>102.43599374049299</v>
      </c>
      <c r="R320">
        <f t="shared" si="61"/>
        <v>102.43599374049299</v>
      </c>
      <c r="S320">
        <f t="shared" si="56"/>
        <v>105.68365462575707</v>
      </c>
      <c r="T320">
        <f t="shared" si="62"/>
        <v>105.68365462575707</v>
      </c>
      <c r="U320" s="3">
        <f t="shared" si="63"/>
        <v>129.11222323737999</v>
      </c>
      <c r="V320">
        <f t="shared" si="68"/>
        <v>216</v>
      </c>
      <c r="W320" s="8">
        <f t="shared" si="57"/>
        <v>50.636013999157996</v>
      </c>
      <c r="X320" s="1">
        <f t="shared" si="64"/>
        <v>50.636013999157996</v>
      </c>
      <c r="Y320" s="18"/>
      <c r="Z320" s="7"/>
      <c r="AA320" s="1"/>
      <c r="AB320" s="1"/>
      <c r="AC320" s="1"/>
    </row>
    <row r="321" spans="1:29" x14ac:dyDescent="0.3">
      <c r="A321">
        <v>320</v>
      </c>
      <c r="E321">
        <v>-370.5975140274</v>
      </c>
      <c r="F321">
        <v>121.84098670502</v>
      </c>
      <c r="G321">
        <v>433.47530483622</v>
      </c>
      <c r="H321">
        <v>49.135656254927</v>
      </c>
      <c r="I321">
        <v>64.646945009172995</v>
      </c>
      <c r="J321">
        <v>129.60827265789001</v>
      </c>
      <c r="L321" s="1">
        <f t="shared" si="65"/>
        <v>3.6153577285979921</v>
      </c>
      <c r="M321">
        <f t="shared" si="66"/>
        <v>1144.6688666962825</v>
      </c>
      <c r="N321">
        <f t="shared" si="58"/>
        <v>3.1796357408230072</v>
      </c>
      <c r="O321">
        <f t="shared" si="59"/>
        <v>49.135656254927</v>
      </c>
      <c r="P321">
        <f t="shared" si="60"/>
        <v>268</v>
      </c>
      <c r="Q321">
        <f t="shared" si="67"/>
        <v>102.42079279180899</v>
      </c>
      <c r="R321">
        <f t="shared" si="61"/>
        <v>102.42079279180899</v>
      </c>
      <c r="S321">
        <f t="shared" si="56"/>
        <v>105.66801202633137</v>
      </c>
      <c r="T321">
        <f t="shared" si="62"/>
        <v>105.66801202633137</v>
      </c>
      <c r="U321" s="3">
        <f t="shared" si="63"/>
        <v>129.60827265789001</v>
      </c>
      <c r="V321">
        <f t="shared" si="68"/>
        <v>217</v>
      </c>
      <c r="W321" s="8">
        <f t="shared" si="57"/>
        <v>50.636348842699007</v>
      </c>
      <c r="X321" s="1">
        <f t="shared" si="64"/>
        <v>50.636348842699007</v>
      </c>
      <c r="Y321" s="18"/>
      <c r="Z321" s="7"/>
      <c r="AA321" s="1"/>
      <c r="AB321" s="1"/>
      <c r="AC321" s="1"/>
    </row>
    <row r="322" spans="1:29" x14ac:dyDescent="0.3">
      <c r="A322">
        <v>321</v>
      </c>
      <c r="E322">
        <v>-369.86953115699998</v>
      </c>
      <c r="F322">
        <v>119.18022388481</v>
      </c>
      <c r="G322">
        <v>434.98093418411003</v>
      </c>
      <c r="H322">
        <v>49.078923678780001</v>
      </c>
      <c r="I322">
        <v>68.267537301274999</v>
      </c>
      <c r="J322">
        <v>130.10524128724001</v>
      </c>
      <c r="L322" s="1">
        <f t="shared" si="65"/>
        <v>3.6205922921020033</v>
      </c>
      <c r="M322">
        <f t="shared" si="66"/>
        <v>1148.2894589883845</v>
      </c>
      <c r="N322">
        <f t="shared" si="58"/>
        <v>3.1896929416344011</v>
      </c>
      <c r="O322">
        <f t="shared" si="59"/>
        <v>49.078923678780001</v>
      </c>
      <c r="P322">
        <f t="shared" si="60"/>
        <v>269</v>
      </c>
      <c r="Q322">
        <f t="shared" si="67"/>
        <v>102.41701404742599</v>
      </c>
      <c r="R322">
        <f t="shared" si="61"/>
        <v>102.41701404742599</v>
      </c>
      <c r="S322">
        <f t="shared" ref="S322:S385" si="69">IF(P322=0,0,SQRT((E322-INDEX(E:E,P322))^2+(F322-INDEX(F:F,P322))^2+(G322-INDEX(G:G,P322))^2))</f>
        <v>105.66322713154457</v>
      </c>
      <c r="T322">
        <f t="shared" si="62"/>
        <v>105.66322713154457</v>
      </c>
      <c r="U322" s="3">
        <f t="shared" si="63"/>
        <v>130.10524128724001</v>
      </c>
      <c r="V322">
        <f t="shared" si="68"/>
        <v>218</v>
      </c>
      <c r="W322" s="8">
        <f t="shared" ref="W322:W385" si="70">IF(V322=0,0,U322-INDEX(U:U,V322))</f>
        <v>50.632224335714</v>
      </c>
      <c r="X322" s="1">
        <f t="shared" si="64"/>
        <v>50.632224335714</v>
      </c>
      <c r="Y322" s="18"/>
      <c r="Z322" s="7"/>
      <c r="AA322" s="1"/>
      <c r="AB322" s="1"/>
      <c r="AC322" s="1"/>
    </row>
    <row r="323" spans="1:29" x14ac:dyDescent="0.3">
      <c r="A323">
        <v>322</v>
      </c>
      <c r="E323">
        <v>-369.15233339539998</v>
      </c>
      <c r="F323">
        <v>116.43321495123</v>
      </c>
      <c r="G323">
        <v>436.32821513347</v>
      </c>
      <c r="H323">
        <v>49.037745249875002</v>
      </c>
      <c r="I323">
        <v>71.892138682785003</v>
      </c>
      <c r="J323">
        <v>130.60068168576001</v>
      </c>
      <c r="L323" s="1">
        <f t="shared" si="65"/>
        <v>3.6246013815100042</v>
      </c>
      <c r="M323">
        <f t="shared" si="66"/>
        <v>1151.9140603698945</v>
      </c>
      <c r="N323">
        <f t="shared" ref="N323:N386" si="71">M323/360</f>
        <v>3.1997612788052625</v>
      </c>
      <c r="O323">
        <f t="shared" ref="O323:O386" si="72">H323</f>
        <v>49.037745249875002</v>
      </c>
      <c r="P323">
        <f t="shared" ref="P323:P386" si="73">IFERROR(MATCH(N323-0.5,N:N,1),0)</f>
        <v>270</v>
      </c>
      <c r="Q323">
        <f t="shared" si="67"/>
        <v>102.42148545059101</v>
      </c>
      <c r="R323">
        <f t="shared" ref="R323:R386" si="74">IF(Q323=0,MAX(Q:Q),Q323)</f>
        <v>102.42148545059101</v>
      </c>
      <c r="S323">
        <f t="shared" si="69"/>
        <v>105.66487496032657</v>
      </c>
      <c r="T323">
        <f t="shared" ref="T323:T386" si="75">IF(S323=0,MAX(S:S),S323)</f>
        <v>105.66487496032657</v>
      </c>
      <c r="U323" s="3">
        <f t="shared" ref="U323:U386" si="76">J323</f>
        <v>130.60068168576001</v>
      </c>
      <c r="V323">
        <f t="shared" si="68"/>
        <v>219</v>
      </c>
      <c r="W323" s="8">
        <f t="shared" si="70"/>
        <v>50.632471212230016</v>
      </c>
      <c r="X323" s="1">
        <f t="shared" ref="X323:X386" si="77">IF(W323=0,MAX(W:W),W323)</f>
        <v>50.632471212230016</v>
      </c>
      <c r="Y323" s="18"/>
      <c r="Z323" s="7"/>
      <c r="AA323" s="1"/>
      <c r="AB323" s="1"/>
      <c r="AC323" s="1"/>
    </row>
    <row r="324" spans="1:29" x14ac:dyDescent="0.3">
      <c r="A324">
        <v>323</v>
      </c>
      <c r="E324">
        <v>-368.44505220619999</v>
      </c>
      <c r="F324">
        <v>113.60439001447</v>
      </c>
      <c r="G324">
        <v>437.50024444253</v>
      </c>
      <c r="H324">
        <v>48.999269006962002</v>
      </c>
      <c r="I324">
        <v>75.519668087010999</v>
      </c>
      <c r="J324">
        <v>131.09699270726</v>
      </c>
      <c r="L324" s="1">
        <f t="shared" ref="L324:L387" si="78">I324-I323</f>
        <v>3.6275294042259958</v>
      </c>
      <c r="M324">
        <f t="shared" ref="M324:M387" si="79">IF(L324&gt;0,M323+L324,M323+L323)</f>
        <v>1155.5415897741204</v>
      </c>
      <c r="N324">
        <f t="shared" si="71"/>
        <v>3.2098377493725567</v>
      </c>
      <c r="O324">
        <f t="shared" si="72"/>
        <v>48.999269006962002</v>
      </c>
      <c r="P324">
        <f t="shared" si="73"/>
        <v>271</v>
      </c>
      <c r="Q324">
        <f t="shared" si="67"/>
        <v>102.42422791214</v>
      </c>
      <c r="R324">
        <f t="shared" si="74"/>
        <v>102.42422791214</v>
      </c>
      <c r="S324">
        <f t="shared" si="69"/>
        <v>105.66439105323398</v>
      </c>
      <c r="T324">
        <f t="shared" si="75"/>
        <v>105.66439105323398</v>
      </c>
      <c r="U324" s="3">
        <f t="shared" si="76"/>
        <v>131.09699270726</v>
      </c>
      <c r="V324">
        <f t="shared" si="68"/>
        <v>220</v>
      </c>
      <c r="W324" s="8">
        <f t="shared" si="70"/>
        <v>50.648708300850004</v>
      </c>
      <c r="X324" s="1">
        <f t="shared" si="77"/>
        <v>50.648708300850004</v>
      </c>
      <c r="Y324" s="18"/>
      <c r="Z324" s="7"/>
      <c r="AA324" s="1"/>
      <c r="AB324" s="1"/>
      <c r="AC324" s="1"/>
    </row>
    <row r="325" spans="1:29" x14ac:dyDescent="0.3">
      <c r="A325">
        <v>324</v>
      </c>
      <c r="E325">
        <v>-367.74998430990001</v>
      </c>
      <c r="F325">
        <v>110.70305451634999</v>
      </c>
      <c r="G325">
        <v>438.48813020755</v>
      </c>
      <c r="H325">
        <v>48.959033158678999</v>
      </c>
      <c r="I325">
        <v>79.150268494637999</v>
      </c>
      <c r="J325">
        <v>131.59297524743999</v>
      </c>
      <c r="L325" s="1">
        <f t="shared" si="78"/>
        <v>3.630600407627</v>
      </c>
      <c r="M325">
        <f t="shared" si="79"/>
        <v>1159.1721901817475</v>
      </c>
      <c r="N325">
        <f t="shared" si="71"/>
        <v>3.2199227505048542</v>
      </c>
      <c r="O325">
        <f t="shared" si="72"/>
        <v>48.959033158678999</v>
      </c>
      <c r="P325">
        <f t="shared" si="73"/>
        <v>272</v>
      </c>
      <c r="Q325">
        <f t="shared" si="67"/>
        <v>102.413549610158</v>
      </c>
      <c r="R325">
        <f t="shared" si="74"/>
        <v>102.413549610158</v>
      </c>
      <c r="S325">
        <f t="shared" si="69"/>
        <v>105.65233897954023</v>
      </c>
      <c r="T325">
        <f t="shared" si="75"/>
        <v>105.65233897954023</v>
      </c>
      <c r="U325" s="3">
        <f t="shared" si="76"/>
        <v>131.59297524743999</v>
      </c>
      <c r="V325">
        <f t="shared" si="68"/>
        <v>221</v>
      </c>
      <c r="W325" s="8">
        <f t="shared" si="70"/>
        <v>50.650927610474994</v>
      </c>
      <c r="X325" s="1">
        <f t="shared" si="77"/>
        <v>50.650927610474994</v>
      </c>
      <c r="Y325" s="18"/>
      <c r="Z325" s="7"/>
      <c r="AA325" s="1"/>
      <c r="AB325" s="1"/>
      <c r="AC325" s="1"/>
    </row>
    <row r="326" spans="1:29" x14ac:dyDescent="0.3">
      <c r="A326">
        <v>325</v>
      </c>
      <c r="E326">
        <v>-367.05834300959998</v>
      </c>
      <c r="F326">
        <v>107.74553986111999</v>
      </c>
      <c r="G326">
        <v>439.29456598626001</v>
      </c>
      <c r="H326">
        <v>48.925645491616002</v>
      </c>
      <c r="I326">
        <v>82.78179671238</v>
      </c>
      <c r="J326">
        <v>132.09782368947</v>
      </c>
      <c r="L326" s="1">
        <f t="shared" si="78"/>
        <v>3.6315282177420016</v>
      </c>
      <c r="M326">
        <f t="shared" si="79"/>
        <v>1162.8037183994895</v>
      </c>
      <c r="N326">
        <f t="shared" si="71"/>
        <v>3.2300103288874711</v>
      </c>
      <c r="O326">
        <f t="shared" si="72"/>
        <v>48.925645491616002</v>
      </c>
      <c r="P326">
        <f t="shared" si="73"/>
        <v>273</v>
      </c>
      <c r="Q326">
        <f t="shared" si="67"/>
        <v>102.400228056456</v>
      </c>
      <c r="R326">
        <f t="shared" si="74"/>
        <v>102.400228056456</v>
      </c>
      <c r="S326">
        <f t="shared" si="69"/>
        <v>105.6398664355205</v>
      </c>
      <c r="T326">
        <f t="shared" si="75"/>
        <v>105.6398664355205</v>
      </c>
      <c r="U326" s="3">
        <f t="shared" si="76"/>
        <v>132.09782368947</v>
      </c>
      <c r="V326">
        <f t="shared" si="68"/>
        <v>222</v>
      </c>
      <c r="W326" s="8">
        <f t="shared" si="70"/>
        <v>50.65831663102</v>
      </c>
      <c r="X326" s="1">
        <f t="shared" si="77"/>
        <v>50.65831663102</v>
      </c>
      <c r="Y326" s="18"/>
      <c r="Z326" s="7"/>
      <c r="AA326" s="1"/>
      <c r="AB326" s="1"/>
      <c r="AC326" s="1"/>
    </row>
    <row r="327" spans="1:29" x14ac:dyDescent="0.3">
      <c r="A327">
        <v>326</v>
      </c>
      <c r="E327">
        <v>-366.38673595419999</v>
      </c>
      <c r="F327">
        <v>104.73992457948</v>
      </c>
      <c r="G327">
        <v>439.91983518081997</v>
      </c>
      <c r="H327">
        <v>48.900590821965999</v>
      </c>
      <c r="I327">
        <v>86.417009451593003</v>
      </c>
      <c r="J327">
        <v>132.59530070705</v>
      </c>
      <c r="L327" s="1">
        <f t="shared" si="78"/>
        <v>3.6352127392130029</v>
      </c>
      <c r="M327">
        <f t="shared" si="79"/>
        <v>1166.4389311387026</v>
      </c>
      <c r="N327">
        <f t="shared" si="71"/>
        <v>3.2401081420519517</v>
      </c>
      <c r="O327">
        <f t="shared" si="72"/>
        <v>48.900590821965999</v>
      </c>
      <c r="P327">
        <f t="shared" si="73"/>
        <v>275</v>
      </c>
      <c r="Q327">
        <f t="shared" si="67"/>
        <v>102.41502664397399</v>
      </c>
      <c r="R327">
        <f t="shared" si="74"/>
        <v>102.41502664397399</v>
      </c>
      <c r="S327">
        <f t="shared" si="69"/>
        <v>105.57722136113763</v>
      </c>
      <c r="T327">
        <f t="shared" si="75"/>
        <v>105.57722136113763</v>
      </c>
      <c r="U327" s="3">
        <f t="shared" si="76"/>
        <v>132.59530070705</v>
      </c>
      <c r="V327">
        <f t="shared" si="68"/>
        <v>223</v>
      </c>
      <c r="W327" s="8">
        <f t="shared" si="70"/>
        <v>50.663592454267004</v>
      </c>
      <c r="X327" s="1">
        <f t="shared" si="77"/>
        <v>50.663592454267004</v>
      </c>
      <c r="Y327" s="18"/>
      <c r="Z327" s="7"/>
      <c r="AA327" s="1"/>
      <c r="AB327" s="1"/>
      <c r="AC327" s="1"/>
    </row>
    <row r="328" spans="1:29" x14ac:dyDescent="0.3">
      <c r="A328">
        <v>327</v>
      </c>
      <c r="E328">
        <v>-365.73386126079998</v>
      </c>
      <c r="F328">
        <v>101.69876897466</v>
      </c>
      <c r="G328">
        <v>440.36857358382002</v>
      </c>
      <c r="H328">
        <v>48.891541442419999</v>
      </c>
      <c r="I328">
        <v>90.054797016500999</v>
      </c>
      <c r="J328">
        <v>133.08683818962001</v>
      </c>
      <c r="L328" s="1">
        <f t="shared" si="78"/>
        <v>3.6377875649079954</v>
      </c>
      <c r="M328">
        <f t="shared" si="79"/>
        <v>1170.0767187036106</v>
      </c>
      <c r="N328">
        <f t="shared" si="71"/>
        <v>3.2502131075100293</v>
      </c>
      <c r="O328">
        <f t="shared" si="72"/>
        <v>48.891541442419999</v>
      </c>
      <c r="P328">
        <f t="shared" si="73"/>
        <v>276</v>
      </c>
      <c r="Q328">
        <f t="shared" si="67"/>
        <v>102.413992022142</v>
      </c>
      <c r="R328">
        <f t="shared" si="74"/>
        <v>102.413992022142</v>
      </c>
      <c r="S328">
        <f t="shared" si="69"/>
        <v>105.57667562740609</v>
      </c>
      <c r="T328">
        <f t="shared" si="75"/>
        <v>105.57667562740609</v>
      </c>
      <c r="U328" s="3">
        <f t="shared" si="76"/>
        <v>133.08683818962001</v>
      </c>
      <c r="V328">
        <f t="shared" si="68"/>
        <v>224</v>
      </c>
      <c r="W328" s="8">
        <f t="shared" si="70"/>
        <v>50.666102966589008</v>
      </c>
      <c r="X328" s="1">
        <f t="shared" si="77"/>
        <v>50.666102966589008</v>
      </c>
      <c r="Y328" s="18"/>
      <c r="Z328" s="7"/>
      <c r="AA328" s="1"/>
      <c r="AB328" s="1"/>
      <c r="AC328" s="1"/>
    </row>
    <row r="329" spans="1:29" x14ac:dyDescent="0.3">
      <c r="A329">
        <v>328</v>
      </c>
      <c r="E329">
        <v>-365.09703863689998</v>
      </c>
      <c r="F329">
        <v>98.632559471598</v>
      </c>
      <c r="G329">
        <v>440.63027844752997</v>
      </c>
      <c r="H329">
        <v>48.890191837914998</v>
      </c>
      <c r="I329">
        <v>93.693251338742996</v>
      </c>
      <c r="J329">
        <v>133.57637075285001</v>
      </c>
      <c r="L329" s="1">
        <f t="shared" si="78"/>
        <v>3.6384543222419978</v>
      </c>
      <c r="M329">
        <f t="shared" si="79"/>
        <v>1173.7151730258527</v>
      </c>
      <c r="N329">
        <f t="shared" si="71"/>
        <v>3.2603199250718129</v>
      </c>
      <c r="O329">
        <f t="shared" si="72"/>
        <v>48.890191837914998</v>
      </c>
      <c r="P329">
        <f t="shared" si="73"/>
        <v>277</v>
      </c>
      <c r="Q329">
        <f t="shared" si="67"/>
        <v>102.398818946022</v>
      </c>
      <c r="R329">
        <f t="shared" si="74"/>
        <v>102.398818946022</v>
      </c>
      <c r="S329">
        <f t="shared" si="69"/>
        <v>105.56057847507314</v>
      </c>
      <c r="T329">
        <f t="shared" si="75"/>
        <v>105.56057847507314</v>
      </c>
      <c r="U329" s="3">
        <f t="shared" si="76"/>
        <v>133.57637075285001</v>
      </c>
      <c r="V329">
        <f t="shared" si="68"/>
        <v>225</v>
      </c>
      <c r="W329" s="8">
        <f t="shared" si="70"/>
        <v>50.670786681870013</v>
      </c>
      <c r="X329" s="1">
        <f t="shared" si="77"/>
        <v>50.670786681870013</v>
      </c>
      <c r="Y329" s="18"/>
      <c r="Z329" s="7"/>
      <c r="AA329" s="1"/>
      <c r="AB329" s="1"/>
      <c r="AC329" s="1"/>
    </row>
    <row r="330" spans="1:29" x14ac:dyDescent="0.3">
      <c r="A330">
        <v>329</v>
      </c>
      <c r="E330">
        <v>-364.48955574860003</v>
      </c>
      <c r="F330">
        <v>95.550178586442001</v>
      </c>
      <c r="G330">
        <v>440.71018763491003</v>
      </c>
      <c r="H330">
        <v>48.901894396217997</v>
      </c>
      <c r="I330">
        <v>97.334233060762003</v>
      </c>
      <c r="J330">
        <v>134.05060292911</v>
      </c>
      <c r="L330" s="1">
        <f t="shared" si="78"/>
        <v>3.6409817220190064</v>
      </c>
      <c r="M330">
        <f t="shared" si="79"/>
        <v>1177.3561547478716</v>
      </c>
      <c r="N330">
        <f t="shared" si="71"/>
        <v>3.2704337631885325</v>
      </c>
      <c r="O330">
        <f t="shared" si="72"/>
        <v>48.901894396217997</v>
      </c>
      <c r="P330">
        <f t="shared" si="73"/>
        <v>278</v>
      </c>
      <c r="Q330">
        <f t="shared" si="67"/>
        <v>102.39552012217899</v>
      </c>
      <c r="R330">
        <f t="shared" si="74"/>
        <v>102.39552012217899</v>
      </c>
      <c r="S330">
        <f t="shared" si="69"/>
        <v>105.55051313784114</v>
      </c>
      <c r="T330">
        <f t="shared" si="75"/>
        <v>105.55051313784114</v>
      </c>
      <c r="U330" s="3">
        <f t="shared" si="76"/>
        <v>134.05060292911</v>
      </c>
      <c r="V330">
        <f t="shared" si="68"/>
        <v>226</v>
      </c>
      <c r="W330" s="8">
        <f t="shared" si="70"/>
        <v>50.647964088606003</v>
      </c>
      <c r="X330" s="1">
        <f t="shared" si="77"/>
        <v>50.647964088606003</v>
      </c>
      <c r="Y330" s="18"/>
      <c r="Z330" s="7"/>
      <c r="AA330" s="1"/>
      <c r="AB330" s="1"/>
      <c r="AC330" s="1"/>
    </row>
    <row r="331" spans="1:29" x14ac:dyDescent="0.3">
      <c r="A331">
        <v>330</v>
      </c>
      <c r="E331">
        <v>-363.89537880850003</v>
      </c>
      <c r="F331">
        <v>92.466493490030004</v>
      </c>
      <c r="G331">
        <v>440.59219441744</v>
      </c>
      <c r="H331">
        <v>48.912595001831001</v>
      </c>
      <c r="I331">
        <v>100.97384809259</v>
      </c>
      <c r="J331">
        <v>134.52739497008</v>
      </c>
      <c r="L331" s="1">
        <f t="shared" si="78"/>
        <v>3.6396150318280007</v>
      </c>
      <c r="M331">
        <f t="shared" si="79"/>
        <v>1180.9957697796997</v>
      </c>
      <c r="N331">
        <f t="shared" si="71"/>
        <v>3.2805438049436102</v>
      </c>
      <c r="O331">
        <f t="shared" si="72"/>
        <v>48.912595001831001</v>
      </c>
      <c r="P331">
        <f t="shared" si="73"/>
        <v>279</v>
      </c>
      <c r="Q331">
        <f t="shared" si="67"/>
        <v>102.382926223308</v>
      </c>
      <c r="R331">
        <f t="shared" si="74"/>
        <v>102.382926223308</v>
      </c>
      <c r="S331">
        <f t="shared" si="69"/>
        <v>105.53264694016096</v>
      </c>
      <c r="T331">
        <f t="shared" si="75"/>
        <v>105.53264694016096</v>
      </c>
      <c r="U331" s="3">
        <f t="shared" si="76"/>
        <v>134.52739497008</v>
      </c>
      <c r="V331">
        <f t="shared" si="68"/>
        <v>227</v>
      </c>
      <c r="W331" s="8">
        <f t="shared" si="70"/>
        <v>50.62587580487299</v>
      </c>
      <c r="X331" s="1">
        <f t="shared" si="77"/>
        <v>50.62587580487299</v>
      </c>
      <c r="Y331" s="18"/>
      <c r="Z331" s="7"/>
      <c r="AA331" s="1"/>
      <c r="AB331" s="1"/>
      <c r="AC331" s="1"/>
    </row>
    <row r="332" spans="1:29" x14ac:dyDescent="0.3">
      <c r="A332">
        <v>331</v>
      </c>
      <c r="E332">
        <v>-363.29020920919999</v>
      </c>
      <c r="F332">
        <v>89.398514928381999</v>
      </c>
      <c r="G332">
        <v>440.28021130756002</v>
      </c>
      <c r="H332">
        <v>48.927279460874999</v>
      </c>
      <c r="I332">
        <v>104.60747174063999</v>
      </c>
      <c r="J332">
        <v>135.03132026788001</v>
      </c>
      <c r="L332" s="1">
        <f t="shared" si="78"/>
        <v>3.6336236480499906</v>
      </c>
      <c r="M332">
        <f t="shared" si="79"/>
        <v>1184.6293934277496</v>
      </c>
      <c r="N332">
        <f t="shared" si="71"/>
        <v>3.290637203965971</v>
      </c>
      <c r="O332">
        <f t="shared" si="72"/>
        <v>48.927279460874999</v>
      </c>
      <c r="P332">
        <f t="shared" si="73"/>
        <v>280</v>
      </c>
      <c r="Q332">
        <f t="shared" si="67"/>
        <v>102.370360318633</v>
      </c>
      <c r="R332">
        <f t="shared" si="74"/>
        <v>102.370360318633</v>
      </c>
      <c r="S332">
        <f t="shared" si="69"/>
        <v>105.52310107276142</v>
      </c>
      <c r="T332">
        <f t="shared" si="75"/>
        <v>105.52310107276142</v>
      </c>
      <c r="U332" s="3">
        <f t="shared" si="76"/>
        <v>135.03132026788001</v>
      </c>
      <c r="V332">
        <f t="shared" si="68"/>
        <v>228</v>
      </c>
      <c r="W332" s="8">
        <f t="shared" si="70"/>
        <v>50.634905810687002</v>
      </c>
      <c r="X332" s="1">
        <f t="shared" si="77"/>
        <v>50.634905810687002</v>
      </c>
      <c r="Y332" s="18"/>
      <c r="Z332" s="7"/>
      <c r="AA332" s="1"/>
      <c r="AB332" s="1"/>
      <c r="AC332" s="1"/>
    </row>
    <row r="333" spans="1:29" x14ac:dyDescent="0.3">
      <c r="A333">
        <v>332</v>
      </c>
      <c r="E333">
        <v>-362.71409364150003</v>
      </c>
      <c r="F333">
        <v>86.348054179719995</v>
      </c>
      <c r="G333">
        <v>439.79151894200999</v>
      </c>
      <c r="H333">
        <v>48.959405423789001</v>
      </c>
      <c r="I333">
        <v>108.24183801373999</v>
      </c>
      <c r="J333">
        <v>135.5211815479</v>
      </c>
      <c r="L333" s="1">
        <f t="shared" si="78"/>
        <v>3.6343662730999995</v>
      </c>
      <c r="M333">
        <f t="shared" si="79"/>
        <v>1188.2637597008497</v>
      </c>
      <c r="N333">
        <f t="shared" si="71"/>
        <v>3.3007326658356937</v>
      </c>
      <c r="O333">
        <f t="shared" si="72"/>
        <v>48.959405423789001</v>
      </c>
      <c r="P333">
        <f t="shared" si="73"/>
        <v>281</v>
      </c>
      <c r="Q333">
        <f t="shared" si="67"/>
        <v>102.37035002241299</v>
      </c>
      <c r="R333">
        <f t="shared" si="74"/>
        <v>102.37035002241299</v>
      </c>
      <c r="S333">
        <f t="shared" si="69"/>
        <v>105.52141738378519</v>
      </c>
      <c r="T333">
        <f t="shared" si="75"/>
        <v>105.52141738378519</v>
      </c>
      <c r="U333" s="3">
        <f t="shared" si="76"/>
        <v>135.5211815479</v>
      </c>
      <c r="V333">
        <f t="shared" si="68"/>
        <v>229</v>
      </c>
      <c r="W333" s="8">
        <f t="shared" si="70"/>
        <v>50.630586084049995</v>
      </c>
      <c r="X333" s="1">
        <f t="shared" si="77"/>
        <v>50.630586084049995</v>
      </c>
      <c r="Y333" s="18"/>
      <c r="Z333" s="7"/>
      <c r="AA333" s="1"/>
      <c r="AB333" s="1"/>
      <c r="AC333" s="1"/>
    </row>
    <row r="334" spans="1:29" x14ac:dyDescent="0.3">
      <c r="A334">
        <v>333</v>
      </c>
      <c r="E334">
        <v>-362.15499466860001</v>
      </c>
      <c r="F334">
        <v>83.330440034269003</v>
      </c>
      <c r="G334">
        <v>439.11510389367999</v>
      </c>
      <c r="H334">
        <v>48.997011927599999</v>
      </c>
      <c r="I334">
        <v>111.87366596141</v>
      </c>
      <c r="J334">
        <v>136.01046916641999</v>
      </c>
      <c r="L334" s="1">
        <f t="shared" si="78"/>
        <v>3.6318279476700042</v>
      </c>
      <c r="M334">
        <f t="shared" si="79"/>
        <v>1191.8955876485197</v>
      </c>
      <c r="N334">
        <f t="shared" si="71"/>
        <v>3.3108210768014437</v>
      </c>
      <c r="O334">
        <f t="shared" si="72"/>
        <v>48.997011927599999</v>
      </c>
      <c r="P334">
        <f t="shared" si="73"/>
        <v>282</v>
      </c>
      <c r="Q334">
        <f t="shared" si="67"/>
        <v>102.371181516354</v>
      </c>
      <c r="R334">
        <f t="shared" si="74"/>
        <v>102.371181516354</v>
      </c>
      <c r="S334">
        <f t="shared" si="69"/>
        <v>105.51603612666266</v>
      </c>
      <c r="T334">
        <f t="shared" si="75"/>
        <v>105.51603612666266</v>
      </c>
      <c r="U334" s="3">
        <f t="shared" si="76"/>
        <v>136.01046916641999</v>
      </c>
      <c r="V334">
        <f t="shared" si="68"/>
        <v>230</v>
      </c>
      <c r="W334" s="8">
        <f t="shared" si="70"/>
        <v>50.63701981202199</v>
      </c>
      <c r="X334" s="1">
        <f t="shared" si="77"/>
        <v>50.63701981202199</v>
      </c>
      <c r="Y334" s="18"/>
      <c r="Z334" s="7"/>
      <c r="AA334" s="1"/>
      <c r="AB334" s="1"/>
      <c r="AC334" s="1"/>
    </row>
    <row r="335" spans="1:29" x14ac:dyDescent="0.3">
      <c r="A335">
        <v>334</v>
      </c>
      <c r="E335">
        <v>-361.6000903872</v>
      </c>
      <c r="F335">
        <v>80.354891117296006</v>
      </c>
      <c r="G335">
        <v>438.26996362340998</v>
      </c>
      <c r="H335">
        <v>49.057547691121997</v>
      </c>
      <c r="I335">
        <v>115.49936485932</v>
      </c>
      <c r="J335">
        <v>136.51080238916001</v>
      </c>
      <c r="L335" s="1">
        <f t="shared" si="78"/>
        <v>3.6256988979099987</v>
      </c>
      <c r="M335">
        <f t="shared" si="79"/>
        <v>1195.5212865464298</v>
      </c>
      <c r="N335">
        <f t="shared" si="71"/>
        <v>3.3208924626289718</v>
      </c>
      <c r="O335">
        <f t="shared" si="72"/>
        <v>49.057547691121997</v>
      </c>
      <c r="P335">
        <f t="shared" si="73"/>
        <v>283</v>
      </c>
      <c r="Q335">
        <f t="shared" si="67"/>
        <v>102.36189262782</v>
      </c>
      <c r="R335">
        <f t="shared" si="74"/>
        <v>102.36189262782</v>
      </c>
      <c r="S335">
        <f t="shared" si="69"/>
        <v>105.50123800241239</v>
      </c>
      <c r="T335">
        <f t="shared" si="75"/>
        <v>105.50123800241239</v>
      </c>
      <c r="U335" s="3">
        <f t="shared" si="76"/>
        <v>136.51080238916001</v>
      </c>
      <c r="V335">
        <f t="shared" si="68"/>
        <v>231</v>
      </c>
      <c r="W335" s="8">
        <f t="shared" si="70"/>
        <v>50.653943651853012</v>
      </c>
      <c r="X335" s="1">
        <f t="shared" si="77"/>
        <v>50.653943651853012</v>
      </c>
      <c r="Y335" s="18"/>
      <c r="Z335" s="7"/>
      <c r="AA335" s="1"/>
      <c r="AB335" s="1"/>
      <c r="AC335" s="1"/>
    </row>
    <row r="336" spans="1:29" x14ac:dyDescent="0.3">
      <c r="A336">
        <v>335</v>
      </c>
      <c r="E336">
        <v>-361.08786346530002</v>
      </c>
      <c r="F336">
        <v>77.427512545387998</v>
      </c>
      <c r="G336">
        <v>437.24826402163001</v>
      </c>
      <c r="H336">
        <v>49.128582811602001</v>
      </c>
      <c r="I336">
        <v>119.12473063482</v>
      </c>
      <c r="J336">
        <v>136.98472824688</v>
      </c>
      <c r="L336" s="1">
        <f t="shared" si="78"/>
        <v>3.6253657755000006</v>
      </c>
      <c r="M336">
        <f t="shared" si="79"/>
        <v>1199.1466523219299</v>
      </c>
      <c r="N336">
        <f t="shared" si="71"/>
        <v>3.3309629231164717</v>
      </c>
      <c r="O336">
        <f t="shared" si="72"/>
        <v>49.128582811602001</v>
      </c>
      <c r="P336">
        <f t="shared" si="73"/>
        <v>284</v>
      </c>
      <c r="Q336">
        <f t="shared" si="67"/>
        <v>102.366304120781</v>
      </c>
      <c r="R336">
        <f t="shared" si="74"/>
        <v>102.366304120781</v>
      </c>
      <c r="S336">
        <f t="shared" si="69"/>
        <v>105.49541857304183</v>
      </c>
      <c r="T336">
        <f t="shared" si="75"/>
        <v>105.49541857304183</v>
      </c>
      <c r="U336" s="3">
        <f t="shared" si="76"/>
        <v>136.98472824688</v>
      </c>
      <c r="V336">
        <f t="shared" si="68"/>
        <v>232</v>
      </c>
      <c r="W336" s="8">
        <f t="shared" si="70"/>
        <v>50.640857179181992</v>
      </c>
      <c r="X336" s="1">
        <f t="shared" si="77"/>
        <v>50.640857179181992</v>
      </c>
      <c r="Y336" s="18"/>
      <c r="Z336" s="7"/>
      <c r="AA336" s="1"/>
      <c r="AB336" s="1"/>
      <c r="AC336" s="1"/>
    </row>
    <row r="337" spans="1:29" x14ac:dyDescent="0.3">
      <c r="A337">
        <v>336</v>
      </c>
      <c r="E337">
        <v>-360.59063825319998</v>
      </c>
      <c r="F337">
        <v>74.575957616568004</v>
      </c>
      <c r="G337">
        <v>436.02471154892999</v>
      </c>
      <c r="H337">
        <v>49.179871455918999</v>
      </c>
      <c r="I337">
        <v>122.74524705757</v>
      </c>
      <c r="J337">
        <v>137.46295432726001</v>
      </c>
      <c r="L337" s="1">
        <f t="shared" si="78"/>
        <v>3.6205164227500006</v>
      </c>
      <c r="M337">
        <f t="shared" si="79"/>
        <v>1202.7671687446798</v>
      </c>
      <c r="N337">
        <f t="shared" si="71"/>
        <v>3.3410199131796663</v>
      </c>
      <c r="O337">
        <f t="shared" si="72"/>
        <v>49.179871455918999</v>
      </c>
      <c r="P337">
        <f t="shared" si="73"/>
        <v>285</v>
      </c>
      <c r="Q337">
        <f t="shared" si="67"/>
        <v>102.357736814226</v>
      </c>
      <c r="R337">
        <f t="shared" si="74"/>
        <v>102.357736814226</v>
      </c>
      <c r="S337">
        <f t="shared" si="69"/>
        <v>105.47758538767226</v>
      </c>
      <c r="T337">
        <f t="shared" si="75"/>
        <v>105.47758538767226</v>
      </c>
      <c r="U337" s="3">
        <f t="shared" si="76"/>
        <v>137.46295432726001</v>
      </c>
      <c r="V337">
        <f t="shared" si="68"/>
        <v>233</v>
      </c>
      <c r="W337" s="8">
        <f t="shared" si="70"/>
        <v>50.626645793224014</v>
      </c>
      <c r="X337" s="1">
        <f t="shared" si="77"/>
        <v>50.626645793224014</v>
      </c>
      <c r="Y337" s="18"/>
      <c r="Z337" s="7"/>
      <c r="AA337" s="1"/>
      <c r="AB337" s="1"/>
      <c r="AC337" s="1"/>
    </row>
    <row r="338" spans="1:29" x14ac:dyDescent="0.3">
      <c r="A338">
        <v>337</v>
      </c>
      <c r="E338">
        <v>-360.10360985120002</v>
      </c>
      <c r="F338">
        <v>71.802390628523</v>
      </c>
      <c r="G338">
        <v>434.62951218706002</v>
      </c>
      <c r="H338">
        <v>49.238524698017002</v>
      </c>
      <c r="I338">
        <v>126.36049100955999</v>
      </c>
      <c r="J338">
        <v>137.94793203475001</v>
      </c>
      <c r="L338" s="1">
        <f t="shared" si="78"/>
        <v>3.6152439519899957</v>
      </c>
      <c r="M338">
        <f t="shared" si="79"/>
        <v>1206.3824126966697</v>
      </c>
      <c r="N338">
        <f t="shared" si="71"/>
        <v>3.3510622574907489</v>
      </c>
      <c r="O338">
        <f t="shared" si="72"/>
        <v>49.238524698017002</v>
      </c>
      <c r="P338">
        <f t="shared" si="73"/>
        <v>287</v>
      </c>
      <c r="Q338">
        <f t="shared" ref="Q338:Q401" si="80">IF(P338=0,0,O338+INDEX(O:O,P338))</f>
        <v>102.27459285543401</v>
      </c>
      <c r="R338">
        <f t="shared" si="74"/>
        <v>102.27459285543401</v>
      </c>
      <c r="S338">
        <f t="shared" si="69"/>
        <v>105.32031611934168</v>
      </c>
      <c r="T338">
        <f t="shared" si="75"/>
        <v>105.32031611934168</v>
      </c>
      <c r="U338" s="3">
        <f t="shared" si="76"/>
        <v>137.94793203475001</v>
      </c>
      <c r="V338">
        <f t="shared" si="68"/>
        <v>234</v>
      </c>
      <c r="W338" s="8">
        <f t="shared" si="70"/>
        <v>50.63204055946801</v>
      </c>
      <c r="X338" s="1">
        <f t="shared" si="77"/>
        <v>50.63204055946801</v>
      </c>
      <c r="Y338" s="18"/>
      <c r="Z338" s="7"/>
      <c r="AA338" s="1"/>
      <c r="AB338" s="1"/>
      <c r="AC338" s="1"/>
    </row>
    <row r="339" spans="1:29" x14ac:dyDescent="0.3">
      <c r="A339">
        <v>338</v>
      </c>
      <c r="E339">
        <v>-359.61802360220003</v>
      </c>
      <c r="F339">
        <v>69.101987971162998</v>
      </c>
      <c r="G339">
        <v>433.09704477312999</v>
      </c>
      <c r="H339">
        <v>49.337686241337998</v>
      </c>
      <c r="I339">
        <v>129.96643804739</v>
      </c>
      <c r="J339">
        <v>138.44543007068</v>
      </c>
      <c r="L339" s="1">
        <f t="shared" si="78"/>
        <v>3.6059470378300063</v>
      </c>
      <c r="M339">
        <f t="shared" si="79"/>
        <v>1209.9883597344997</v>
      </c>
      <c r="N339">
        <f t="shared" si="71"/>
        <v>3.361078777040277</v>
      </c>
      <c r="O339">
        <f t="shared" si="72"/>
        <v>49.337686241337998</v>
      </c>
      <c r="P339">
        <f t="shared" si="73"/>
        <v>288</v>
      </c>
      <c r="Q339">
        <f t="shared" si="80"/>
        <v>102.27960142917499</v>
      </c>
      <c r="R339">
        <f t="shared" si="74"/>
        <v>102.27960142917499</v>
      </c>
      <c r="S339">
        <f t="shared" si="69"/>
        <v>105.32699812257061</v>
      </c>
      <c r="T339">
        <f t="shared" si="75"/>
        <v>105.32699812257061</v>
      </c>
      <c r="U339" s="3">
        <f t="shared" si="76"/>
        <v>138.44543007068</v>
      </c>
      <c r="V339">
        <f t="shared" si="68"/>
        <v>235</v>
      </c>
      <c r="W339" s="8">
        <f t="shared" si="70"/>
        <v>50.644042489127003</v>
      </c>
      <c r="X339" s="1">
        <f t="shared" si="77"/>
        <v>50.644042489127003</v>
      </c>
      <c r="Y339" s="18"/>
      <c r="Z339" s="7"/>
      <c r="AA339" s="1"/>
      <c r="AB339" s="1"/>
      <c r="AC339" s="1"/>
    </row>
    <row r="340" spans="1:29" x14ac:dyDescent="0.3">
      <c r="A340">
        <v>339</v>
      </c>
      <c r="E340">
        <v>-359.1573313138</v>
      </c>
      <c r="F340">
        <v>66.493762467389004</v>
      </c>
      <c r="G340">
        <v>431.40582251259002</v>
      </c>
      <c r="H340">
        <v>49.446942507350002</v>
      </c>
      <c r="I340">
        <v>133.56571367527999</v>
      </c>
      <c r="J340">
        <v>138.93458103418999</v>
      </c>
      <c r="L340" s="1">
        <f t="shared" si="78"/>
        <v>3.5992756278899947</v>
      </c>
      <c r="M340">
        <f t="shared" si="79"/>
        <v>1213.5876353623896</v>
      </c>
      <c r="N340">
        <f t="shared" si="71"/>
        <v>3.3710767648955269</v>
      </c>
      <c r="O340">
        <f t="shared" si="72"/>
        <v>49.446942507350002</v>
      </c>
      <c r="P340">
        <f t="shared" si="73"/>
        <v>289</v>
      </c>
      <c r="Q340">
        <f t="shared" si="80"/>
        <v>102.296139824938</v>
      </c>
      <c r="R340">
        <f t="shared" si="74"/>
        <v>102.296139824938</v>
      </c>
      <c r="S340">
        <f t="shared" si="69"/>
        <v>105.33744733965695</v>
      </c>
      <c r="T340">
        <f t="shared" si="75"/>
        <v>105.33744733965695</v>
      </c>
      <c r="U340" s="3">
        <f t="shared" si="76"/>
        <v>138.93458103418999</v>
      </c>
      <c r="V340">
        <f t="shared" si="68"/>
        <v>236</v>
      </c>
      <c r="W340" s="8">
        <f t="shared" si="70"/>
        <v>50.63870091654799</v>
      </c>
      <c r="X340" s="1">
        <f t="shared" si="77"/>
        <v>50.63870091654799</v>
      </c>
      <c r="Y340" s="18"/>
      <c r="Z340" s="7"/>
      <c r="AA340" s="1"/>
      <c r="AB340" s="1"/>
      <c r="AC340" s="1"/>
    </row>
    <row r="341" spans="1:29" x14ac:dyDescent="0.3">
      <c r="A341">
        <v>340</v>
      </c>
      <c r="E341">
        <v>-358.71782570210001</v>
      </c>
      <c r="F341">
        <v>64.005880513147005</v>
      </c>
      <c r="G341">
        <v>429.53671512045997</v>
      </c>
      <c r="H341">
        <v>49.535227544110001</v>
      </c>
      <c r="I341">
        <v>137.15911961821001</v>
      </c>
      <c r="J341">
        <v>139.42174750724001</v>
      </c>
      <c r="L341" s="1">
        <f t="shared" si="78"/>
        <v>3.5934059429300191</v>
      </c>
      <c r="M341">
        <f t="shared" si="79"/>
        <v>1217.1810413053197</v>
      </c>
      <c r="N341">
        <f t="shared" si="71"/>
        <v>3.3810584480703323</v>
      </c>
      <c r="O341">
        <f t="shared" si="72"/>
        <v>49.535227544110001</v>
      </c>
      <c r="P341">
        <f t="shared" si="73"/>
        <v>290</v>
      </c>
      <c r="Q341">
        <f t="shared" si="80"/>
        <v>102.284659005706</v>
      </c>
      <c r="R341">
        <f t="shared" si="74"/>
        <v>102.284659005706</v>
      </c>
      <c r="S341">
        <f t="shared" si="69"/>
        <v>105.32339868198888</v>
      </c>
      <c r="T341">
        <f t="shared" si="75"/>
        <v>105.32339868198888</v>
      </c>
      <c r="U341" s="3">
        <f t="shared" si="76"/>
        <v>139.42174750724001</v>
      </c>
      <c r="V341">
        <f t="shared" si="68"/>
        <v>237</v>
      </c>
      <c r="W341" s="8">
        <f t="shared" si="70"/>
        <v>50.642255378032019</v>
      </c>
      <c r="X341" s="1">
        <f t="shared" si="77"/>
        <v>50.642255378032019</v>
      </c>
      <c r="Y341" s="18"/>
      <c r="Z341" s="7"/>
      <c r="AA341" s="1"/>
      <c r="AB341" s="1"/>
      <c r="AC341" s="1"/>
    </row>
    <row r="342" spans="1:29" x14ac:dyDescent="0.3">
      <c r="A342">
        <v>341</v>
      </c>
      <c r="E342">
        <v>-358.30225524349999</v>
      </c>
      <c r="F342">
        <v>61.613282073298997</v>
      </c>
      <c r="G342">
        <v>427.54195779508001</v>
      </c>
      <c r="H342">
        <v>49.658927108351001</v>
      </c>
      <c r="I342">
        <v>140.74522843045</v>
      </c>
      <c r="J342">
        <v>139.89899336803001</v>
      </c>
      <c r="L342" s="1">
        <f t="shared" si="78"/>
        <v>3.5861088122399849</v>
      </c>
      <c r="M342">
        <f t="shared" si="79"/>
        <v>1220.7671501175596</v>
      </c>
      <c r="N342">
        <f t="shared" si="71"/>
        <v>3.3910198614376657</v>
      </c>
      <c r="O342">
        <f t="shared" si="72"/>
        <v>49.658927108351001</v>
      </c>
      <c r="P342">
        <f t="shared" si="73"/>
        <v>291</v>
      </c>
      <c r="Q342">
        <f t="shared" si="80"/>
        <v>102.31882914320801</v>
      </c>
      <c r="R342">
        <f t="shared" si="74"/>
        <v>102.31882914320801</v>
      </c>
      <c r="S342">
        <f t="shared" si="69"/>
        <v>105.35264166084184</v>
      </c>
      <c r="T342">
        <f t="shared" si="75"/>
        <v>105.35264166084184</v>
      </c>
      <c r="U342" s="3">
        <f t="shared" si="76"/>
        <v>139.89899336803001</v>
      </c>
      <c r="V342">
        <f t="shared" si="68"/>
        <v>238</v>
      </c>
      <c r="W342" s="8">
        <f t="shared" si="70"/>
        <v>50.634893489573003</v>
      </c>
      <c r="X342" s="1">
        <f t="shared" si="77"/>
        <v>50.634893489573003</v>
      </c>
      <c r="Y342" s="18"/>
      <c r="Z342" s="7"/>
      <c r="AA342" s="1"/>
      <c r="AB342" s="1"/>
      <c r="AC342" s="1"/>
    </row>
    <row r="343" spans="1:29" x14ac:dyDescent="0.3">
      <c r="A343">
        <v>342</v>
      </c>
      <c r="E343">
        <v>-357.90689617269999</v>
      </c>
      <c r="F343">
        <v>59.335140464886003</v>
      </c>
      <c r="G343">
        <v>425.41361319344998</v>
      </c>
      <c r="H343">
        <v>49.799797859766997</v>
      </c>
      <c r="I343">
        <v>144.32176268092999</v>
      </c>
      <c r="J343">
        <v>140.37143741004999</v>
      </c>
      <c r="L343" s="1">
        <f t="shared" si="78"/>
        <v>3.5765342504799946</v>
      </c>
      <c r="M343">
        <f t="shared" si="79"/>
        <v>1224.3436843680397</v>
      </c>
      <c r="N343">
        <f t="shared" si="71"/>
        <v>3.4009546788001104</v>
      </c>
      <c r="O343">
        <f t="shared" si="72"/>
        <v>49.799797859766997</v>
      </c>
      <c r="P343">
        <f t="shared" si="73"/>
        <v>292</v>
      </c>
      <c r="Q343">
        <f t="shared" si="80"/>
        <v>102.35364070080499</v>
      </c>
      <c r="R343">
        <f t="shared" si="74"/>
        <v>102.35364070080499</v>
      </c>
      <c r="S343">
        <f t="shared" si="69"/>
        <v>105.38237517947827</v>
      </c>
      <c r="T343">
        <f t="shared" si="75"/>
        <v>105.38237517947827</v>
      </c>
      <c r="U343" s="3">
        <f t="shared" si="76"/>
        <v>140.37143741004999</v>
      </c>
      <c r="V343">
        <f t="shared" si="68"/>
        <v>239</v>
      </c>
      <c r="W343" s="8">
        <f t="shared" si="70"/>
        <v>50.633781170157988</v>
      </c>
      <c r="X343" s="1">
        <f t="shared" si="77"/>
        <v>50.633781170157988</v>
      </c>
      <c r="Y343" s="18"/>
      <c r="Z343" s="7"/>
      <c r="AA343" s="1"/>
      <c r="AB343" s="1"/>
      <c r="AC343" s="1"/>
    </row>
    <row r="344" spans="1:29" x14ac:dyDescent="0.3">
      <c r="A344">
        <v>343</v>
      </c>
      <c r="E344">
        <v>-357.52317317239999</v>
      </c>
      <c r="F344">
        <v>57.214747055338997</v>
      </c>
      <c r="G344">
        <v>423.12626541428</v>
      </c>
      <c r="H344">
        <v>49.910081457314</v>
      </c>
      <c r="I344">
        <v>147.88922817958999</v>
      </c>
      <c r="J344">
        <v>140.85140487298</v>
      </c>
      <c r="L344" s="1">
        <f t="shared" si="78"/>
        <v>3.567465498659999</v>
      </c>
      <c r="M344">
        <f t="shared" si="79"/>
        <v>1227.9111498666998</v>
      </c>
      <c r="N344">
        <f t="shared" si="71"/>
        <v>3.4108643051852772</v>
      </c>
      <c r="O344">
        <f t="shared" si="72"/>
        <v>49.910081457314</v>
      </c>
      <c r="P344">
        <f t="shared" si="73"/>
        <v>293</v>
      </c>
      <c r="Q344">
        <f t="shared" si="80"/>
        <v>102.341424085163</v>
      </c>
      <c r="R344">
        <f t="shared" si="74"/>
        <v>102.341424085163</v>
      </c>
      <c r="S344">
        <f t="shared" si="69"/>
        <v>105.36538874188722</v>
      </c>
      <c r="T344">
        <f t="shared" si="75"/>
        <v>105.36538874188722</v>
      </c>
      <c r="U344" s="3">
        <f t="shared" si="76"/>
        <v>140.85140487298</v>
      </c>
      <c r="V344">
        <f t="shared" si="68"/>
        <v>240</v>
      </c>
      <c r="W344" s="8">
        <f t="shared" si="70"/>
        <v>50.638804383056993</v>
      </c>
      <c r="X344" s="1">
        <f t="shared" si="77"/>
        <v>50.638804383056993</v>
      </c>
      <c r="Y344" s="18"/>
      <c r="Z344" s="7"/>
      <c r="AA344" s="1"/>
      <c r="AB344" s="1"/>
      <c r="AC344" s="1"/>
    </row>
    <row r="345" spans="1:29" x14ac:dyDescent="0.3">
      <c r="A345">
        <v>344</v>
      </c>
      <c r="E345">
        <v>-357.1584895414</v>
      </c>
      <c r="F345">
        <v>55.220031261141003</v>
      </c>
      <c r="G345">
        <v>420.72534599865003</v>
      </c>
      <c r="H345">
        <v>50.043145471936</v>
      </c>
      <c r="I345">
        <v>151.44801678172001</v>
      </c>
      <c r="J345">
        <v>141.32658609053999</v>
      </c>
      <c r="L345" s="1">
        <f t="shared" si="78"/>
        <v>3.5587886021300221</v>
      </c>
      <c r="M345">
        <f t="shared" si="79"/>
        <v>1231.4699384688299</v>
      </c>
      <c r="N345">
        <f t="shared" si="71"/>
        <v>3.4207498290800831</v>
      </c>
      <c r="O345">
        <f t="shared" si="72"/>
        <v>50.043145471936</v>
      </c>
      <c r="P345">
        <f t="shared" si="73"/>
        <v>294</v>
      </c>
      <c r="Q345">
        <f t="shared" si="80"/>
        <v>102.34211748436999</v>
      </c>
      <c r="R345">
        <f t="shared" si="74"/>
        <v>102.34211748436999</v>
      </c>
      <c r="S345">
        <f t="shared" si="69"/>
        <v>105.36011945585192</v>
      </c>
      <c r="T345">
        <f t="shared" si="75"/>
        <v>105.36011945585192</v>
      </c>
      <c r="U345" s="3">
        <f t="shared" si="76"/>
        <v>141.32658609053999</v>
      </c>
      <c r="V345">
        <f t="shared" si="68"/>
        <v>241</v>
      </c>
      <c r="W345" s="8">
        <f t="shared" si="70"/>
        <v>50.637833604087987</v>
      </c>
      <c r="X345" s="1">
        <f t="shared" si="77"/>
        <v>50.637833604087987</v>
      </c>
      <c r="Y345" s="18"/>
      <c r="Z345" s="7"/>
      <c r="AA345" s="1"/>
      <c r="AB345" s="1"/>
      <c r="AC345" s="1"/>
    </row>
    <row r="346" spans="1:29" x14ac:dyDescent="0.3">
      <c r="A346">
        <v>345</v>
      </c>
      <c r="E346">
        <v>-356.80970659899998</v>
      </c>
      <c r="F346">
        <v>53.391723654015998</v>
      </c>
      <c r="G346">
        <v>418.19316441665001</v>
      </c>
      <c r="H346">
        <v>50.156355871385998</v>
      </c>
      <c r="I346">
        <v>154.99871052563</v>
      </c>
      <c r="J346">
        <v>141.80316896132999</v>
      </c>
      <c r="L346" s="1">
        <f t="shared" si="78"/>
        <v>3.5506937439099886</v>
      </c>
      <c r="M346">
        <f t="shared" si="79"/>
        <v>1235.0206322127399</v>
      </c>
      <c r="N346">
        <f t="shared" si="71"/>
        <v>3.4306128672576106</v>
      </c>
      <c r="O346">
        <f t="shared" si="72"/>
        <v>50.156355871385998</v>
      </c>
      <c r="P346">
        <f t="shared" si="73"/>
        <v>295</v>
      </c>
      <c r="Q346">
        <f t="shared" si="80"/>
        <v>102.32763022428099</v>
      </c>
      <c r="R346">
        <f t="shared" si="74"/>
        <v>102.32763022428099</v>
      </c>
      <c r="S346">
        <f t="shared" si="69"/>
        <v>105.33782539631719</v>
      </c>
      <c r="T346">
        <f t="shared" si="75"/>
        <v>105.33782539631719</v>
      </c>
      <c r="U346" s="3">
        <f t="shared" si="76"/>
        <v>141.80316896132999</v>
      </c>
      <c r="V346">
        <f t="shared" si="68"/>
        <v>242</v>
      </c>
      <c r="W346" s="8">
        <f t="shared" si="70"/>
        <v>50.622375130902981</v>
      </c>
      <c r="X346" s="1">
        <f t="shared" si="77"/>
        <v>50.622375130902981</v>
      </c>
      <c r="Y346" s="18"/>
      <c r="Z346" s="7"/>
      <c r="AA346" s="1"/>
      <c r="AB346" s="1"/>
      <c r="AC346" s="1"/>
    </row>
    <row r="347" spans="1:29" x14ac:dyDescent="0.3">
      <c r="A347">
        <v>346</v>
      </c>
      <c r="E347">
        <v>-356.47570403660001</v>
      </c>
      <c r="F347">
        <v>51.685228680841</v>
      </c>
      <c r="G347">
        <v>415.57550934116</v>
      </c>
      <c r="H347">
        <v>50.312246267497997</v>
      </c>
      <c r="I347">
        <v>158.53820513471001</v>
      </c>
      <c r="J347">
        <v>142.27679893844001</v>
      </c>
      <c r="L347" s="1">
        <f t="shared" si="78"/>
        <v>3.539494609080009</v>
      </c>
      <c r="M347">
        <f t="shared" si="79"/>
        <v>1238.5601268218199</v>
      </c>
      <c r="N347">
        <f t="shared" si="71"/>
        <v>3.4404447967272778</v>
      </c>
      <c r="O347">
        <f t="shared" si="72"/>
        <v>50.312246267497997</v>
      </c>
      <c r="P347">
        <f t="shared" si="73"/>
        <v>296</v>
      </c>
      <c r="Q347">
        <f t="shared" si="80"/>
        <v>102.35827274394799</v>
      </c>
      <c r="R347">
        <f t="shared" si="74"/>
        <v>102.35827274394799</v>
      </c>
      <c r="S347">
        <f t="shared" si="69"/>
        <v>105.36164701837748</v>
      </c>
      <c r="T347">
        <f t="shared" si="75"/>
        <v>105.36164701837748</v>
      </c>
      <c r="U347" s="3">
        <f t="shared" si="76"/>
        <v>142.27679893844001</v>
      </c>
      <c r="V347">
        <f t="shared" si="68"/>
        <v>243</v>
      </c>
      <c r="W347" s="8">
        <f t="shared" si="70"/>
        <v>50.641080572659007</v>
      </c>
      <c r="X347" s="1">
        <f t="shared" si="77"/>
        <v>50.641080572659007</v>
      </c>
      <c r="Y347" s="18"/>
      <c r="Z347" s="7"/>
      <c r="AA347" s="1"/>
      <c r="AB347" s="1"/>
      <c r="AC347" s="1"/>
    </row>
    <row r="348" spans="1:29" x14ac:dyDescent="0.3">
      <c r="A348">
        <v>347</v>
      </c>
      <c r="E348">
        <v>-356.16474115900002</v>
      </c>
      <c r="F348">
        <v>50.150455315755003</v>
      </c>
      <c r="G348">
        <v>412.85076245638999</v>
      </c>
      <c r="H348">
        <v>50.456347128002001</v>
      </c>
      <c r="I348">
        <v>162.06921012659001</v>
      </c>
      <c r="J348">
        <v>142.74299720798999</v>
      </c>
      <c r="L348" s="1">
        <f t="shared" si="78"/>
        <v>3.5310049918799962</v>
      </c>
      <c r="M348">
        <f t="shared" si="79"/>
        <v>1242.0911318137</v>
      </c>
      <c r="N348">
        <f t="shared" si="71"/>
        <v>3.4502531439269446</v>
      </c>
      <c r="O348">
        <f t="shared" si="72"/>
        <v>50.456347128002001</v>
      </c>
      <c r="P348">
        <f t="shared" si="73"/>
        <v>297</v>
      </c>
      <c r="Q348">
        <f t="shared" si="80"/>
        <v>102.381917194628</v>
      </c>
      <c r="R348">
        <f t="shared" si="74"/>
        <v>102.381917194628</v>
      </c>
      <c r="S348">
        <f t="shared" si="69"/>
        <v>105.37879713812482</v>
      </c>
      <c r="T348">
        <f t="shared" si="75"/>
        <v>105.37879713812482</v>
      </c>
      <c r="U348" s="3">
        <f t="shared" si="76"/>
        <v>142.74299720798999</v>
      </c>
      <c r="V348">
        <f t="shared" si="68"/>
        <v>244</v>
      </c>
      <c r="W348" s="8">
        <f t="shared" si="70"/>
        <v>50.654860095486981</v>
      </c>
      <c r="X348" s="1">
        <f t="shared" si="77"/>
        <v>50.654860095486981</v>
      </c>
      <c r="Y348" s="18"/>
      <c r="Z348" s="7"/>
      <c r="AA348" s="1"/>
      <c r="AB348" s="1"/>
      <c r="AC348" s="1"/>
    </row>
    <row r="349" spans="1:29" x14ac:dyDescent="0.3">
      <c r="A349">
        <v>348</v>
      </c>
      <c r="E349">
        <v>-355.85989098819999</v>
      </c>
      <c r="F349">
        <v>48.783833029476</v>
      </c>
      <c r="G349">
        <v>410.03733877175</v>
      </c>
      <c r="H349">
        <v>50.601503436500998</v>
      </c>
      <c r="I349">
        <v>165.58861124896001</v>
      </c>
      <c r="J349">
        <v>143.21700211377001</v>
      </c>
      <c r="L349" s="1">
        <f t="shared" si="78"/>
        <v>3.5194011223699988</v>
      </c>
      <c r="M349">
        <f t="shared" si="79"/>
        <v>1245.6105329360701</v>
      </c>
      <c r="N349">
        <f t="shared" si="71"/>
        <v>3.4600292581557501</v>
      </c>
      <c r="O349">
        <f t="shared" si="72"/>
        <v>50.601503436500998</v>
      </c>
      <c r="P349">
        <f t="shared" si="73"/>
        <v>298</v>
      </c>
      <c r="Q349">
        <f t="shared" si="80"/>
        <v>102.384355466588</v>
      </c>
      <c r="R349">
        <f t="shared" si="74"/>
        <v>102.384355466588</v>
      </c>
      <c r="S349">
        <f t="shared" si="69"/>
        <v>105.37689421816182</v>
      </c>
      <c r="T349">
        <f t="shared" si="75"/>
        <v>105.37689421816182</v>
      </c>
      <c r="U349" s="3">
        <f t="shared" si="76"/>
        <v>143.21700211377001</v>
      </c>
      <c r="V349">
        <f t="shared" si="68"/>
        <v>245</v>
      </c>
      <c r="W349" s="8">
        <f t="shared" si="70"/>
        <v>50.647625027556003</v>
      </c>
      <c r="X349" s="1">
        <f t="shared" si="77"/>
        <v>50.647625027556003</v>
      </c>
      <c r="Y349" s="18"/>
      <c r="Z349" s="7"/>
      <c r="AA349" s="1"/>
      <c r="AB349" s="1"/>
      <c r="AC349" s="1"/>
    </row>
    <row r="350" spans="1:29" x14ac:dyDescent="0.3">
      <c r="A350">
        <v>349</v>
      </c>
      <c r="E350">
        <v>-355.58748796269998</v>
      </c>
      <c r="F350">
        <v>47.598868843738998</v>
      </c>
      <c r="G350">
        <v>407.13923145540002</v>
      </c>
      <c r="H350">
        <v>50.735324895578998</v>
      </c>
      <c r="I350">
        <v>169.10223830468999</v>
      </c>
      <c r="J350">
        <v>143.67281047532001</v>
      </c>
      <c r="L350" s="1">
        <f t="shared" si="78"/>
        <v>3.5136270557299838</v>
      </c>
      <c r="M350">
        <f t="shared" si="79"/>
        <v>1249.1241599918001</v>
      </c>
      <c r="N350">
        <f t="shared" si="71"/>
        <v>3.4697893333105556</v>
      </c>
      <c r="O350">
        <f t="shared" si="72"/>
        <v>50.735324895578998</v>
      </c>
      <c r="P350">
        <f t="shared" si="73"/>
        <v>299</v>
      </c>
      <c r="Q350">
        <f t="shared" si="80"/>
        <v>102.365800003449</v>
      </c>
      <c r="R350">
        <f t="shared" si="74"/>
        <v>102.365800003449</v>
      </c>
      <c r="S350">
        <f t="shared" si="69"/>
        <v>105.34507263346531</v>
      </c>
      <c r="T350">
        <f t="shared" si="75"/>
        <v>105.34507263346531</v>
      </c>
      <c r="U350" s="3">
        <f t="shared" si="76"/>
        <v>143.67281047532001</v>
      </c>
      <c r="V350">
        <f t="shared" si="68"/>
        <v>246</v>
      </c>
      <c r="W350" s="8">
        <f t="shared" si="70"/>
        <v>50.633918251173</v>
      </c>
      <c r="X350" s="1">
        <f t="shared" si="77"/>
        <v>50.633918251173</v>
      </c>
      <c r="Y350" s="18"/>
      <c r="Z350" s="7"/>
      <c r="AA350" s="1"/>
      <c r="AB350" s="1"/>
      <c r="AC350" s="1"/>
    </row>
    <row r="351" spans="1:29" x14ac:dyDescent="0.3">
      <c r="A351">
        <v>350</v>
      </c>
      <c r="E351">
        <v>-355.31113810289997</v>
      </c>
      <c r="F351">
        <v>46.584222201768</v>
      </c>
      <c r="G351">
        <v>404.17789505352999</v>
      </c>
      <c r="H351">
        <v>50.878249466890999</v>
      </c>
      <c r="I351">
        <v>172.60280153574999</v>
      </c>
      <c r="J351">
        <v>144.14449184452999</v>
      </c>
      <c r="L351" s="1">
        <f t="shared" si="78"/>
        <v>3.5005632310599992</v>
      </c>
      <c r="M351">
        <f t="shared" si="79"/>
        <v>1252.62472322286</v>
      </c>
      <c r="N351">
        <f t="shared" si="71"/>
        <v>3.4795131200634999</v>
      </c>
      <c r="O351">
        <f t="shared" si="72"/>
        <v>50.878249466890999</v>
      </c>
      <c r="P351">
        <f t="shared" si="73"/>
        <v>300</v>
      </c>
      <c r="Q351">
        <f t="shared" si="80"/>
        <v>102.376855082099</v>
      </c>
      <c r="R351">
        <f t="shared" si="74"/>
        <v>102.376855082099</v>
      </c>
      <c r="S351">
        <f t="shared" si="69"/>
        <v>105.35035134849828</v>
      </c>
      <c r="T351">
        <f t="shared" si="75"/>
        <v>105.35035134849828</v>
      </c>
      <c r="U351" s="3">
        <f t="shared" si="76"/>
        <v>144.14449184452999</v>
      </c>
      <c r="V351">
        <f t="shared" si="68"/>
        <v>247</v>
      </c>
      <c r="W351" s="8">
        <f t="shared" si="70"/>
        <v>50.661104077801994</v>
      </c>
      <c r="X351" s="1">
        <f t="shared" si="77"/>
        <v>50.661104077801994</v>
      </c>
      <c r="Y351" s="18"/>
      <c r="Z351" s="7"/>
      <c r="AA351" s="1"/>
      <c r="AB351" s="1"/>
      <c r="AC351" s="1"/>
    </row>
    <row r="352" spans="1:29" x14ac:dyDescent="0.3">
      <c r="A352">
        <v>351</v>
      </c>
      <c r="E352">
        <v>-355.03580388479998</v>
      </c>
      <c r="F352">
        <v>45.733283661408002</v>
      </c>
      <c r="G352">
        <v>401.16497316550999</v>
      </c>
      <c r="H352">
        <v>51.039158340028997</v>
      </c>
      <c r="I352">
        <v>176.09065613417999</v>
      </c>
      <c r="J352">
        <v>144.62590363667999</v>
      </c>
      <c r="L352" s="1">
        <f t="shared" si="78"/>
        <v>3.4878545984300047</v>
      </c>
      <c r="M352">
        <f t="shared" si="79"/>
        <v>1256.11257782129</v>
      </c>
      <c r="N352">
        <f t="shared" si="71"/>
        <v>3.4892016050591388</v>
      </c>
      <c r="O352">
        <f t="shared" si="72"/>
        <v>51.039158340028997</v>
      </c>
      <c r="P352">
        <f t="shared" si="73"/>
        <v>301</v>
      </c>
      <c r="Q352">
        <f t="shared" si="80"/>
        <v>102.383786479652</v>
      </c>
      <c r="R352">
        <f t="shared" si="74"/>
        <v>102.383786479652</v>
      </c>
      <c r="S352">
        <f t="shared" si="69"/>
        <v>105.35594786677595</v>
      </c>
      <c r="T352">
        <f t="shared" si="75"/>
        <v>105.35594786677595</v>
      </c>
      <c r="U352" s="3">
        <f t="shared" si="76"/>
        <v>144.62590363667999</v>
      </c>
      <c r="V352">
        <f t="shared" si="68"/>
        <v>248</v>
      </c>
      <c r="W352" s="8">
        <f t="shared" si="70"/>
        <v>50.665248517307987</v>
      </c>
      <c r="X352" s="1">
        <f t="shared" si="77"/>
        <v>50.665248517307987</v>
      </c>
      <c r="Y352" s="18"/>
      <c r="Z352" s="7"/>
      <c r="AA352" s="1"/>
      <c r="AB352" s="1"/>
      <c r="AC352" s="1"/>
    </row>
    <row r="353" spans="1:29" x14ac:dyDescent="0.3">
      <c r="A353">
        <v>352</v>
      </c>
      <c r="E353">
        <v>-354.8139029761</v>
      </c>
      <c r="F353">
        <v>45.118173494002001</v>
      </c>
      <c r="G353">
        <v>398.09169082796001</v>
      </c>
      <c r="H353">
        <v>51.143308742316997</v>
      </c>
      <c r="I353">
        <v>179.57777020980001</v>
      </c>
      <c r="J353">
        <v>145.06845366477</v>
      </c>
      <c r="L353" s="1">
        <f t="shared" si="78"/>
        <v>3.4871140756200134</v>
      </c>
      <c r="M353">
        <f t="shared" si="79"/>
        <v>1259.5996918969099</v>
      </c>
      <c r="N353">
        <f t="shared" si="71"/>
        <v>3.4988880330469718</v>
      </c>
      <c r="O353">
        <f t="shared" si="72"/>
        <v>51.143308742316997</v>
      </c>
      <c r="P353">
        <f t="shared" si="73"/>
        <v>302</v>
      </c>
      <c r="Q353">
        <f t="shared" si="80"/>
        <v>102.391422307399</v>
      </c>
      <c r="R353">
        <f t="shared" si="74"/>
        <v>102.391422307399</v>
      </c>
      <c r="S353">
        <f t="shared" si="69"/>
        <v>105.34883661967773</v>
      </c>
      <c r="T353">
        <f t="shared" si="75"/>
        <v>105.34883661967773</v>
      </c>
      <c r="U353" s="3">
        <f t="shared" si="76"/>
        <v>145.06845366477</v>
      </c>
      <c r="V353">
        <f t="shared" si="68"/>
        <v>249</v>
      </c>
      <c r="W353" s="8">
        <f t="shared" si="70"/>
        <v>50.619971924256006</v>
      </c>
      <c r="X353" s="1">
        <f t="shared" si="77"/>
        <v>50.619971924256006</v>
      </c>
      <c r="Y353" s="18"/>
      <c r="Z353" s="7"/>
      <c r="AA353" s="1"/>
      <c r="AB353" s="1"/>
      <c r="AC353" s="1"/>
    </row>
    <row r="354" spans="1:29" x14ac:dyDescent="0.3">
      <c r="A354">
        <v>353</v>
      </c>
      <c r="E354">
        <v>-354.5886454884</v>
      </c>
      <c r="F354">
        <v>44.716514094971998</v>
      </c>
      <c r="G354">
        <v>394.98317035203002</v>
      </c>
      <c r="H354">
        <v>51.220584204270999</v>
      </c>
      <c r="I354">
        <v>-176.9424014045</v>
      </c>
      <c r="J354">
        <v>145.525785641</v>
      </c>
      <c r="L354" s="1">
        <f t="shared" si="78"/>
        <v>-356.52017161430001</v>
      </c>
      <c r="M354">
        <f t="shared" si="79"/>
        <v>1263.0868059725299</v>
      </c>
      <c r="N354">
        <f t="shared" si="71"/>
        <v>3.5085744610348053</v>
      </c>
      <c r="O354">
        <f t="shared" si="72"/>
        <v>51.220584204270999</v>
      </c>
      <c r="P354">
        <f t="shared" si="73"/>
        <v>303</v>
      </c>
      <c r="Q354">
        <f t="shared" si="80"/>
        <v>102.383353122852</v>
      </c>
      <c r="R354">
        <f t="shared" si="74"/>
        <v>102.383353122852</v>
      </c>
      <c r="S354">
        <f t="shared" si="69"/>
        <v>105.34348644407612</v>
      </c>
      <c r="T354">
        <f t="shared" si="75"/>
        <v>105.34348644407612</v>
      </c>
      <c r="U354" s="3">
        <f t="shared" si="76"/>
        <v>145.525785641</v>
      </c>
      <c r="V354">
        <f t="shared" si="68"/>
        <v>250</v>
      </c>
      <c r="W354" s="8">
        <f t="shared" si="70"/>
        <v>50.606106054644997</v>
      </c>
      <c r="X354" s="1">
        <f t="shared" si="77"/>
        <v>50.606106054644997</v>
      </c>
      <c r="Y354" s="18"/>
      <c r="Z354" s="7"/>
      <c r="AA354" s="1"/>
      <c r="AB354" s="1"/>
      <c r="AC354" s="1"/>
    </row>
    <row r="355" spans="1:29" x14ac:dyDescent="0.3">
      <c r="A355">
        <v>354</v>
      </c>
      <c r="E355">
        <v>-354.32862857340001</v>
      </c>
      <c r="F355">
        <v>44.452780338548003</v>
      </c>
      <c r="G355">
        <v>391.86240248593998</v>
      </c>
      <c r="H355">
        <v>51.349287462699998</v>
      </c>
      <c r="I355">
        <v>-173.47830349610001</v>
      </c>
      <c r="J355">
        <v>146.02428473264001</v>
      </c>
      <c r="L355" s="1">
        <f t="shared" si="78"/>
        <v>3.4640979083999923</v>
      </c>
      <c r="M355">
        <f t="shared" si="79"/>
        <v>1266.5509038809298</v>
      </c>
      <c r="N355">
        <f t="shared" si="71"/>
        <v>3.5181969552248051</v>
      </c>
      <c r="O355">
        <f t="shared" si="72"/>
        <v>51.349287462699998</v>
      </c>
      <c r="P355">
        <f t="shared" si="73"/>
        <v>304</v>
      </c>
      <c r="Q355">
        <f t="shared" si="80"/>
        <v>102.42288425229501</v>
      </c>
      <c r="R355">
        <f t="shared" si="74"/>
        <v>102.42288425229501</v>
      </c>
      <c r="S355">
        <f t="shared" si="69"/>
        <v>105.39572190793416</v>
      </c>
      <c r="T355">
        <f t="shared" si="75"/>
        <v>105.39572190793416</v>
      </c>
      <c r="U355" s="3">
        <f t="shared" si="76"/>
        <v>146.02428473264001</v>
      </c>
      <c r="V355">
        <f t="shared" si="68"/>
        <v>251</v>
      </c>
      <c r="W355" s="8">
        <f t="shared" si="70"/>
        <v>50.589871479652018</v>
      </c>
      <c r="X355" s="1">
        <f t="shared" si="77"/>
        <v>50.589871479652018</v>
      </c>
      <c r="Y355" s="18"/>
      <c r="Z355" s="7"/>
      <c r="AA355" s="1"/>
      <c r="AB355" s="1"/>
      <c r="AC355" s="1"/>
    </row>
    <row r="356" spans="1:29" x14ac:dyDescent="0.3">
      <c r="A356">
        <v>355</v>
      </c>
      <c r="E356">
        <v>-354.08205157359998</v>
      </c>
      <c r="F356">
        <v>44.346576926944998</v>
      </c>
      <c r="G356">
        <v>388.7315791451</v>
      </c>
      <c r="H356">
        <v>51.507022521960998</v>
      </c>
      <c r="I356">
        <v>-170.02464034619999</v>
      </c>
      <c r="J356">
        <v>146.51656156958001</v>
      </c>
      <c r="L356" s="1">
        <f t="shared" si="78"/>
        <v>3.4536631499000237</v>
      </c>
      <c r="M356">
        <f t="shared" si="79"/>
        <v>1270.0045670308298</v>
      </c>
      <c r="N356">
        <f t="shared" si="71"/>
        <v>3.5277904639745272</v>
      </c>
      <c r="O356">
        <f t="shared" si="72"/>
        <v>51.507022521960998</v>
      </c>
      <c r="P356">
        <f t="shared" si="73"/>
        <v>305</v>
      </c>
      <c r="Q356">
        <f t="shared" si="80"/>
        <v>102.43541246311901</v>
      </c>
      <c r="R356">
        <f t="shared" si="74"/>
        <v>102.43541246311901</v>
      </c>
      <c r="S356">
        <f t="shared" si="69"/>
        <v>105.40081185105721</v>
      </c>
      <c r="T356">
        <f t="shared" si="75"/>
        <v>105.40081185105721</v>
      </c>
      <c r="U356" s="3">
        <f t="shared" si="76"/>
        <v>146.51656156958001</v>
      </c>
      <c r="V356">
        <f t="shared" si="68"/>
        <v>252</v>
      </c>
      <c r="W356" s="8">
        <f t="shared" si="70"/>
        <v>50.619755807672007</v>
      </c>
      <c r="X356" s="1">
        <f t="shared" si="77"/>
        <v>50.619755807672007</v>
      </c>
      <c r="Y356" s="18"/>
      <c r="Z356" s="7"/>
      <c r="AA356" s="1"/>
      <c r="AB356" s="1"/>
      <c r="AC356" s="1"/>
    </row>
    <row r="357" spans="1:29" x14ac:dyDescent="0.3">
      <c r="A357">
        <v>356</v>
      </c>
      <c r="E357">
        <v>-353.86987015659997</v>
      </c>
      <c r="F357">
        <v>44.390950694350998</v>
      </c>
      <c r="G357">
        <v>385.59610658235999</v>
      </c>
      <c r="H357">
        <v>51.700049631747</v>
      </c>
      <c r="I357">
        <v>-166.57944428510001</v>
      </c>
      <c r="J357">
        <v>146.98103106075001</v>
      </c>
      <c r="L357" s="1">
        <f t="shared" si="78"/>
        <v>3.4451960610999777</v>
      </c>
      <c r="M357">
        <f t="shared" si="79"/>
        <v>1273.4497630919298</v>
      </c>
      <c r="N357">
        <f t="shared" si="71"/>
        <v>3.5373604530331382</v>
      </c>
      <c r="O357">
        <f t="shared" si="72"/>
        <v>51.700049631747</v>
      </c>
      <c r="P357">
        <f t="shared" si="73"/>
        <v>306</v>
      </c>
      <c r="Q357">
        <f t="shared" si="80"/>
        <v>102.467644892001</v>
      </c>
      <c r="R357">
        <f t="shared" si="74"/>
        <v>102.467644892001</v>
      </c>
      <c r="S357">
        <f t="shared" si="69"/>
        <v>105.41241728735849</v>
      </c>
      <c r="T357">
        <f t="shared" si="75"/>
        <v>105.41241728735849</v>
      </c>
      <c r="U357" s="3">
        <f t="shared" si="76"/>
        <v>146.98103106075001</v>
      </c>
      <c r="V357">
        <f t="shared" si="68"/>
        <v>253</v>
      </c>
      <c r="W357" s="8">
        <f t="shared" si="70"/>
        <v>50.65182346423201</v>
      </c>
      <c r="X357" s="1">
        <f t="shared" si="77"/>
        <v>50.65182346423201</v>
      </c>
      <c r="Y357" s="18"/>
      <c r="Z357" s="7"/>
      <c r="AA357" s="1"/>
      <c r="AB357" s="1"/>
      <c r="AC357" s="1"/>
    </row>
    <row r="358" spans="1:29" x14ac:dyDescent="0.3">
      <c r="A358">
        <v>357</v>
      </c>
      <c r="E358">
        <v>-353.64180584389999</v>
      </c>
      <c r="F358">
        <v>44.640889864652998</v>
      </c>
      <c r="G358">
        <v>382.47288658730997</v>
      </c>
      <c r="H358">
        <v>51.873897507758997</v>
      </c>
      <c r="I358">
        <v>-163.1507724789</v>
      </c>
      <c r="J358">
        <v>147.46863297263999</v>
      </c>
      <c r="L358" s="1">
        <f t="shared" si="78"/>
        <v>3.4286718062000148</v>
      </c>
      <c r="M358">
        <f t="shared" si="79"/>
        <v>1276.8784348981299</v>
      </c>
      <c r="N358">
        <f t="shared" si="71"/>
        <v>3.5468845413836942</v>
      </c>
      <c r="O358">
        <f t="shared" si="72"/>
        <v>51.873897507758997</v>
      </c>
      <c r="P358">
        <f t="shared" si="73"/>
        <v>307</v>
      </c>
      <c r="Q358">
        <f t="shared" si="80"/>
        <v>102.547420291677</v>
      </c>
      <c r="R358">
        <f t="shared" si="74"/>
        <v>102.547420291677</v>
      </c>
      <c r="S358">
        <f t="shared" si="69"/>
        <v>105.49941221083816</v>
      </c>
      <c r="T358">
        <f t="shared" si="75"/>
        <v>105.49941221083816</v>
      </c>
      <c r="U358" s="3">
        <f t="shared" si="76"/>
        <v>147.46863297263999</v>
      </c>
      <c r="V358">
        <f t="shared" si="68"/>
        <v>254</v>
      </c>
      <c r="W358" s="8">
        <f t="shared" si="70"/>
        <v>50.65351602814799</v>
      </c>
      <c r="X358" s="1">
        <f t="shared" si="77"/>
        <v>50.65351602814799</v>
      </c>
      <c r="Y358" s="18"/>
      <c r="Z358" s="7"/>
      <c r="AA358" s="1"/>
      <c r="AB358" s="1"/>
      <c r="AC358" s="1"/>
    </row>
    <row r="359" spans="1:29" x14ac:dyDescent="0.3">
      <c r="A359">
        <v>358</v>
      </c>
      <c r="E359">
        <v>-353.44612128770001</v>
      </c>
      <c r="F359">
        <v>45.129894334028997</v>
      </c>
      <c r="G359">
        <v>379.37471170418002</v>
      </c>
      <c r="H359">
        <v>51.992534230983999</v>
      </c>
      <c r="I359">
        <v>-159.72346054260001</v>
      </c>
      <c r="J359">
        <v>147.93162584480999</v>
      </c>
      <c r="L359" s="1">
        <f t="shared" si="78"/>
        <v>3.4273119362999864</v>
      </c>
      <c r="M359">
        <f t="shared" si="79"/>
        <v>1280.3057468344298</v>
      </c>
      <c r="N359">
        <f t="shared" si="71"/>
        <v>3.5564048523178604</v>
      </c>
      <c r="O359">
        <f t="shared" si="72"/>
        <v>51.992534230983999</v>
      </c>
      <c r="P359">
        <f t="shared" si="73"/>
        <v>308</v>
      </c>
      <c r="Q359">
        <f t="shared" si="80"/>
        <v>102.562713564088</v>
      </c>
      <c r="R359">
        <f t="shared" si="74"/>
        <v>102.562713564088</v>
      </c>
      <c r="S359">
        <f t="shared" si="69"/>
        <v>105.51017562505783</v>
      </c>
      <c r="T359">
        <f t="shared" si="75"/>
        <v>105.51017562505783</v>
      </c>
      <c r="U359" s="3">
        <f t="shared" si="76"/>
        <v>147.93162584480999</v>
      </c>
      <c r="V359">
        <f t="shared" si="68"/>
        <v>255</v>
      </c>
      <c r="W359" s="8">
        <f t="shared" si="70"/>
        <v>50.641557954445986</v>
      </c>
      <c r="X359" s="1">
        <f t="shared" si="77"/>
        <v>50.641557954445986</v>
      </c>
      <c r="Y359" s="18"/>
      <c r="Z359" s="7"/>
      <c r="AA359" s="1"/>
      <c r="AB359" s="1"/>
      <c r="AC359" s="1"/>
    </row>
    <row r="360" spans="1:29" x14ac:dyDescent="0.3">
      <c r="A360">
        <v>359</v>
      </c>
      <c r="E360">
        <v>-353.2399914614</v>
      </c>
      <c r="F360">
        <v>45.770657120834997</v>
      </c>
      <c r="G360">
        <v>376.30482164902003</v>
      </c>
      <c r="H360">
        <v>52.142536711323999</v>
      </c>
      <c r="I360">
        <v>-156.30865258669999</v>
      </c>
      <c r="J360">
        <v>148.40887878737999</v>
      </c>
      <c r="L360" s="1">
        <f t="shared" si="78"/>
        <v>3.4148079559000166</v>
      </c>
      <c r="M360">
        <f t="shared" si="79"/>
        <v>1283.7205547903297</v>
      </c>
      <c r="N360">
        <f t="shared" si="71"/>
        <v>3.565890429973138</v>
      </c>
      <c r="O360">
        <f t="shared" si="72"/>
        <v>52.142536711323999</v>
      </c>
      <c r="P360">
        <f t="shared" si="73"/>
        <v>309</v>
      </c>
      <c r="Q360">
        <f t="shared" si="80"/>
        <v>102.537524700142</v>
      </c>
      <c r="R360">
        <f t="shared" si="74"/>
        <v>102.537524700142</v>
      </c>
      <c r="S360">
        <f t="shared" si="69"/>
        <v>105.47014426478336</v>
      </c>
      <c r="T360">
        <f t="shared" si="75"/>
        <v>105.47014426478336</v>
      </c>
      <c r="U360" s="3">
        <f t="shared" si="76"/>
        <v>148.40887878737999</v>
      </c>
      <c r="V360">
        <f t="shared" si="68"/>
        <v>256</v>
      </c>
      <c r="W360" s="8">
        <f t="shared" si="70"/>
        <v>50.618001429189988</v>
      </c>
      <c r="X360" s="1">
        <f t="shared" si="77"/>
        <v>50.618001429189988</v>
      </c>
      <c r="Y360" s="18"/>
      <c r="Z360" s="7"/>
      <c r="AA360" s="1"/>
      <c r="AB360" s="1"/>
      <c r="AC360" s="1"/>
    </row>
    <row r="361" spans="1:29" x14ac:dyDescent="0.3">
      <c r="A361">
        <v>360</v>
      </c>
      <c r="E361">
        <v>-353.040545506</v>
      </c>
      <c r="F361">
        <v>46.578426235488003</v>
      </c>
      <c r="G361">
        <v>373.27445797864999</v>
      </c>
      <c r="H361">
        <v>52.305642840734997</v>
      </c>
      <c r="I361">
        <v>-152.9046294101</v>
      </c>
      <c r="J361">
        <v>148.88304596448</v>
      </c>
      <c r="L361" s="1">
        <f t="shared" si="78"/>
        <v>3.404023176599992</v>
      </c>
      <c r="M361">
        <f t="shared" si="79"/>
        <v>1287.1245779669298</v>
      </c>
      <c r="N361">
        <f t="shared" si="71"/>
        <v>3.5753460499081382</v>
      </c>
      <c r="O361">
        <f t="shared" si="72"/>
        <v>52.305642840734997</v>
      </c>
      <c r="P361">
        <f t="shared" si="73"/>
        <v>310</v>
      </c>
      <c r="Q361">
        <f t="shared" si="80"/>
        <v>102.545126089918</v>
      </c>
      <c r="R361">
        <f t="shared" si="74"/>
        <v>102.545126089918</v>
      </c>
      <c r="S361">
        <f t="shared" si="69"/>
        <v>105.47381935076014</v>
      </c>
      <c r="T361">
        <f t="shared" si="75"/>
        <v>105.47381935076014</v>
      </c>
      <c r="U361" s="3">
        <f t="shared" si="76"/>
        <v>148.88304596448</v>
      </c>
      <c r="V361">
        <f t="shared" si="68"/>
        <v>257</v>
      </c>
      <c r="W361" s="8">
        <f t="shared" si="70"/>
        <v>50.616274369196006</v>
      </c>
      <c r="X361" s="1">
        <f t="shared" si="77"/>
        <v>50.616274369196006</v>
      </c>
      <c r="Y361" s="18"/>
      <c r="Z361" s="7"/>
      <c r="AA361" s="1"/>
      <c r="AB361" s="1"/>
      <c r="AC361" s="1"/>
    </row>
    <row r="362" spans="1:29" x14ac:dyDescent="0.3">
      <c r="A362">
        <v>361</v>
      </c>
      <c r="E362">
        <v>-352.82980169389998</v>
      </c>
      <c r="F362">
        <v>47.604326966658</v>
      </c>
      <c r="G362">
        <v>370.31090252258002</v>
      </c>
      <c r="H362">
        <v>52.424995193202001</v>
      </c>
      <c r="I362">
        <v>-149.50937251689999</v>
      </c>
      <c r="J362">
        <v>149.37191272562001</v>
      </c>
      <c r="L362" s="1">
        <f t="shared" si="78"/>
        <v>3.3952568932000133</v>
      </c>
      <c r="M362">
        <f t="shared" si="79"/>
        <v>1290.5198348601298</v>
      </c>
      <c r="N362">
        <f t="shared" si="71"/>
        <v>3.5847773190559162</v>
      </c>
      <c r="O362">
        <f t="shared" si="72"/>
        <v>52.424995193202001</v>
      </c>
      <c r="P362">
        <f t="shared" si="73"/>
        <v>311</v>
      </c>
      <c r="Q362">
        <f t="shared" si="80"/>
        <v>102.51666598294301</v>
      </c>
      <c r="R362">
        <f t="shared" si="74"/>
        <v>102.51666598294301</v>
      </c>
      <c r="S362">
        <f t="shared" si="69"/>
        <v>105.44248574059915</v>
      </c>
      <c r="T362">
        <f t="shared" si="75"/>
        <v>105.44248574059915</v>
      </c>
      <c r="U362" s="3">
        <f t="shared" si="76"/>
        <v>149.37191272562001</v>
      </c>
      <c r="V362">
        <f t="shared" si="68"/>
        <v>258</v>
      </c>
      <c r="W362" s="8">
        <f t="shared" si="70"/>
        <v>50.633115807034002</v>
      </c>
      <c r="X362" s="1">
        <f t="shared" si="77"/>
        <v>50.633115807034002</v>
      </c>
      <c r="Y362" s="18"/>
      <c r="Z362" s="7"/>
      <c r="AA362" s="1"/>
      <c r="AB362" s="1"/>
      <c r="AC362" s="1"/>
    </row>
    <row r="363" spans="1:29" x14ac:dyDescent="0.3">
      <c r="A363">
        <v>362</v>
      </c>
      <c r="E363">
        <v>-352.62152347940003</v>
      </c>
      <c r="F363">
        <v>48.814323232816001</v>
      </c>
      <c r="G363">
        <v>367.41852556181999</v>
      </c>
      <c r="H363">
        <v>52.530653849254001</v>
      </c>
      <c r="I363">
        <v>-146.12182574229999</v>
      </c>
      <c r="J363">
        <v>149.86004725135001</v>
      </c>
      <c r="L363" s="1">
        <f t="shared" si="78"/>
        <v>3.387546774599997</v>
      </c>
      <c r="M363">
        <f t="shared" si="79"/>
        <v>1293.9073816347297</v>
      </c>
      <c r="N363">
        <f t="shared" si="71"/>
        <v>3.5941871712075826</v>
      </c>
      <c r="O363">
        <f t="shared" si="72"/>
        <v>52.530653849254001</v>
      </c>
      <c r="P363">
        <f t="shared" si="73"/>
        <v>312</v>
      </c>
      <c r="Q363">
        <f t="shared" si="80"/>
        <v>102.47299901994199</v>
      </c>
      <c r="R363">
        <f t="shared" si="74"/>
        <v>102.47299901994199</v>
      </c>
      <c r="S363">
        <f t="shared" si="69"/>
        <v>105.39781472058807</v>
      </c>
      <c r="T363">
        <f t="shared" si="75"/>
        <v>105.39781472058807</v>
      </c>
      <c r="U363" s="3">
        <f t="shared" si="76"/>
        <v>149.86004725135001</v>
      </c>
      <c r="V363">
        <f t="shared" si="68"/>
        <v>259</v>
      </c>
      <c r="W363" s="8">
        <f t="shared" si="70"/>
        <v>50.617679230601013</v>
      </c>
      <c r="X363" s="1">
        <f t="shared" si="77"/>
        <v>50.617679230601013</v>
      </c>
      <c r="Y363" s="18"/>
      <c r="Z363" s="7"/>
      <c r="AA363" s="1"/>
      <c r="AB363" s="1"/>
      <c r="AC363" s="1"/>
    </row>
    <row r="364" spans="1:29" x14ac:dyDescent="0.3">
      <c r="A364">
        <v>363</v>
      </c>
      <c r="E364">
        <v>-352.43793778870003</v>
      </c>
      <c r="F364">
        <v>50.173255321809997</v>
      </c>
      <c r="G364">
        <v>364.59057830882</v>
      </c>
      <c r="H364">
        <v>52.657646038701998</v>
      </c>
      <c r="I364">
        <v>-142.73790577139999</v>
      </c>
      <c r="J364">
        <v>150.32443441519001</v>
      </c>
      <c r="L364" s="1">
        <f t="shared" si="78"/>
        <v>3.3839199708999956</v>
      </c>
      <c r="M364">
        <f t="shared" si="79"/>
        <v>1297.2913016056298</v>
      </c>
      <c r="N364">
        <f t="shared" si="71"/>
        <v>3.6035869489045274</v>
      </c>
      <c r="O364">
        <f t="shared" si="72"/>
        <v>52.657646038701998</v>
      </c>
      <c r="P364">
        <f t="shared" si="73"/>
        <v>313</v>
      </c>
      <c r="Q364">
        <f t="shared" si="80"/>
        <v>102.463721333118</v>
      </c>
      <c r="R364">
        <f t="shared" si="74"/>
        <v>102.463721333118</v>
      </c>
      <c r="S364">
        <f t="shared" si="69"/>
        <v>105.38160965130724</v>
      </c>
      <c r="T364">
        <f t="shared" si="75"/>
        <v>105.38160965130724</v>
      </c>
      <c r="U364" s="3">
        <f t="shared" si="76"/>
        <v>150.32443441519001</v>
      </c>
      <c r="V364">
        <f t="shared" si="68"/>
        <v>260</v>
      </c>
      <c r="W364" s="8">
        <f t="shared" si="70"/>
        <v>50.59915139771401</v>
      </c>
      <c r="X364" s="1">
        <f t="shared" si="77"/>
        <v>50.59915139771401</v>
      </c>
      <c r="Y364" s="18"/>
      <c r="Z364" s="7"/>
      <c r="AA364" s="1"/>
      <c r="AB364" s="1"/>
      <c r="AC364" s="1"/>
    </row>
    <row r="365" spans="1:29" x14ac:dyDescent="0.3">
      <c r="A365">
        <v>364</v>
      </c>
      <c r="E365">
        <v>-352.23259493609999</v>
      </c>
      <c r="F365">
        <v>51.691828257746998</v>
      </c>
      <c r="G365">
        <v>361.84702946008002</v>
      </c>
      <c r="H365">
        <v>52.787012088487003</v>
      </c>
      <c r="I365">
        <v>-139.3662933622</v>
      </c>
      <c r="J365">
        <v>150.81016768283001</v>
      </c>
      <c r="L365" s="1">
        <f t="shared" si="78"/>
        <v>3.3716124091999973</v>
      </c>
      <c r="M365">
        <f t="shared" si="79"/>
        <v>1300.6629140148298</v>
      </c>
      <c r="N365">
        <f t="shared" si="71"/>
        <v>3.6129525389300827</v>
      </c>
      <c r="O365">
        <f t="shared" si="72"/>
        <v>52.787012088487003</v>
      </c>
      <c r="P365">
        <f t="shared" si="73"/>
        <v>314</v>
      </c>
      <c r="Q365">
        <f t="shared" si="80"/>
        <v>102.48752343193601</v>
      </c>
      <c r="R365">
        <f t="shared" si="74"/>
        <v>102.48752343193601</v>
      </c>
      <c r="S365">
        <f t="shared" si="69"/>
        <v>105.40570221802371</v>
      </c>
      <c r="T365">
        <f t="shared" si="75"/>
        <v>105.40570221802371</v>
      </c>
      <c r="U365" s="3">
        <f t="shared" si="76"/>
        <v>150.81016768283001</v>
      </c>
      <c r="V365">
        <f t="shared" si="68"/>
        <v>261</v>
      </c>
      <c r="W365" s="8">
        <f t="shared" si="70"/>
        <v>50.619450687690019</v>
      </c>
      <c r="X365" s="1">
        <f t="shared" si="77"/>
        <v>50.619450687690019</v>
      </c>
      <c r="Y365" s="18"/>
      <c r="Z365" s="7"/>
      <c r="AA365" s="1"/>
      <c r="AB365" s="1"/>
      <c r="AC365" s="1"/>
    </row>
    <row r="366" spans="1:29" x14ac:dyDescent="0.3">
      <c r="A366">
        <v>365</v>
      </c>
      <c r="E366">
        <v>-352.01500816020001</v>
      </c>
      <c r="F366">
        <v>53.394085966784999</v>
      </c>
      <c r="G366">
        <v>359.21458825286999</v>
      </c>
      <c r="H366">
        <v>52.883963392562002</v>
      </c>
      <c r="I366">
        <v>-136.0025507389</v>
      </c>
      <c r="J366">
        <v>151.30660139692</v>
      </c>
      <c r="L366" s="1">
        <f t="shared" si="78"/>
        <v>3.3637426232999985</v>
      </c>
      <c r="M366">
        <f t="shared" si="79"/>
        <v>1304.0266566381297</v>
      </c>
      <c r="N366">
        <f t="shared" si="71"/>
        <v>3.622296268439249</v>
      </c>
      <c r="O366">
        <f t="shared" si="72"/>
        <v>52.883963392562002</v>
      </c>
      <c r="P366">
        <f t="shared" si="73"/>
        <v>315</v>
      </c>
      <c r="Q366">
        <f t="shared" si="80"/>
        <v>102.495255123926</v>
      </c>
      <c r="R366">
        <f t="shared" si="74"/>
        <v>102.495255123926</v>
      </c>
      <c r="S366">
        <f t="shared" si="69"/>
        <v>105.4181952545685</v>
      </c>
      <c r="T366">
        <f t="shared" si="75"/>
        <v>105.4181952545685</v>
      </c>
      <c r="U366" s="3">
        <f t="shared" si="76"/>
        <v>151.30660139692</v>
      </c>
      <c r="V366">
        <f t="shared" si="68"/>
        <v>262</v>
      </c>
      <c r="W366" s="8">
        <f t="shared" si="70"/>
        <v>50.648477918460003</v>
      </c>
      <c r="X366" s="1">
        <f t="shared" si="77"/>
        <v>50.648477918460003</v>
      </c>
      <c r="Y366" s="18"/>
      <c r="Z366" s="7"/>
      <c r="AA366" s="1"/>
      <c r="AB366" s="1"/>
      <c r="AC366" s="1"/>
    </row>
    <row r="367" spans="1:29" x14ac:dyDescent="0.3">
      <c r="A367">
        <v>366</v>
      </c>
      <c r="E367">
        <v>-351.79017008390002</v>
      </c>
      <c r="F367">
        <v>55.248795666988997</v>
      </c>
      <c r="G367">
        <v>356.68753498082998</v>
      </c>
      <c r="H367">
        <v>52.977441421426001</v>
      </c>
      <c r="I367">
        <v>-132.64530210180001</v>
      </c>
      <c r="J367">
        <v>151.80796116302</v>
      </c>
      <c r="L367" s="1">
        <f t="shared" si="78"/>
        <v>3.3572486370999854</v>
      </c>
      <c r="M367">
        <f t="shared" si="79"/>
        <v>1307.3839052752296</v>
      </c>
      <c r="N367">
        <f t="shared" si="71"/>
        <v>3.6316219590978602</v>
      </c>
      <c r="O367">
        <f t="shared" si="72"/>
        <v>52.977441421426001</v>
      </c>
      <c r="P367">
        <f t="shared" si="73"/>
        <v>316</v>
      </c>
      <c r="Q367">
        <f t="shared" si="80"/>
        <v>102.528661561973</v>
      </c>
      <c r="R367">
        <f t="shared" si="74"/>
        <v>102.528661561973</v>
      </c>
      <c r="S367">
        <f t="shared" si="69"/>
        <v>105.45330692176289</v>
      </c>
      <c r="T367">
        <f t="shared" si="75"/>
        <v>105.45330692176289</v>
      </c>
      <c r="U367" s="3">
        <f t="shared" si="76"/>
        <v>151.80796116302</v>
      </c>
      <c r="V367">
        <f t="shared" si="68"/>
        <v>263</v>
      </c>
      <c r="W367" s="8">
        <f t="shared" si="70"/>
        <v>50.673982881749993</v>
      </c>
      <c r="X367" s="1">
        <f t="shared" si="77"/>
        <v>50.673982881749993</v>
      </c>
      <c r="Y367" s="18"/>
      <c r="Z367" s="7"/>
      <c r="AA367" s="1"/>
      <c r="AB367" s="1"/>
      <c r="AC367" s="1"/>
    </row>
    <row r="368" spans="1:29" x14ac:dyDescent="0.3">
      <c r="A368">
        <v>367</v>
      </c>
      <c r="E368">
        <v>-351.58096355250001</v>
      </c>
      <c r="F368">
        <v>57.240077301931997</v>
      </c>
      <c r="G368">
        <v>354.26546702514997</v>
      </c>
      <c r="H368">
        <v>53.080797135212997</v>
      </c>
      <c r="I368">
        <v>-129.2916511263</v>
      </c>
      <c r="J368">
        <v>152.29084789935999</v>
      </c>
      <c r="L368" s="1">
        <f t="shared" si="78"/>
        <v>3.3536509755000168</v>
      </c>
      <c r="M368">
        <f t="shared" si="79"/>
        <v>1310.7375562507295</v>
      </c>
      <c r="N368">
        <f t="shared" si="71"/>
        <v>3.6409376562520266</v>
      </c>
      <c r="O368">
        <f t="shared" si="72"/>
        <v>53.080797135212997</v>
      </c>
      <c r="P368">
        <f t="shared" si="73"/>
        <v>317</v>
      </c>
      <c r="Q368">
        <f t="shared" si="80"/>
        <v>102.547782695875</v>
      </c>
      <c r="R368">
        <f t="shared" si="74"/>
        <v>102.547782695875</v>
      </c>
      <c r="S368">
        <f t="shared" si="69"/>
        <v>105.46684209337552</v>
      </c>
      <c r="T368">
        <f t="shared" si="75"/>
        <v>105.46684209337552</v>
      </c>
      <c r="U368" s="3">
        <f t="shared" si="76"/>
        <v>152.29084789935999</v>
      </c>
      <c r="V368">
        <f t="shared" si="68"/>
        <v>264</v>
      </c>
      <c r="W368" s="8">
        <f t="shared" si="70"/>
        <v>50.669896097929993</v>
      </c>
      <c r="X368" s="1">
        <f t="shared" si="77"/>
        <v>50.669896097929993</v>
      </c>
      <c r="Y368" s="18"/>
      <c r="Z368" s="7"/>
      <c r="AA368" s="1"/>
      <c r="AB368" s="1"/>
      <c r="AC368" s="1"/>
    </row>
    <row r="369" spans="1:29" x14ac:dyDescent="0.3">
      <c r="A369">
        <v>368</v>
      </c>
      <c r="E369">
        <v>-351.3662106219</v>
      </c>
      <c r="F369">
        <v>59.370313642947004</v>
      </c>
      <c r="G369">
        <v>351.96493714670999</v>
      </c>
      <c r="H369">
        <v>53.181018995871</v>
      </c>
      <c r="I369">
        <v>-125.9443618244</v>
      </c>
      <c r="J369">
        <v>152.77512329935999</v>
      </c>
      <c r="L369" s="1">
        <f t="shared" si="78"/>
        <v>3.3472893018999912</v>
      </c>
      <c r="M369">
        <f t="shared" si="79"/>
        <v>1314.0848455526295</v>
      </c>
      <c r="N369">
        <f t="shared" si="71"/>
        <v>3.6502356820906376</v>
      </c>
      <c r="O369">
        <f t="shared" si="72"/>
        <v>53.181018995871</v>
      </c>
      <c r="P369">
        <f t="shared" si="73"/>
        <v>318</v>
      </c>
      <c r="Q369">
        <f t="shared" si="80"/>
        <v>102.55219019722699</v>
      </c>
      <c r="R369">
        <f t="shared" si="74"/>
        <v>102.55219019722699</v>
      </c>
      <c r="S369">
        <f t="shared" si="69"/>
        <v>105.46968305418707</v>
      </c>
      <c r="T369">
        <f t="shared" si="75"/>
        <v>105.46968305418707</v>
      </c>
      <c r="U369" s="3">
        <f t="shared" si="76"/>
        <v>152.77512329935999</v>
      </c>
      <c r="V369">
        <f t="shared" ref="V369:V432" si="81">IFERROR(MATCH(N369-1,N:N,1),0)</f>
        <v>265</v>
      </c>
      <c r="W369" s="8">
        <f t="shared" si="70"/>
        <v>50.663611471489986</v>
      </c>
      <c r="X369" s="1">
        <f t="shared" si="77"/>
        <v>50.663611471489986</v>
      </c>
      <c r="Y369" s="18"/>
      <c r="Z369" s="7"/>
      <c r="AA369" s="1"/>
      <c r="AB369" s="1"/>
      <c r="AC369" s="1"/>
    </row>
    <row r="370" spans="1:29" x14ac:dyDescent="0.3">
      <c r="A370">
        <v>369</v>
      </c>
      <c r="E370">
        <v>-351.14747781279999</v>
      </c>
      <c r="F370">
        <v>61.651568315150001</v>
      </c>
      <c r="G370">
        <v>349.81452531763</v>
      </c>
      <c r="H370">
        <v>53.249543933760002</v>
      </c>
      <c r="I370">
        <v>-122.60116173350001</v>
      </c>
      <c r="J370">
        <v>153.25742290731</v>
      </c>
      <c r="L370" s="1">
        <f t="shared" si="78"/>
        <v>3.3432000908999981</v>
      </c>
      <c r="M370">
        <f t="shared" si="79"/>
        <v>1317.4280456435295</v>
      </c>
      <c r="N370">
        <f t="shared" si="71"/>
        <v>3.6595223490098041</v>
      </c>
      <c r="O370">
        <f t="shared" si="72"/>
        <v>53.249543933760002</v>
      </c>
      <c r="P370">
        <f t="shared" si="73"/>
        <v>318</v>
      </c>
      <c r="Q370">
        <f t="shared" si="80"/>
        <v>102.620715135116</v>
      </c>
      <c r="R370">
        <f t="shared" si="74"/>
        <v>102.620715135116</v>
      </c>
      <c r="S370">
        <f t="shared" si="69"/>
        <v>105.60148078280261</v>
      </c>
      <c r="T370">
        <f t="shared" si="75"/>
        <v>105.60148078280261</v>
      </c>
      <c r="U370" s="3">
        <f t="shared" si="76"/>
        <v>153.25742290731</v>
      </c>
      <c r="V370">
        <f t="shared" si="81"/>
        <v>266</v>
      </c>
      <c r="W370" s="8">
        <f t="shared" si="70"/>
        <v>50.660923823209998</v>
      </c>
      <c r="X370" s="1">
        <f t="shared" si="77"/>
        <v>50.660923823209998</v>
      </c>
      <c r="Y370" s="18"/>
      <c r="Z370" s="7"/>
      <c r="AA370" s="1"/>
      <c r="AB370" s="1"/>
      <c r="AC370" s="1"/>
    </row>
    <row r="371" spans="1:29" x14ac:dyDescent="0.3">
      <c r="A371">
        <v>370</v>
      </c>
      <c r="E371">
        <v>-350.91178537450003</v>
      </c>
      <c r="F371">
        <v>64.052401168238006</v>
      </c>
      <c r="G371">
        <v>347.80044832694</v>
      </c>
      <c r="H371">
        <v>53.317181040055999</v>
      </c>
      <c r="I371">
        <v>-119.26406867199999</v>
      </c>
      <c r="J371">
        <v>153.75051021106</v>
      </c>
      <c r="L371" s="1">
        <f t="shared" si="78"/>
        <v>3.3370930615000134</v>
      </c>
      <c r="M371">
        <f t="shared" si="79"/>
        <v>1320.7651387050296</v>
      </c>
      <c r="N371">
        <f t="shared" si="71"/>
        <v>3.6687920519584156</v>
      </c>
      <c r="O371">
        <f t="shared" si="72"/>
        <v>53.317181040055999</v>
      </c>
      <c r="P371">
        <f t="shared" si="73"/>
        <v>319</v>
      </c>
      <c r="Q371">
        <f t="shared" si="80"/>
        <v>102.604458511202</v>
      </c>
      <c r="R371">
        <f t="shared" si="74"/>
        <v>102.604458511202</v>
      </c>
      <c r="S371">
        <f t="shared" si="69"/>
        <v>105.59448977688032</v>
      </c>
      <c r="T371">
        <f t="shared" si="75"/>
        <v>105.59448977688032</v>
      </c>
      <c r="U371" s="3">
        <f t="shared" si="76"/>
        <v>153.75051021106</v>
      </c>
      <c r="V371">
        <f t="shared" si="81"/>
        <v>267</v>
      </c>
      <c r="W371" s="8">
        <f t="shared" si="70"/>
        <v>50.671225305830006</v>
      </c>
      <c r="X371" s="1">
        <f t="shared" si="77"/>
        <v>50.671225305830006</v>
      </c>
      <c r="Y371" s="18"/>
      <c r="Z371" s="7"/>
      <c r="AA371" s="1"/>
      <c r="AB371" s="1"/>
      <c r="AC371" s="1"/>
    </row>
    <row r="372" spans="1:29" x14ac:dyDescent="0.3">
      <c r="A372">
        <v>371</v>
      </c>
      <c r="E372">
        <v>-350.67260311349997</v>
      </c>
      <c r="F372">
        <v>66.562739159105007</v>
      </c>
      <c r="G372">
        <v>345.9250760809</v>
      </c>
      <c r="H372">
        <v>53.388758914112998</v>
      </c>
      <c r="I372">
        <v>-115.9308819689</v>
      </c>
      <c r="J372">
        <v>154.24037327073</v>
      </c>
      <c r="L372" s="1">
        <f t="shared" si="78"/>
        <v>3.3331867030999973</v>
      </c>
      <c r="M372">
        <f t="shared" si="79"/>
        <v>1324.0983254081295</v>
      </c>
      <c r="N372">
        <f t="shared" si="71"/>
        <v>3.6780509039114708</v>
      </c>
      <c r="O372">
        <f t="shared" si="72"/>
        <v>53.388758914112998</v>
      </c>
      <c r="P372">
        <f t="shared" si="73"/>
        <v>320</v>
      </c>
      <c r="Q372">
        <f t="shared" si="80"/>
        <v>102.59951260951999</v>
      </c>
      <c r="R372">
        <f t="shared" si="74"/>
        <v>102.59951260951999</v>
      </c>
      <c r="S372">
        <f t="shared" si="69"/>
        <v>105.59688157691755</v>
      </c>
      <c r="T372">
        <f t="shared" si="75"/>
        <v>105.59688157691755</v>
      </c>
      <c r="U372" s="3">
        <f t="shared" si="76"/>
        <v>154.24037327073</v>
      </c>
      <c r="V372">
        <f t="shared" si="81"/>
        <v>268</v>
      </c>
      <c r="W372" s="8">
        <f t="shared" si="70"/>
        <v>50.675188535819998</v>
      </c>
      <c r="X372" s="1">
        <f t="shared" si="77"/>
        <v>50.675188535819998</v>
      </c>
      <c r="Y372" s="18"/>
      <c r="Z372" s="7"/>
      <c r="AA372" s="1"/>
      <c r="AB372" s="1"/>
      <c r="AC372" s="1"/>
    </row>
    <row r="373" spans="1:29" x14ac:dyDescent="0.3">
      <c r="A373">
        <v>372</v>
      </c>
      <c r="E373">
        <v>-350.42951914280002</v>
      </c>
      <c r="F373">
        <v>69.181771419461001</v>
      </c>
      <c r="G373">
        <v>344.20529178273</v>
      </c>
      <c r="H373">
        <v>53.451051204975002</v>
      </c>
      <c r="I373">
        <v>-112.60094103909999</v>
      </c>
      <c r="J373">
        <v>154.72603615409</v>
      </c>
      <c r="L373" s="1">
        <f t="shared" si="78"/>
        <v>3.3299409298000029</v>
      </c>
      <c r="M373">
        <f t="shared" si="79"/>
        <v>1327.4282663379295</v>
      </c>
      <c r="N373">
        <f t="shared" si="71"/>
        <v>3.6873007398275819</v>
      </c>
      <c r="O373">
        <f t="shared" si="72"/>
        <v>53.451051204975002</v>
      </c>
      <c r="P373">
        <f t="shared" si="73"/>
        <v>321</v>
      </c>
      <c r="Q373">
        <f t="shared" si="80"/>
        <v>102.586707459902</v>
      </c>
      <c r="R373">
        <f t="shared" si="74"/>
        <v>102.586707459902</v>
      </c>
      <c r="S373">
        <f t="shared" si="69"/>
        <v>105.58823894130623</v>
      </c>
      <c r="T373">
        <f t="shared" si="75"/>
        <v>105.58823894130623</v>
      </c>
      <c r="U373" s="3">
        <f t="shared" si="76"/>
        <v>154.72603615409</v>
      </c>
      <c r="V373">
        <f t="shared" si="81"/>
        <v>269</v>
      </c>
      <c r="W373" s="8">
        <f t="shared" si="70"/>
        <v>50.676026409869991</v>
      </c>
      <c r="X373" s="1">
        <f t="shared" si="77"/>
        <v>50.676026409869991</v>
      </c>
      <c r="Y373" s="18"/>
      <c r="Z373" s="7"/>
      <c r="AA373" s="1"/>
      <c r="AB373" s="1"/>
      <c r="AC373" s="1"/>
    </row>
    <row r="374" spans="1:29" x14ac:dyDescent="0.3">
      <c r="A374">
        <v>373</v>
      </c>
      <c r="E374">
        <v>-350.18128577229999</v>
      </c>
      <c r="F374">
        <v>71.897215520440994</v>
      </c>
      <c r="G374">
        <v>342.64295066032997</v>
      </c>
      <c r="H374">
        <v>53.509057599698998</v>
      </c>
      <c r="I374">
        <v>-109.2740404985</v>
      </c>
      <c r="J374">
        <v>155.20809711993999</v>
      </c>
      <c r="L374" s="1">
        <f t="shared" si="78"/>
        <v>3.3269005405999934</v>
      </c>
      <c r="M374">
        <f t="shared" si="79"/>
        <v>1330.7551668785295</v>
      </c>
      <c r="N374">
        <f t="shared" si="71"/>
        <v>3.6965421302181376</v>
      </c>
      <c r="O374">
        <f t="shared" si="72"/>
        <v>53.509057599698998</v>
      </c>
      <c r="P374">
        <f t="shared" si="73"/>
        <v>322</v>
      </c>
      <c r="Q374">
        <f t="shared" si="80"/>
        <v>102.58798127847899</v>
      </c>
      <c r="R374">
        <f t="shared" si="74"/>
        <v>102.58798127847899</v>
      </c>
      <c r="S374">
        <f t="shared" si="69"/>
        <v>105.59172831027546</v>
      </c>
      <c r="T374">
        <f t="shared" si="75"/>
        <v>105.59172831027546</v>
      </c>
      <c r="U374" s="3">
        <f t="shared" si="76"/>
        <v>155.20809711993999</v>
      </c>
      <c r="V374">
        <f t="shared" si="81"/>
        <v>270</v>
      </c>
      <c r="W374" s="8">
        <f t="shared" si="70"/>
        <v>50.671432093319993</v>
      </c>
      <c r="X374" s="1">
        <f t="shared" si="77"/>
        <v>50.671432093319993</v>
      </c>
      <c r="Y374" s="18"/>
      <c r="Z374" s="7"/>
      <c r="AA374" s="1"/>
      <c r="AB374" s="1"/>
      <c r="AC374" s="1"/>
    </row>
    <row r="375" spans="1:29" x14ac:dyDescent="0.3">
      <c r="A375">
        <v>374</v>
      </c>
      <c r="E375">
        <v>-349.91787088780001</v>
      </c>
      <c r="F375">
        <v>74.698280440317006</v>
      </c>
      <c r="G375">
        <v>341.24275366374002</v>
      </c>
      <c r="H375">
        <v>53.563290135004003</v>
      </c>
      <c r="I375">
        <v>-105.95153328729999</v>
      </c>
      <c r="J375">
        <v>155.69573546243001</v>
      </c>
      <c r="L375" s="1">
        <f t="shared" si="78"/>
        <v>3.3225072112000049</v>
      </c>
      <c r="M375">
        <f t="shared" si="79"/>
        <v>1334.0776740897295</v>
      </c>
      <c r="N375">
        <f t="shared" si="71"/>
        <v>3.7057713169159152</v>
      </c>
      <c r="O375">
        <f t="shared" si="72"/>
        <v>53.563290135004003</v>
      </c>
      <c r="P375">
        <f t="shared" si="73"/>
        <v>323</v>
      </c>
      <c r="Q375">
        <f t="shared" si="80"/>
        <v>102.601035384879</v>
      </c>
      <c r="R375">
        <f t="shared" si="74"/>
        <v>102.601035384879</v>
      </c>
      <c r="S375">
        <f t="shared" si="69"/>
        <v>105.60783251964776</v>
      </c>
      <c r="T375">
        <f t="shared" si="75"/>
        <v>105.60783251964776</v>
      </c>
      <c r="U375" s="3">
        <f t="shared" si="76"/>
        <v>155.69573546243001</v>
      </c>
      <c r="V375">
        <f t="shared" si="81"/>
        <v>271</v>
      </c>
      <c r="W375" s="8">
        <f t="shared" si="70"/>
        <v>50.672726212690009</v>
      </c>
      <c r="X375" s="1">
        <f t="shared" si="77"/>
        <v>50.672726212690009</v>
      </c>
      <c r="Y375" s="18"/>
      <c r="Z375" s="7"/>
      <c r="AA375" s="1"/>
      <c r="AB375" s="1"/>
      <c r="AC375" s="1"/>
    </row>
    <row r="376" spans="1:29" x14ac:dyDescent="0.3">
      <c r="A376">
        <v>375</v>
      </c>
      <c r="E376">
        <v>-349.6495376753</v>
      </c>
      <c r="F376">
        <v>77.579368476639999</v>
      </c>
      <c r="G376">
        <v>340.01682387177999</v>
      </c>
      <c r="H376">
        <v>53.605769172971002</v>
      </c>
      <c r="I376">
        <v>-102.6309104935</v>
      </c>
      <c r="J376">
        <v>156.17753167135001</v>
      </c>
      <c r="L376" s="1">
        <f t="shared" si="78"/>
        <v>3.3206227937999984</v>
      </c>
      <c r="M376">
        <f t="shared" si="79"/>
        <v>1337.3982968835294</v>
      </c>
      <c r="N376">
        <f t="shared" si="71"/>
        <v>3.7149952691209149</v>
      </c>
      <c r="O376">
        <f t="shared" si="72"/>
        <v>53.605769172971002</v>
      </c>
      <c r="P376">
        <f t="shared" si="73"/>
        <v>324</v>
      </c>
      <c r="Q376">
        <f t="shared" si="80"/>
        <v>102.605038179933</v>
      </c>
      <c r="R376">
        <f t="shared" si="74"/>
        <v>102.605038179933</v>
      </c>
      <c r="S376">
        <f t="shared" si="69"/>
        <v>105.6129292722066</v>
      </c>
      <c r="T376">
        <f t="shared" si="75"/>
        <v>105.6129292722066</v>
      </c>
      <c r="U376" s="3">
        <f t="shared" si="76"/>
        <v>156.17753167135001</v>
      </c>
      <c r="V376">
        <f t="shared" si="81"/>
        <v>272</v>
      </c>
      <c r="W376" s="8">
        <f t="shared" si="70"/>
        <v>50.677303914250004</v>
      </c>
      <c r="X376" s="1">
        <f t="shared" si="77"/>
        <v>50.677303914250004</v>
      </c>
      <c r="Y376" s="18"/>
      <c r="Z376" s="7"/>
      <c r="AA376" s="1"/>
      <c r="AB376" s="1"/>
      <c r="AC376" s="1"/>
    </row>
    <row r="377" spans="1:29" x14ac:dyDescent="0.3">
      <c r="A377">
        <v>376</v>
      </c>
      <c r="E377">
        <v>-349.36047716669998</v>
      </c>
      <c r="F377">
        <v>80.527276052000005</v>
      </c>
      <c r="G377">
        <v>338.96671241062</v>
      </c>
      <c r="H377">
        <v>53.639043468525003</v>
      </c>
      <c r="I377">
        <v>-99.313911986890005</v>
      </c>
      <c r="J377">
        <v>156.66857372382</v>
      </c>
      <c r="L377" s="1">
        <f t="shared" si="78"/>
        <v>3.3169985066099912</v>
      </c>
      <c r="M377">
        <f t="shared" si="79"/>
        <v>1340.7152953901393</v>
      </c>
      <c r="N377">
        <f t="shared" si="71"/>
        <v>3.7242091538614983</v>
      </c>
      <c r="O377">
        <f t="shared" si="72"/>
        <v>53.639043468525003</v>
      </c>
      <c r="P377">
        <f t="shared" si="73"/>
        <v>325</v>
      </c>
      <c r="Q377">
        <f t="shared" si="80"/>
        <v>102.59807662720399</v>
      </c>
      <c r="R377">
        <f t="shared" si="74"/>
        <v>102.59807662720399</v>
      </c>
      <c r="S377">
        <f t="shared" si="69"/>
        <v>105.60901561519465</v>
      </c>
      <c r="T377">
        <f t="shared" si="75"/>
        <v>105.60901561519465</v>
      </c>
      <c r="U377" s="3">
        <f t="shared" si="76"/>
        <v>156.66857372382</v>
      </c>
      <c r="V377">
        <f t="shared" si="81"/>
        <v>273</v>
      </c>
      <c r="W377" s="8">
        <f t="shared" si="70"/>
        <v>50.693830273819998</v>
      </c>
      <c r="X377" s="1">
        <f t="shared" si="77"/>
        <v>50.693830273819998</v>
      </c>
      <c r="Y377" s="18"/>
      <c r="Z377" s="7"/>
      <c r="AA377" s="1"/>
      <c r="AB377" s="1"/>
      <c r="AC377" s="1"/>
    </row>
    <row r="378" spans="1:29" x14ac:dyDescent="0.3">
      <c r="A378">
        <v>377</v>
      </c>
      <c r="E378">
        <v>-349.0625435714</v>
      </c>
      <c r="F378">
        <v>83.534462464132005</v>
      </c>
      <c r="G378">
        <v>338.10437060666999</v>
      </c>
      <c r="H378">
        <v>53.654907456148003</v>
      </c>
      <c r="I378">
        <v>-95.997793943069993</v>
      </c>
      <c r="J378">
        <v>157.15579286305999</v>
      </c>
      <c r="L378" s="1">
        <f t="shared" si="78"/>
        <v>3.316118043820012</v>
      </c>
      <c r="M378">
        <f t="shared" si="79"/>
        <v>1344.0314134339594</v>
      </c>
      <c r="N378">
        <f t="shared" si="71"/>
        <v>3.7334205928721094</v>
      </c>
      <c r="O378">
        <f t="shared" si="72"/>
        <v>53.654907456148003</v>
      </c>
      <c r="P378">
        <f t="shared" si="73"/>
        <v>326</v>
      </c>
      <c r="Q378">
        <f t="shared" si="80"/>
        <v>102.58055294776401</v>
      </c>
      <c r="R378">
        <f t="shared" si="74"/>
        <v>102.58055294776401</v>
      </c>
      <c r="S378">
        <f t="shared" si="69"/>
        <v>105.59110145794703</v>
      </c>
      <c r="T378">
        <f t="shared" si="75"/>
        <v>105.59110145794703</v>
      </c>
      <c r="U378" s="3">
        <f t="shared" si="76"/>
        <v>157.15579286305999</v>
      </c>
      <c r="V378">
        <f t="shared" si="81"/>
        <v>274</v>
      </c>
      <c r="W378" s="8">
        <f t="shared" si="70"/>
        <v>50.699773636479989</v>
      </c>
      <c r="X378" s="1">
        <f t="shared" si="77"/>
        <v>50.699773636479989</v>
      </c>
      <c r="Y378" s="18"/>
      <c r="Z378" s="7"/>
      <c r="AA378" s="1"/>
      <c r="AB378" s="1"/>
      <c r="AC378" s="1"/>
    </row>
    <row r="379" spans="1:29" x14ac:dyDescent="0.3">
      <c r="A379">
        <v>378</v>
      </c>
      <c r="E379">
        <v>-348.7496038653</v>
      </c>
      <c r="F379">
        <v>86.586249349772004</v>
      </c>
      <c r="G379">
        <v>337.42235561215</v>
      </c>
      <c r="H379">
        <v>53.664038070074</v>
      </c>
      <c r="I379">
        <v>-92.682647538340007</v>
      </c>
      <c r="J379">
        <v>157.64530165169</v>
      </c>
      <c r="L379" s="1">
        <f t="shared" si="78"/>
        <v>3.3151464047299868</v>
      </c>
      <c r="M379">
        <f t="shared" si="79"/>
        <v>1347.3465598386895</v>
      </c>
      <c r="N379">
        <f t="shared" si="71"/>
        <v>3.7426293328852487</v>
      </c>
      <c r="O379">
        <f t="shared" si="72"/>
        <v>53.664038070074</v>
      </c>
      <c r="P379">
        <f t="shared" si="73"/>
        <v>327</v>
      </c>
      <c r="Q379">
        <f t="shared" si="80"/>
        <v>102.56462889203999</v>
      </c>
      <c r="R379">
        <f t="shared" si="74"/>
        <v>102.56462889203999</v>
      </c>
      <c r="S379">
        <f t="shared" si="69"/>
        <v>105.57631207139667</v>
      </c>
      <c r="T379">
        <f t="shared" si="75"/>
        <v>105.57631207139667</v>
      </c>
      <c r="U379" s="3">
        <f t="shared" si="76"/>
        <v>157.64530165169</v>
      </c>
      <c r="V379">
        <f t="shared" si="81"/>
        <v>275</v>
      </c>
      <c r="W379" s="8">
        <f t="shared" si="70"/>
        <v>50.696782846900007</v>
      </c>
      <c r="X379" s="1">
        <f t="shared" si="77"/>
        <v>50.696782846900007</v>
      </c>
      <c r="Y379" s="18"/>
      <c r="Z379" s="7"/>
      <c r="AA379" s="1"/>
      <c r="AB379" s="1"/>
      <c r="AC379" s="1"/>
    </row>
    <row r="380" spans="1:29" x14ac:dyDescent="0.3">
      <c r="A380">
        <v>379</v>
      </c>
      <c r="E380">
        <v>-348.42674094109998</v>
      </c>
      <c r="F380">
        <v>89.671860473985006</v>
      </c>
      <c r="G380">
        <v>336.92179435384998</v>
      </c>
      <c r="H380">
        <v>53.667954255786</v>
      </c>
      <c r="I380">
        <v>-89.367456107240002</v>
      </c>
      <c r="J380">
        <v>158.13151248174</v>
      </c>
      <c r="L380" s="1">
        <f t="shared" si="78"/>
        <v>3.3151914311000041</v>
      </c>
      <c r="M380">
        <f t="shared" si="79"/>
        <v>1350.6617512697894</v>
      </c>
      <c r="N380">
        <f t="shared" si="71"/>
        <v>3.7518381979716371</v>
      </c>
      <c r="O380">
        <f t="shared" si="72"/>
        <v>53.667954255786</v>
      </c>
      <c r="P380">
        <f t="shared" si="73"/>
        <v>328</v>
      </c>
      <c r="Q380">
        <f t="shared" si="80"/>
        <v>102.55949569820601</v>
      </c>
      <c r="R380">
        <f t="shared" si="74"/>
        <v>102.55949569820601</v>
      </c>
      <c r="S380">
        <f t="shared" si="69"/>
        <v>105.57186687227968</v>
      </c>
      <c r="T380">
        <f t="shared" si="75"/>
        <v>105.57186687227968</v>
      </c>
      <c r="U380" s="3">
        <f t="shared" si="76"/>
        <v>158.13151248174</v>
      </c>
      <c r="V380">
        <f t="shared" si="81"/>
        <v>276</v>
      </c>
      <c r="W380" s="8">
        <f t="shared" si="70"/>
        <v>50.69719243050001</v>
      </c>
      <c r="X380" s="1">
        <f t="shared" si="77"/>
        <v>50.69719243050001</v>
      </c>
      <c r="Y380" s="18"/>
      <c r="Z380" s="7"/>
      <c r="AA380" s="1"/>
      <c r="AB380" s="1"/>
      <c r="AC380" s="1"/>
    </row>
    <row r="381" spans="1:29" x14ac:dyDescent="0.3">
      <c r="A381">
        <v>380</v>
      </c>
      <c r="E381">
        <v>-348.09272794740002</v>
      </c>
      <c r="F381">
        <v>92.780658079465994</v>
      </c>
      <c r="G381">
        <v>336.60580719344</v>
      </c>
      <c r="H381">
        <v>53.665171543657003</v>
      </c>
      <c r="I381">
        <v>-86.051798063299998</v>
      </c>
      <c r="J381">
        <v>158.61496781165999</v>
      </c>
      <c r="L381" s="1">
        <f t="shared" si="78"/>
        <v>3.3156580439400045</v>
      </c>
      <c r="M381">
        <f t="shared" si="79"/>
        <v>1353.9774093137294</v>
      </c>
      <c r="N381">
        <f t="shared" si="71"/>
        <v>3.7610483592048038</v>
      </c>
      <c r="O381">
        <f t="shared" si="72"/>
        <v>53.665171543657003</v>
      </c>
      <c r="P381">
        <f t="shared" si="73"/>
        <v>329</v>
      </c>
      <c r="Q381">
        <f t="shared" si="80"/>
        <v>102.55536338157199</v>
      </c>
      <c r="R381">
        <f t="shared" si="74"/>
        <v>102.55536338157199</v>
      </c>
      <c r="S381">
        <f t="shared" si="69"/>
        <v>105.56742845982974</v>
      </c>
      <c r="T381">
        <f t="shared" si="75"/>
        <v>105.56742845982974</v>
      </c>
      <c r="U381" s="3">
        <f t="shared" si="76"/>
        <v>158.61496781165999</v>
      </c>
      <c r="V381">
        <f t="shared" si="81"/>
        <v>277</v>
      </c>
      <c r="W381" s="8">
        <f t="shared" si="70"/>
        <v>50.69236593718999</v>
      </c>
      <c r="X381" s="1">
        <f t="shared" si="77"/>
        <v>50.69236593718999</v>
      </c>
      <c r="Y381" s="18"/>
      <c r="Z381" s="7"/>
      <c r="AA381" s="1"/>
      <c r="AB381" s="1"/>
      <c r="AC381" s="1"/>
    </row>
    <row r="382" spans="1:29" x14ac:dyDescent="0.3">
      <c r="A382">
        <v>381</v>
      </c>
      <c r="E382">
        <v>-347.74777665099998</v>
      </c>
      <c r="F382">
        <v>95.901341174147007</v>
      </c>
      <c r="G382">
        <v>336.47064457170001</v>
      </c>
      <c r="H382">
        <v>53.660573321832999</v>
      </c>
      <c r="I382">
        <v>-82.735416003330002</v>
      </c>
      <c r="J382">
        <v>159.09530124539</v>
      </c>
      <c r="L382" s="1">
        <f t="shared" si="78"/>
        <v>3.316382059969996</v>
      </c>
      <c r="M382">
        <f t="shared" si="79"/>
        <v>1357.2937913736994</v>
      </c>
      <c r="N382">
        <f t="shared" si="71"/>
        <v>3.7702605315936095</v>
      </c>
      <c r="O382">
        <f t="shared" si="72"/>
        <v>53.660573321832999</v>
      </c>
      <c r="P382">
        <f t="shared" si="73"/>
        <v>329</v>
      </c>
      <c r="Q382">
        <f t="shared" si="80"/>
        <v>102.550765159748</v>
      </c>
      <c r="R382">
        <f t="shared" si="74"/>
        <v>102.550765159748</v>
      </c>
      <c r="S382">
        <f t="shared" si="69"/>
        <v>105.62994733498012</v>
      </c>
      <c r="T382">
        <f t="shared" si="75"/>
        <v>105.62994733498012</v>
      </c>
      <c r="U382" s="3">
        <f t="shared" si="76"/>
        <v>159.09530124539</v>
      </c>
      <c r="V382">
        <f t="shared" si="81"/>
        <v>278</v>
      </c>
      <c r="W382" s="8">
        <f t="shared" si="70"/>
        <v>50.680288478210002</v>
      </c>
      <c r="X382" s="1">
        <f t="shared" si="77"/>
        <v>50.680288478210002</v>
      </c>
      <c r="Y382" s="18"/>
      <c r="Z382" s="7"/>
      <c r="AA382" s="1"/>
      <c r="AB382" s="1"/>
      <c r="AC382" s="1"/>
    </row>
    <row r="383" spans="1:29" x14ac:dyDescent="0.3">
      <c r="A383">
        <v>382</v>
      </c>
      <c r="E383">
        <v>-347.36490907439997</v>
      </c>
      <c r="F383">
        <v>99.019929010724994</v>
      </c>
      <c r="G383">
        <v>336.52940851905998</v>
      </c>
      <c r="H383">
        <v>53.639192298216003</v>
      </c>
      <c r="I383">
        <v>-79.422099783639993</v>
      </c>
      <c r="J383">
        <v>159.59776735950001</v>
      </c>
      <c r="L383" s="1">
        <f t="shared" si="78"/>
        <v>3.3133162196900088</v>
      </c>
      <c r="M383">
        <f t="shared" si="79"/>
        <v>1360.6071075933894</v>
      </c>
      <c r="N383">
        <f t="shared" si="71"/>
        <v>3.7794641877594151</v>
      </c>
      <c r="O383">
        <f t="shared" si="72"/>
        <v>53.639192298216003</v>
      </c>
      <c r="P383">
        <f t="shared" si="73"/>
        <v>330</v>
      </c>
      <c r="Q383">
        <f t="shared" si="80"/>
        <v>102.541086694434</v>
      </c>
      <c r="R383">
        <f t="shared" si="74"/>
        <v>102.541086694434</v>
      </c>
      <c r="S383">
        <f t="shared" si="69"/>
        <v>105.63582455260403</v>
      </c>
      <c r="T383">
        <f t="shared" si="75"/>
        <v>105.63582455260403</v>
      </c>
      <c r="U383" s="3">
        <f t="shared" si="76"/>
        <v>159.59776735950001</v>
      </c>
      <c r="V383">
        <f t="shared" si="81"/>
        <v>279</v>
      </c>
      <c r="W383" s="8">
        <f t="shared" si="70"/>
        <v>50.695737734370013</v>
      </c>
      <c r="X383" s="1">
        <f t="shared" si="77"/>
        <v>50.695737734370013</v>
      </c>
      <c r="Y383" s="18"/>
      <c r="Z383" s="7"/>
      <c r="AA383" s="1"/>
      <c r="AB383" s="1"/>
      <c r="AC383" s="1"/>
    </row>
    <row r="384" spans="1:29" x14ac:dyDescent="0.3">
      <c r="A384">
        <v>383</v>
      </c>
      <c r="E384">
        <v>-346.98377020710001</v>
      </c>
      <c r="F384">
        <v>102.12879096515999</v>
      </c>
      <c r="G384">
        <v>336.78500161775997</v>
      </c>
      <c r="H384">
        <v>53.601102760160003</v>
      </c>
      <c r="I384">
        <v>-76.104077197669994</v>
      </c>
      <c r="J384">
        <v>160.08234052949999</v>
      </c>
      <c r="L384" s="1">
        <f t="shared" si="78"/>
        <v>3.3180225859699988</v>
      </c>
      <c r="M384">
        <f t="shared" si="79"/>
        <v>1363.9251301793595</v>
      </c>
      <c r="N384">
        <f t="shared" si="71"/>
        <v>3.7886809171648874</v>
      </c>
      <c r="O384">
        <f t="shared" si="72"/>
        <v>53.601102760160003</v>
      </c>
      <c r="P384">
        <f t="shared" si="73"/>
        <v>331</v>
      </c>
      <c r="Q384">
        <f t="shared" si="80"/>
        <v>102.51369776199101</v>
      </c>
      <c r="R384">
        <f t="shared" si="74"/>
        <v>102.51369776199101</v>
      </c>
      <c r="S384">
        <f t="shared" si="69"/>
        <v>105.61863365398546</v>
      </c>
      <c r="T384">
        <f t="shared" si="75"/>
        <v>105.61863365398546</v>
      </c>
      <c r="U384" s="3">
        <f t="shared" si="76"/>
        <v>160.08234052949999</v>
      </c>
      <c r="V384">
        <f t="shared" si="81"/>
        <v>280</v>
      </c>
      <c r="W384" s="8">
        <f t="shared" si="70"/>
        <v>50.702835939939987</v>
      </c>
      <c r="X384" s="1">
        <f t="shared" si="77"/>
        <v>50.702835939939987</v>
      </c>
      <c r="Y384" s="18"/>
      <c r="Z384" s="7"/>
      <c r="AA384" s="1"/>
      <c r="AB384" s="1"/>
      <c r="AC384" s="1"/>
    </row>
    <row r="385" spans="1:29" x14ac:dyDescent="0.3">
      <c r="A385">
        <v>384</v>
      </c>
      <c r="E385">
        <v>-346.5825563926</v>
      </c>
      <c r="F385">
        <v>105.21412634639</v>
      </c>
      <c r="G385">
        <v>337.22774220845002</v>
      </c>
      <c r="H385">
        <v>53.553193424801002</v>
      </c>
      <c r="I385">
        <v>-72.784098860390003</v>
      </c>
      <c r="J385">
        <v>160.5709556022</v>
      </c>
      <c r="L385" s="1">
        <f t="shared" si="78"/>
        <v>3.3199783372799914</v>
      </c>
      <c r="M385">
        <f t="shared" si="79"/>
        <v>1367.2451085166394</v>
      </c>
      <c r="N385">
        <f t="shared" si="71"/>
        <v>3.7979030792128872</v>
      </c>
      <c r="O385">
        <f t="shared" si="72"/>
        <v>53.553193424801002</v>
      </c>
      <c r="P385">
        <f t="shared" si="73"/>
        <v>332</v>
      </c>
      <c r="Q385">
        <f t="shared" si="80"/>
        <v>102.48047288567599</v>
      </c>
      <c r="R385">
        <f t="shared" si="74"/>
        <v>102.48047288567599</v>
      </c>
      <c r="S385">
        <f t="shared" si="69"/>
        <v>105.58925425718513</v>
      </c>
      <c r="T385">
        <f t="shared" si="75"/>
        <v>105.58925425718513</v>
      </c>
      <c r="U385" s="3">
        <f t="shared" si="76"/>
        <v>160.5709556022</v>
      </c>
      <c r="V385">
        <f t="shared" si="81"/>
        <v>281</v>
      </c>
      <c r="W385" s="8">
        <f t="shared" si="70"/>
        <v>50.713074502490002</v>
      </c>
      <c r="X385" s="1">
        <f t="shared" si="77"/>
        <v>50.713074502490002</v>
      </c>
      <c r="Y385" s="18"/>
      <c r="Z385" s="7"/>
      <c r="AA385" s="1"/>
      <c r="AB385" s="1"/>
      <c r="AC385" s="1"/>
    </row>
    <row r="386" spans="1:29" x14ac:dyDescent="0.3">
      <c r="A386">
        <v>385</v>
      </c>
      <c r="E386">
        <v>-346.1682130218</v>
      </c>
      <c r="F386">
        <v>108.26832837964</v>
      </c>
      <c r="G386">
        <v>337.84087916708</v>
      </c>
      <c r="H386">
        <v>53.511531274447002</v>
      </c>
      <c r="I386">
        <v>-69.461025794280005</v>
      </c>
      <c r="J386">
        <v>161.05773108046</v>
      </c>
      <c r="L386" s="1">
        <f t="shared" si="78"/>
        <v>3.3230730661099983</v>
      </c>
      <c r="M386">
        <f t="shared" si="79"/>
        <v>1370.5681815827495</v>
      </c>
      <c r="N386">
        <f t="shared" si="71"/>
        <v>3.8071338377298596</v>
      </c>
      <c r="O386">
        <f t="shared" si="72"/>
        <v>53.511531274447002</v>
      </c>
      <c r="P386">
        <f t="shared" si="73"/>
        <v>333</v>
      </c>
      <c r="Q386">
        <f t="shared" si="80"/>
        <v>102.470936698236</v>
      </c>
      <c r="R386">
        <f t="shared" si="74"/>
        <v>102.470936698236</v>
      </c>
      <c r="S386">
        <f t="shared" ref="S386:S449" si="82">IF(P386=0,0,SQRT((E386-INDEX(E:E,P386))^2+(F386-INDEX(F:F,P386))^2+(G386-INDEX(G:G,P386))^2))</f>
        <v>105.5850251550786</v>
      </c>
      <c r="T386">
        <f t="shared" si="75"/>
        <v>105.5850251550786</v>
      </c>
      <c r="U386" s="3">
        <f t="shared" si="76"/>
        <v>161.05773108046</v>
      </c>
      <c r="V386">
        <f t="shared" si="81"/>
        <v>282</v>
      </c>
      <c r="W386" s="8">
        <f t="shared" ref="W386:W449" si="83">IF(V386=0,0,U386-INDEX(U:U,V386))</f>
        <v>50.706182363989996</v>
      </c>
      <c r="X386" s="1">
        <f t="shared" si="77"/>
        <v>50.706182363989996</v>
      </c>
      <c r="Y386" s="18"/>
      <c r="Z386" s="7"/>
      <c r="AA386" s="1"/>
      <c r="AB386" s="1"/>
      <c r="AC386" s="1"/>
    </row>
    <row r="387" spans="1:29" x14ac:dyDescent="0.3">
      <c r="A387">
        <v>386</v>
      </c>
      <c r="E387">
        <v>-345.73473151550002</v>
      </c>
      <c r="F387">
        <v>111.27625784676</v>
      </c>
      <c r="G387">
        <v>338.64155632550001</v>
      </c>
      <c r="H387">
        <v>53.455867286768999</v>
      </c>
      <c r="I387">
        <v>-66.135378226599997</v>
      </c>
      <c r="J387">
        <v>161.54666600674</v>
      </c>
      <c r="L387" s="1">
        <f t="shared" si="78"/>
        <v>3.3256475676800079</v>
      </c>
      <c r="M387">
        <f t="shared" si="79"/>
        <v>1373.8938291504296</v>
      </c>
      <c r="N387">
        <f t="shared" ref="N387:N450" si="84">M387/360</f>
        <v>3.8163717476400825</v>
      </c>
      <c r="O387">
        <f t="shared" ref="O387:O450" si="85">H387</f>
        <v>53.455867286768999</v>
      </c>
      <c r="P387">
        <f t="shared" ref="P387:P450" si="86">IFERROR(MATCH(N387-0.5,N:N,1),0)</f>
        <v>334</v>
      </c>
      <c r="Q387">
        <f t="shared" si="80"/>
        <v>102.45287921436901</v>
      </c>
      <c r="R387">
        <f t="shared" ref="R387:R450" si="87">IF(Q387=0,MAX(Q:Q),Q387)</f>
        <v>102.45287921436901</v>
      </c>
      <c r="S387">
        <f t="shared" si="82"/>
        <v>105.57238055552844</v>
      </c>
      <c r="T387">
        <f t="shared" ref="T387:T450" si="88">IF(S387=0,MAX(S:S),S387)</f>
        <v>105.57238055552844</v>
      </c>
      <c r="U387" s="3">
        <f t="shared" ref="U387:U450" si="89">J387</f>
        <v>161.54666600674</v>
      </c>
      <c r="V387">
        <f t="shared" si="81"/>
        <v>283</v>
      </c>
      <c r="W387" s="8">
        <f t="shared" si="83"/>
        <v>50.694237399149998</v>
      </c>
      <c r="X387" s="1">
        <f t="shared" ref="X387:X450" si="90">IF(W387=0,MAX(W:W),W387)</f>
        <v>50.694237399149998</v>
      </c>
      <c r="Y387" s="18"/>
      <c r="Z387" s="7"/>
      <c r="AA387" s="1"/>
      <c r="AB387" s="1"/>
      <c r="AC387" s="1"/>
    </row>
    <row r="388" spans="1:29" x14ac:dyDescent="0.3">
      <c r="A388">
        <v>387</v>
      </c>
      <c r="E388">
        <v>-345.28246478239998</v>
      </c>
      <c r="F388">
        <v>114.22685003623999</v>
      </c>
      <c r="G388">
        <v>339.62420450393</v>
      </c>
      <c r="H388">
        <v>53.388741792120001</v>
      </c>
      <c r="I388">
        <v>-62.806542046540002</v>
      </c>
      <c r="J388">
        <v>162.03740881697999</v>
      </c>
      <c r="L388" s="1">
        <f t="shared" ref="L388:L451" si="91">I388-I387</f>
        <v>3.3288361800599944</v>
      </c>
      <c r="M388">
        <f t="shared" ref="M388:M451" si="92">IF(L388&gt;0,M387+L388,M387+L387)</f>
        <v>1377.2226653304897</v>
      </c>
      <c r="N388">
        <f t="shared" si="84"/>
        <v>3.8256185148069157</v>
      </c>
      <c r="O388">
        <f t="shared" si="85"/>
        <v>53.388741792120001</v>
      </c>
      <c r="P388">
        <f t="shared" si="86"/>
        <v>335</v>
      </c>
      <c r="Q388">
        <f t="shared" si="80"/>
        <v>102.446289483242</v>
      </c>
      <c r="R388">
        <f t="shared" si="87"/>
        <v>102.446289483242</v>
      </c>
      <c r="S388">
        <f t="shared" si="82"/>
        <v>105.56779953491274</v>
      </c>
      <c r="T388">
        <f t="shared" si="88"/>
        <v>105.56779953491274</v>
      </c>
      <c r="U388" s="3">
        <f t="shared" si="89"/>
        <v>162.03740881697999</v>
      </c>
      <c r="V388">
        <f t="shared" si="81"/>
        <v>284</v>
      </c>
      <c r="W388" s="8">
        <f t="shared" si="83"/>
        <v>50.694850735139994</v>
      </c>
      <c r="X388" s="1">
        <f t="shared" si="90"/>
        <v>50.694850735139994</v>
      </c>
      <c r="Y388" s="18"/>
      <c r="Z388" s="7"/>
      <c r="AA388" s="1"/>
      <c r="AB388" s="1"/>
      <c r="AC388" s="1"/>
    </row>
    <row r="389" spans="1:29" x14ac:dyDescent="0.3">
      <c r="A389">
        <v>388</v>
      </c>
      <c r="E389">
        <v>-344.8055876313</v>
      </c>
      <c r="F389">
        <v>117.10733528633</v>
      </c>
      <c r="G389">
        <v>340.78647428964001</v>
      </c>
      <c r="H389">
        <v>53.307757172744999</v>
      </c>
      <c r="I389">
        <v>-59.474799712980001</v>
      </c>
      <c r="J389">
        <v>162.53543419836001</v>
      </c>
      <c r="L389" s="1">
        <f t="shared" si="91"/>
        <v>3.3317423335600012</v>
      </c>
      <c r="M389">
        <f t="shared" si="92"/>
        <v>1380.5544076640497</v>
      </c>
      <c r="N389">
        <f t="shared" si="84"/>
        <v>3.8348733546223603</v>
      </c>
      <c r="O389">
        <f t="shared" si="85"/>
        <v>53.307757172744999</v>
      </c>
      <c r="P389">
        <f t="shared" si="86"/>
        <v>336</v>
      </c>
      <c r="Q389">
        <f t="shared" si="80"/>
        <v>102.436339984347</v>
      </c>
      <c r="R389">
        <f t="shared" si="87"/>
        <v>102.436339984347</v>
      </c>
      <c r="S389">
        <f t="shared" si="82"/>
        <v>105.5674084051782</v>
      </c>
      <c r="T389">
        <f t="shared" si="88"/>
        <v>105.5674084051782</v>
      </c>
      <c r="U389" s="3">
        <f t="shared" si="89"/>
        <v>162.53543419836001</v>
      </c>
      <c r="V389">
        <f t="shared" si="81"/>
        <v>285</v>
      </c>
      <c r="W389" s="8">
        <f t="shared" si="83"/>
        <v>50.70244661480001</v>
      </c>
      <c r="X389" s="1">
        <f t="shared" si="90"/>
        <v>50.70244661480001</v>
      </c>
      <c r="Y389" s="18"/>
      <c r="Z389" s="7"/>
      <c r="AA389" s="1"/>
      <c r="AB389" s="1"/>
      <c r="AC389" s="1"/>
    </row>
    <row r="390" spans="1:29" x14ac:dyDescent="0.3">
      <c r="A390">
        <v>389</v>
      </c>
      <c r="E390">
        <v>-344.31112409529999</v>
      </c>
      <c r="F390">
        <v>119.90759487771</v>
      </c>
      <c r="G390">
        <v>342.12423329277999</v>
      </c>
      <c r="H390">
        <v>53.213548460196002</v>
      </c>
      <c r="I390">
        <v>-56.138002090710003</v>
      </c>
      <c r="J390">
        <v>163.03366938162</v>
      </c>
      <c r="L390" s="1">
        <f t="shared" si="91"/>
        <v>3.336797622269998</v>
      </c>
      <c r="M390">
        <f t="shared" si="92"/>
        <v>1383.8912052863197</v>
      </c>
      <c r="N390">
        <f t="shared" si="84"/>
        <v>3.8441422369064435</v>
      </c>
      <c r="O390">
        <f t="shared" si="85"/>
        <v>53.213548460196002</v>
      </c>
      <c r="P390">
        <f t="shared" si="86"/>
        <v>337</v>
      </c>
      <c r="Q390">
        <f t="shared" si="80"/>
        <v>102.39341991611499</v>
      </c>
      <c r="R390">
        <f t="shared" si="87"/>
        <v>102.39341991611499</v>
      </c>
      <c r="S390">
        <f t="shared" si="82"/>
        <v>105.5333110194441</v>
      </c>
      <c r="T390">
        <f t="shared" si="88"/>
        <v>105.5333110194441</v>
      </c>
      <c r="U390" s="3">
        <f t="shared" si="89"/>
        <v>163.03366938162</v>
      </c>
      <c r="V390">
        <f t="shared" si="81"/>
        <v>286</v>
      </c>
      <c r="W390" s="8">
        <f t="shared" si="83"/>
        <v>50.714305174960003</v>
      </c>
      <c r="X390" s="1">
        <f t="shared" si="90"/>
        <v>50.714305174960003</v>
      </c>
      <c r="Y390" s="18"/>
      <c r="Z390" s="7"/>
      <c r="AA390" s="1"/>
      <c r="AB390" s="1"/>
      <c r="AC390" s="1"/>
    </row>
    <row r="391" spans="1:29" x14ac:dyDescent="0.3">
      <c r="A391">
        <v>390</v>
      </c>
      <c r="E391">
        <v>-343.81142256189997</v>
      </c>
      <c r="F391">
        <v>122.62534969047999</v>
      </c>
      <c r="G391">
        <v>343.62093376922002</v>
      </c>
      <c r="H391">
        <v>53.121408669037002</v>
      </c>
      <c r="I391">
        <v>-52.793349761709997</v>
      </c>
      <c r="J391">
        <v>163.5210503781</v>
      </c>
      <c r="L391" s="1">
        <f t="shared" si="91"/>
        <v>3.3446523290000059</v>
      </c>
      <c r="M391">
        <f t="shared" si="92"/>
        <v>1387.2358576153197</v>
      </c>
      <c r="N391">
        <f t="shared" si="84"/>
        <v>3.8534329378203322</v>
      </c>
      <c r="O391">
        <f t="shared" si="85"/>
        <v>53.121408669037002</v>
      </c>
      <c r="P391">
        <f t="shared" si="86"/>
        <v>338</v>
      </c>
      <c r="Q391">
        <f t="shared" si="80"/>
        <v>102.359933367054</v>
      </c>
      <c r="R391">
        <f t="shared" si="87"/>
        <v>102.359933367054</v>
      </c>
      <c r="S391">
        <f t="shared" si="82"/>
        <v>105.50341169895464</v>
      </c>
      <c r="T391">
        <f t="shared" si="88"/>
        <v>105.50341169895464</v>
      </c>
      <c r="U391" s="3">
        <f t="shared" si="89"/>
        <v>163.5210503781</v>
      </c>
      <c r="V391">
        <f t="shared" si="81"/>
        <v>287</v>
      </c>
      <c r="W391" s="8">
        <f t="shared" si="83"/>
        <v>50.718743511949995</v>
      </c>
      <c r="X391" s="1">
        <f t="shared" si="90"/>
        <v>50.718743511949995</v>
      </c>
      <c r="Y391" s="18"/>
      <c r="Z391" s="7"/>
      <c r="AA391" s="1"/>
      <c r="AB391" s="1"/>
      <c r="AC391" s="1"/>
    </row>
    <row r="392" spans="1:29" x14ac:dyDescent="0.3">
      <c r="A392">
        <v>391</v>
      </c>
      <c r="E392">
        <v>-343.29795203549997</v>
      </c>
      <c r="F392">
        <v>125.24725088064</v>
      </c>
      <c r="G392">
        <v>345.27561669492002</v>
      </c>
      <c r="H392">
        <v>53.025364216630997</v>
      </c>
      <c r="I392">
        <v>-49.442419066639999</v>
      </c>
      <c r="J392">
        <v>164.00561192596999</v>
      </c>
      <c r="L392" s="1">
        <f t="shared" si="91"/>
        <v>3.350930695069998</v>
      </c>
      <c r="M392">
        <f t="shared" si="92"/>
        <v>1390.5867883103897</v>
      </c>
      <c r="N392">
        <f t="shared" si="84"/>
        <v>3.8627410786399712</v>
      </c>
      <c r="O392">
        <f t="shared" si="85"/>
        <v>53.025364216630997</v>
      </c>
      <c r="P392">
        <f t="shared" si="86"/>
        <v>339</v>
      </c>
      <c r="Q392">
        <f t="shared" si="80"/>
        <v>102.363050457969</v>
      </c>
      <c r="R392">
        <f t="shared" si="87"/>
        <v>102.363050457969</v>
      </c>
      <c r="S392">
        <f t="shared" si="82"/>
        <v>105.5046847908315</v>
      </c>
      <c r="T392">
        <f t="shared" si="88"/>
        <v>105.5046847908315</v>
      </c>
      <c r="U392" s="3">
        <f t="shared" si="89"/>
        <v>164.00561192596999</v>
      </c>
      <c r="V392">
        <f t="shared" si="81"/>
        <v>288</v>
      </c>
      <c r="W392" s="8">
        <f t="shared" si="83"/>
        <v>50.715837520059992</v>
      </c>
      <c r="X392" s="1">
        <f t="shared" si="90"/>
        <v>50.715837520059992</v>
      </c>
      <c r="Y392" s="18"/>
      <c r="Z392" s="7"/>
      <c r="AA392" s="1"/>
      <c r="AB392" s="1"/>
      <c r="AC392" s="1"/>
    </row>
    <row r="393" spans="1:29" x14ac:dyDescent="0.3">
      <c r="A393">
        <v>392</v>
      </c>
      <c r="E393">
        <v>-342.76209413190003</v>
      </c>
      <c r="F393">
        <v>127.75977073262</v>
      </c>
      <c r="G393">
        <v>347.08588662698003</v>
      </c>
      <c r="H393">
        <v>52.919609075316998</v>
      </c>
      <c r="I393">
        <v>-46.086193023699998</v>
      </c>
      <c r="J393">
        <v>164.49558373084</v>
      </c>
      <c r="L393" s="1">
        <f t="shared" si="91"/>
        <v>3.3562260429400013</v>
      </c>
      <c r="M393">
        <f t="shared" si="92"/>
        <v>1393.9430143533298</v>
      </c>
      <c r="N393">
        <f t="shared" si="84"/>
        <v>3.8720639287592493</v>
      </c>
      <c r="O393">
        <f t="shared" si="85"/>
        <v>52.919609075316998</v>
      </c>
      <c r="P393">
        <f t="shared" si="86"/>
        <v>340</v>
      </c>
      <c r="Q393">
        <f t="shared" si="80"/>
        <v>102.366551582667</v>
      </c>
      <c r="R393">
        <f t="shared" si="87"/>
        <v>102.366551582667</v>
      </c>
      <c r="S393">
        <f t="shared" si="82"/>
        <v>105.50914253636738</v>
      </c>
      <c r="T393">
        <f t="shared" si="88"/>
        <v>105.50914253636738</v>
      </c>
      <c r="U393" s="3">
        <f t="shared" si="89"/>
        <v>164.49558373084</v>
      </c>
      <c r="V393">
        <f t="shared" si="81"/>
        <v>289</v>
      </c>
      <c r="W393" s="8">
        <f t="shared" si="83"/>
        <v>50.697361655389997</v>
      </c>
      <c r="X393" s="1">
        <f t="shared" si="90"/>
        <v>50.697361655389997</v>
      </c>
      <c r="Y393" s="18"/>
      <c r="Z393" s="7"/>
      <c r="AA393" s="1"/>
      <c r="AB393" s="1"/>
      <c r="AC393" s="1"/>
    </row>
    <row r="394" spans="1:29" x14ac:dyDescent="0.3">
      <c r="A394">
        <v>393</v>
      </c>
      <c r="E394">
        <v>-342.20905916970003</v>
      </c>
      <c r="F394">
        <v>130.16630816335999</v>
      </c>
      <c r="G394">
        <v>349.02981031286998</v>
      </c>
      <c r="H394">
        <v>52.824421381179</v>
      </c>
      <c r="I394">
        <v>-42.723731423330001</v>
      </c>
      <c r="J394">
        <v>164.98767193683</v>
      </c>
      <c r="L394" s="1">
        <f t="shared" si="91"/>
        <v>3.362461600369997</v>
      </c>
      <c r="M394">
        <f t="shared" si="92"/>
        <v>1397.3054759536997</v>
      </c>
      <c r="N394">
        <f t="shared" si="84"/>
        <v>3.8814040998713879</v>
      </c>
      <c r="O394">
        <f t="shared" si="85"/>
        <v>52.824421381179</v>
      </c>
      <c r="P394">
        <f t="shared" si="86"/>
        <v>341</v>
      </c>
      <c r="Q394">
        <f t="shared" si="80"/>
        <v>102.35964892528901</v>
      </c>
      <c r="R394">
        <f t="shared" si="87"/>
        <v>102.35964892528901</v>
      </c>
      <c r="S394">
        <f t="shared" si="82"/>
        <v>105.50404390817782</v>
      </c>
      <c r="T394">
        <f t="shared" si="88"/>
        <v>105.50404390817782</v>
      </c>
      <c r="U394" s="3">
        <f t="shared" si="89"/>
        <v>164.98767193683</v>
      </c>
      <c r="V394">
        <f t="shared" si="81"/>
        <v>290</v>
      </c>
      <c r="W394" s="8">
        <f t="shared" si="83"/>
        <v>50.695768404540004</v>
      </c>
      <c r="X394" s="1">
        <f t="shared" si="90"/>
        <v>50.695768404540004</v>
      </c>
      <c r="Y394" s="18"/>
      <c r="Z394" s="7"/>
      <c r="AA394" s="1"/>
      <c r="AB394" s="1"/>
      <c r="AC394" s="1"/>
    </row>
    <row r="395" spans="1:29" x14ac:dyDescent="0.3">
      <c r="A395">
        <v>394</v>
      </c>
      <c r="E395">
        <v>-341.63657926949998</v>
      </c>
      <c r="F395">
        <v>132.43847366463001</v>
      </c>
      <c r="G395">
        <v>351.12422529867001</v>
      </c>
      <c r="H395">
        <v>52.708834638814999</v>
      </c>
      <c r="I395">
        <v>-39.35546545191</v>
      </c>
      <c r="J395">
        <v>165.48163980405999</v>
      </c>
      <c r="L395" s="1">
        <f t="shared" si="91"/>
        <v>3.3682659714200014</v>
      </c>
      <c r="M395">
        <f t="shared" si="92"/>
        <v>1400.6737419251197</v>
      </c>
      <c r="N395">
        <f t="shared" si="84"/>
        <v>3.8907603942364437</v>
      </c>
      <c r="O395">
        <f t="shared" si="85"/>
        <v>52.708834638814999</v>
      </c>
      <c r="P395">
        <f t="shared" si="86"/>
        <v>341</v>
      </c>
      <c r="Q395">
        <f t="shared" si="80"/>
        <v>102.24406218292501</v>
      </c>
      <c r="R395">
        <f t="shared" si="87"/>
        <v>102.24406218292501</v>
      </c>
      <c r="S395">
        <f t="shared" si="82"/>
        <v>105.4670912900319</v>
      </c>
      <c r="T395">
        <f t="shared" si="88"/>
        <v>105.4670912900319</v>
      </c>
      <c r="U395" s="3">
        <f t="shared" si="89"/>
        <v>165.48163980405999</v>
      </c>
      <c r="V395">
        <f t="shared" si="81"/>
        <v>291</v>
      </c>
      <c r="W395" s="8">
        <f t="shared" si="83"/>
        <v>50.702720317089998</v>
      </c>
      <c r="X395" s="1">
        <f t="shared" si="90"/>
        <v>50.702720317089998</v>
      </c>
      <c r="Y395" s="18"/>
      <c r="Z395" s="7"/>
      <c r="AA395" s="1"/>
      <c r="AB395" s="1"/>
      <c r="AC395" s="1"/>
    </row>
    <row r="396" spans="1:29" x14ac:dyDescent="0.3">
      <c r="A396">
        <v>395</v>
      </c>
      <c r="E396">
        <v>-341.04517094689999</v>
      </c>
      <c r="F396">
        <v>134.57468154866999</v>
      </c>
      <c r="G396">
        <v>353.35186174622999</v>
      </c>
      <c r="H396">
        <v>52.584596516269002</v>
      </c>
      <c r="I396">
        <v>-35.980625212580001</v>
      </c>
      <c r="J396">
        <v>165.97829333708</v>
      </c>
      <c r="L396" s="1">
        <f t="shared" si="91"/>
        <v>3.3748402393299983</v>
      </c>
      <c r="M396">
        <f t="shared" si="92"/>
        <v>1404.0485821644497</v>
      </c>
      <c r="N396">
        <f t="shared" si="84"/>
        <v>3.9001349504568048</v>
      </c>
      <c r="O396">
        <f t="shared" si="85"/>
        <v>52.584596516269002</v>
      </c>
      <c r="P396">
        <f t="shared" si="86"/>
        <v>342</v>
      </c>
      <c r="Q396">
        <f t="shared" si="80"/>
        <v>102.24352362462</v>
      </c>
      <c r="R396">
        <f t="shared" si="87"/>
        <v>102.24352362462</v>
      </c>
      <c r="S396">
        <f t="shared" si="82"/>
        <v>105.47674209778295</v>
      </c>
      <c r="T396">
        <f t="shared" si="88"/>
        <v>105.47674209778295</v>
      </c>
      <c r="U396" s="3">
        <f t="shared" si="89"/>
        <v>165.97829333708</v>
      </c>
      <c r="V396">
        <f t="shared" si="81"/>
        <v>292</v>
      </c>
      <c r="W396" s="8">
        <f t="shared" si="83"/>
        <v>50.71735323578001</v>
      </c>
      <c r="X396" s="1">
        <f t="shared" si="90"/>
        <v>50.71735323578001</v>
      </c>
      <c r="Y396" s="18"/>
      <c r="Z396" s="7"/>
      <c r="AA396" s="1"/>
      <c r="AB396" s="1"/>
      <c r="AC396" s="1"/>
    </row>
    <row r="397" spans="1:29" x14ac:dyDescent="0.3">
      <c r="A397">
        <v>396</v>
      </c>
      <c r="E397">
        <v>-340.45067361299999</v>
      </c>
      <c r="F397">
        <v>136.58374838364</v>
      </c>
      <c r="G397">
        <v>355.69406604620002</v>
      </c>
      <c r="H397">
        <v>52.472571611554002</v>
      </c>
      <c r="I397">
        <v>-32.595711762219999</v>
      </c>
      <c r="J397">
        <v>166.46370820749999</v>
      </c>
      <c r="L397" s="1">
        <f t="shared" si="91"/>
        <v>3.3849134503600027</v>
      </c>
      <c r="M397">
        <f t="shared" si="92"/>
        <v>1407.4334956148098</v>
      </c>
      <c r="N397">
        <f t="shared" si="84"/>
        <v>3.9095374878189162</v>
      </c>
      <c r="O397">
        <f t="shared" si="85"/>
        <v>52.472571611554002</v>
      </c>
      <c r="P397">
        <f t="shared" si="86"/>
        <v>343</v>
      </c>
      <c r="Q397">
        <f t="shared" si="80"/>
        <v>102.272369471321</v>
      </c>
      <c r="R397">
        <f t="shared" si="87"/>
        <v>102.272369471321</v>
      </c>
      <c r="S397">
        <f t="shared" si="82"/>
        <v>105.51247502478924</v>
      </c>
      <c r="T397">
        <f t="shared" si="88"/>
        <v>105.51247502478924</v>
      </c>
      <c r="U397" s="3">
        <f t="shared" si="89"/>
        <v>166.46370820749999</v>
      </c>
      <c r="V397">
        <f t="shared" si="81"/>
        <v>293</v>
      </c>
      <c r="W397" s="8">
        <f t="shared" si="83"/>
        <v>50.709376367819985</v>
      </c>
      <c r="X397" s="1">
        <f t="shared" si="90"/>
        <v>50.709376367819985</v>
      </c>
      <c r="Y397" s="18"/>
      <c r="Z397" s="7"/>
      <c r="AA397" s="1"/>
      <c r="AB397" s="1"/>
      <c r="AC397" s="1"/>
    </row>
    <row r="398" spans="1:29" x14ac:dyDescent="0.3">
      <c r="A398">
        <v>397</v>
      </c>
      <c r="E398">
        <v>-339.85762253889999</v>
      </c>
      <c r="F398">
        <v>138.45270797242</v>
      </c>
      <c r="G398">
        <v>358.15006450998999</v>
      </c>
      <c r="H398">
        <v>52.364454639305002</v>
      </c>
      <c r="I398">
        <v>-29.200642911479999</v>
      </c>
      <c r="J398">
        <v>166.93290620255999</v>
      </c>
      <c r="L398" s="1">
        <f t="shared" si="91"/>
        <v>3.3950688507399995</v>
      </c>
      <c r="M398">
        <f t="shared" si="92"/>
        <v>1410.8285644655498</v>
      </c>
      <c r="N398">
        <f t="shared" si="84"/>
        <v>3.9189682346265271</v>
      </c>
      <c r="O398">
        <f t="shared" si="85"/>
        <v>52.364454639305002</v>
      </c>
      <c r="P398">
        <f t="shared" si="86"/>
        <v>344</v>
      </c>
      <c r="Q398">
        <f t="shared" si="80"/>
        <v>102.274536096619</v>
      </c>
      <c r="R398">
        <f t="shared" si="87"/>
        <v>102.274536096619</v>
      </c>
      <c r="S398">
        <f t="shared" si="82"/>
        <v>105.51580287854797</v>
      </c>
      <c r="T398">
        <f t="shared" si="88"/>
        <v>105.51580287854797</v>
      </c>
      <c r="U398" s="3">
        <f t="shared" si="89"/>
        <v>166.93290620255999</v>
      </c>
      <c r="V398">
        <f t="shared" si="81"/>
        <v>294</v>
      </c>
      <c r="W398" s="8">
        <f t="shared" si="83"/>
        <v>50.686684247219986</v>
      </c>
      <c r="X398" s="1">
        <f t="shared" si="90"/>
        <v>50.686684247219986</v>
      </c>
      <c r="Y398" s="18"/>
      <c r="Z398" s="7"/>
      <c r="AA398" s="1"/>
      <c r="AB398" s="1"/>
      <c r="AC398" s="1"/>
    </row>
    <row r="399" spans="1:29" x14ac:dyDescent="0.3">
      <c r="A399">
        <v>398</v>
      </c>
      <c r="E399">
        <v>-339.22654064900001</v>
      </c>
      <c r="F399">
        <v>140.15788052484999</v>
      </c>
      <c r="G399">
        <v>360.71317671794998</v>
      </c>
      <c r="H399">
        <v>52.242512069859004</v>
      </c>
      <c r="I399">
        <v>-25.80273147642</v>
      </c>
      <c r="J399">
        <v>167.42478498849999</v>
      </c>
      <c r="L399" s="1">
        <f t="shared" si="91"/>
        <v>3.3979114350599993</v>
      </c>
      <c r="M399">
        <f t="shared" si="92"/>
        <v>1414.2264759006098</v>
      </c>
      <c r="N399">
        <f t="shared" si="84"/>
        <v>3.9284068775016938</v>
      </c>
      <c r="O399">
        <f t="shared" si="85"/>
        <v>52.242512069859004</v>
      </c>
      <c r="P399">
        <f t="shared" si="86"/>
        <v>345</v>
      </c>
      <c r="Q399">
        <f t="shared" si="80"/>
        <v>102.285657541795</v>
      </c>
      <c r="R399">
        <f t="shared" si="87"/>
        <v>102.285657541795</v>
      </c>
      <c r="S399">
        <f t="shared" si="82"/>
        <v>105.53413424290547</v>
      </c>
      <c r="T399">
        <f t="shared" si="88"/>
        <v>105.53413424290547</v>
      </c>
      <c r="U399" s="3">
        <f t="shared" si="89"/>
        <v>167.42478498849999</v>
      </c>
      <c r="V399">
        <f t="shared" si="81"/>
        <v>295</v>
      </c>
      <c r="W399" s="8">
        <f t="shared" si="83"/>
        <v>50.675688843969994</v>
      </c>
      <c r="X399" s="1">
        <f t="shared" si="90"/>
        <v>50.675688843969994</v>
      </c>
      <c r="Y399" s="18"/>
      <c r="Z399" s="7"/>
      <c r="AA399" s="1"/>
      <c r="AB399" s="1"/>
      <c r="AC399" s="1"/>
    </row>
    <row r="400" spans="1:29" x14ac:dyDescent="0.3">
      <c r="A400">
        <v>399</v>
      </c>
      <c r="E400">
        <v>-338.57530817439999</v>
      </c>
      <c r="F400">
        <v>141.67093680884</v>
      </c>
      <c r="G400">
        <v>363.38955796158001</v>
      </c>
      <c r="H400">
        <v>52.080899283712</v>
      </c>
      <c r="I400">
        <v>-22.39795560408</v>
      </c>
      <c r="J400">
        <v>167.91989979549001</v>
      </c>
      <c r="L400" s="1">
        <f t="shared" si="91"/>
        <v>3.4047758723400001</v>
      </c>
      <c r="M400">
        <f t="shared" si="92"/>
        <v>1417.6312517729498</v>
      </c>
      <c r="N400">
        <f t="shared" si="84"/>
        <v>3.937864588258194</v>
      </c>
      <c r="O400">
        <f t="shared" si="85"/>
        <v>52.080899283712</v>
      </c>
      <c r="P400">
        <f t="shared" si="86"/>
        <v>346</v>
      </c>
      <c r="Q400">
        <f t="shared" si="80"/>
        <v>102.237255155098</v>
      </c>
      <c r="R400">
        <f t="shared" si="87"/>
        <v>102.237255155098</v>
      </c>
      <c r="S400">
        <f t="shared" si="82"/>
        <v>105.49477731918341</v>
      </c>
      <c r="T400">
        <f t="shared" si="88"/>
        <v>105.49477731918341</v>
      </c>
      <c r="U400" s="3">
        <f t="shared" si="89"/>
        <v>167.91989979549001</v>
      </c>
      <c r="V400">
        <f t="shared" si="81"/>
        <v>296</v>
      </c>
      <c r="W400" s="8">
        <f t="shared" si="83"/>
        <v>50.679852635330008</v>
      </c>
      <c r="X400" s="1">
        <f t="shared" si="90"/>
        <v>50.679852635330008</v>
      </c>
      <c r="Y400" s="18"/>
      <c r="Z400" s="7"/>
      <c r="AA400" s="1"/>
      <c r="AB400" s="1"/>
      <c r="AC400" s="1"/>
    </row>
    <row r="401" spans="1:29" x14ac:dyDescent="0.3">
      <c r="A401">
        <v>400</v>
      </c>
      <c r="E401">
        <v>-337.92671380159999</v>
      </c>
      <c r="F401">
        <v>143.03184685202999</v>
      </c>
      <c r="G401">
        <v>366.14677274894001</v>
      </c>
      <c r="H401">
        <v>51.932372376727002</v>
      </c>
      <c r="I401">
        <v>-18.979923881449999</v>
      </c>
      <c r="J401">
        <v>168.39976711827001</v>
      </c>
      <c r="L401" s="1">
        <f t="shared" si="91"/>
        <v>3.4180317226300012</v>
      </c>
      <c r="M401">
        <f t="shared" si="92"/>
        <v>1421.0492834955799</v>
      </c>
      <c r="N401">
        <f t="shared" si="84"/>
        <v>3.947359120821055</v>
      </c>
      <c r="O401">
        <f t="shared" si="85"/>
        <v>51.932372376727002</v>
      </c>
      <c r="P401">
        <f t="shared" si="86"/>
        <v>347</v>
      </c>
      <c r="Q401">
        <f t="shared" si="80"/>
        <v>102.244618644225</v>
      </c>
      <c r="R401">
        <f t="shared" si="87"/>
        <v>102.244618644225</v>
      </c>
      <c r="S401">
        <f t="shared" si="82"/>
        <v>105.50578036844328</v>
      </c>
      <c r="T401">
        <f t="shared" si="88"/>
        <v>105.50578036844328</v>
      </c>
      <c r="U401" s="3">
        <f t="shared" si="89"/>
        <v>168.39976711827001</v>
      </c>
      <c r="V401">
        <f t="shared" si="81"/>
        <v>297</v>
      </c>
      <c r="W401" s="8">
        <f t="shared" si="83"/>
        <v>50.676062623010012</v>
      </c>
      <c r="X401" s="1">
        <f t="shared" si="90"/>
        <v>50.676062623010012</v>
      </c>
      <c r="Y401" s="18"/>
      <c r="Z401" s="7"/>
      <c r="AA401" s="1"/>
      <c r="AB401" s="1"/>
      <c r="AC401" s="1"/>
    </row>
    <row r="402" spans="1:29" x14ac:dyDescent="0.3">
      <c r="A402">
        <v>401</v>
      </c>
      <c r="E402">
        <v>-337.26626617689999</v>
      </c>
      <c r="F402">
        <v>144.26209866248001</v>
      </c>
      <c r="G402">
        <v>368.96213741064003</v>
      </c>
      <c r="H402">
        <v>51.825867358022002</v>
      </c>
      <c r="I402">
        <v>-15.55172337034</v>
      </c>
      <c r="J402">
        <v>168.88150542880999</v>
      </c>
      <c r="L402" s="1">
        <f t="shared" si="91"/>
        <v>3.4282005111099991</v>
      </c>
      <c r="M402">
        <f t="shared" si="92"/>
        <v>1424.4774840066898</v>
      </c>
      <c r="N402">
        <f t="shared" si="84"/>
        <v>3.9568819000185829</v>
      </c>
      <c r="O402">
        <f t="shared" si="85"/>
        <v>51.825867358022002</v>
      </c>
      <c r="P402">
        <f t="shared" si="86"/>
        <v>348</v>
      </c>
      <c r="Q402">
        <f t="shared" ref="Q402:Q465" si="93">IF(P402=0,0,O402+INDEX(O:O,P402))</f>
        <v>102.282214486024</v>
      </c>
      <c r="R402">
        <f t="shared" si="87"/>
        <v>102.282214486024</v>
      </c>
      <c r="S402">
        <f t="shared" si="82"/>
        <v>105.54792834763106</v>
      </c>
      <c r="T402">
        <f t="shared" si="88"/>
        <v>105.54792834763106</v>
      </c>
      <c r="U402" s="3">
        <f t="shared" si="89"/>
        <v>168.88150542880999</v>
      </c>
      <c r="V402">
        <f t="shared" si="81"/>
        <v>298</v>
      </c>
      <c r="W402" s="8">
        <f t="shared" si="83"/>
        <v>50.671927548539983</v>
      </c>
      <c r="X402" s="1">
        <f t="shared" si="90"/>
        <v>50.671927548539983</v>
      </c>
      <c r="Y402" s="18"/>
      <c r="Z402" s="7"/>
      <c r="AA402" s="1"/>
      <c r="AB402" s="1"/>
      <c r="AC402" s="1"/>
    </row>
    <row r="403" spans="1:29" x14ac:dyDescent="0.3">
      <c r="A403">
        <v>402</v>
      </c>
      <c r="E403">
        <v>-336.5959161495</v>
      </c>
      <c r="F403">
        <v>145.31844516128001</v>
      </c>
      <c r="G403">
        <v>371.84504758108</v>
      </c>
      <c r="H403">
        <v>51.718541001040002</v>
      </c>
      <c r="I403">
        <v>-12.11595705469</v>
      </c>
      <c r="J403">
        <v>169.36067326557</v>
      </c>
      <c r="L403" s="1">
        <f t="shared" si="91"/>
        <v>3.4357663156499996</v>
      </c>
      <c r="M403">
        <f t="shared" si="92"/>
        <v>1427.9132503223398</v>
      </c>
      <c r="N403">
        <f t="shared" si="84"/>
        <v>3.9664256953398325</v>
      </c>
      <c r="O403">
        <f t="shared" si="85"/>
        <v>51.718541001040002</v>
      </c>
      <c r="P403">
        <f t="shared" si="86"/>
        <v>349</v>
      </c>
      <c r="Q403">
        <f t="shared" si="93"/>
        <v>102.320044437541</v>
      </c>
      <c r="R403">
        <f t="shared" si="87"/>
        <v>102.320044437541</v>
      </c>
      <c r="S403">
        <f t="shared" si="82"/>
        <v>105.58732486627757</v>
      </c>
      <c r="T403">
        <f t="shared" si="88"/>
        <v>105.58732486627757</v>
      </c>
      <c r="U403" s="3">
        <f t="shared" si="89"/>
        <v>169.36067326557</v>
      </c>
      <c r="V403">
        <f t="shared" si="81"/>
        <v>299</v>
      </c>
      <c r="W403" s="8">
        <f t="shared" si="83"/>
        <v>50.642696829840006</v>
      </c>
      <c r="X403" s="1">
        <f t="shared" si="90"/>
        <v>50.642696829840006</v>
      </c>
      <c r="Y403" s="18"/>
      <c r="Z403" s="7"/>
      <c r="AA403" s="1"/>
      <c r="AB403" s="1"/>
      <c r="AC403" s="1"/>
    </row>
    <row r="404" spans="1:29" x14ac:dyDescent="0.3">
      <c r="A404">
        <v>403</v>
      </c>
      <c r="E404">
        <v>-335.91775763639998</v>
      </c>
      <c r="F404">
        <v>146.15908934062</v>
      </c>
      <c r="G404">
        <v>374.79603190199998</v>
      </c>
      <c r="H404">
        <v>51.571390357638002</v>
      </c>
      <c r="I404">
        <v>-8.6727185087730003</v>
      </c>
      <c r="J404">
        <v>169.83345601411</v>
      </c>
      <c r="L404" s="1">
        <f t="shared" si="91"/>
        <v>3.4432385459169996</v>
      </c>
      <c r="M404">
        <f t="shared" si="92"/>
        <v>1431.3564888682567</v>
      </c>
      <c r="N404">
        <f t="shared" si="84"/>
        <v>3.9759902468562687</v>
      </c>
      <c r="O404">
        <f t="shared" si="85"/>
        <v>51.571390357638002</v>
      </c>
      <c r="P404">
        <f t="shared" si="86"/>
        <v>350</v>
      </c>
      <c r="Q404">
        <f t="shared" si="93"/>
        <v>102.30671525321699</v>
      </c>
      <c r="R404">
        <f t="shared" si="87"/>
        <v>102.30671525321699</v>
      </c>
      <c r="S404">
        <f t="shared" si="82"/>
        <v>105.57981773451887</v>
      </c>
      <c r="T404">
        <f t="shared" si="88"/>
        <v>105.57981773451887</v>
      </c>
      <c r="U404" s="3">
        <f t="shared" si="89"/>
        <v>169.83345601411</v>
      </c>
      <c r="V404">
        <f t="shared" si="81"/>
        <v>300</v>
      </c>
      <c r="W404" s="8">
        <f t="shared" si="83"/>
        <v>50.624618517900004</v>
      </c>
      <c r="X404" s="1">
        <f t="shared" si="90"/>
        <v>50.624618517900004</v>
      </c>
      <c r="Y404" s="18"/>
      <c r="Z404" s="7"/>
      <c r="AA404" s="1"/>
      <c r="AB404" s="1"/>
      <c r="AC404" s="1"/>
    </row>
    <row r="405" spans="1:29" x14ac:dyDescent="0.3">
      <c r="A405">
        <v>404</v>
      </c>
      <c r="E405">
        <v>-335.20263346680002</v>
      </c>
      <c r="F405">
        <v>146.81008770208001</v>
      </c>
      <c r="G405">
        <v>377.78619797443997</v>
      </c>
      <c r="H405">
        <v>51.415744081599001</v>
      </c>
      <c r="I405">
        <v>-5.2241003578780001</v>
      </c>
      <c r="J405">
        <v>170.33226086449</v>
      </c>
      <c r="L405" s="1">
        <f t="shared" si="91"/>
        <v>3.4486181508950002</v>
      </c>
      <c r="M405">
        <f t="shared" si="92"/>
        <v>1434.8051070191518</v>
      </c>
      <c r="N405">
        <f t="shared" si="84"/>
        <v>3.9855697417198663</v>
      </c>
      <c r="O405">
        <f t="shared" si="85"/>
        <v>51.415744081599001</v>
      </c>
      <c r="P405">
        <f t="shared" si="86"/>
        <v>351</v>
      </c>
      <c r="Q405">
        <f t="shared" si="93"/>
        <v>102.29399354848999</v>
      </c>
      <c r="R405">
        <f t="shared" si="87"/>
        <v>102.29399354848999</v>
      </c>
      <c r="S405">
        <f t="shared" si="82"/>
        <v>105.57508109729841</v>
      </c>
      <c r="T405">
        <f t="shared" si="88"/>
        <v>105.57508109729841</v>
      </c>
      <c r="U405" s="3">
        <f t="shared" si="89"/>
        <v>170.33226086449</v>
      </c>
      <c r="V405">
        <f t="shared" si="81"/>
        <v>301</v>
      </c>
      <c r="W405" s="8">
        <f t="shared" si="83"/>
        <v>50.639542893599994</v>
      </c>
      <c r="X405" s="1">
        <f t="shared" si="90"/>
        <v>50.639542893599994</v>
      </c>
      <c r="Y405" s="18"/>
      <c r="Z405" s="7"/>
      <c r="AA405" s="1"/>
      <c r="AB405" s="1"/>
      <c r="AC405" s="1"/>
    </row>
    <row r="406" spans="1:29" x14ac:dyDescent="0.3">
      <c r="A406">
        <v>405</v>
      </c>
      <c r="E406">
        <v>-334.45843303629999</v>
      </c>
      <c r="F406">
        <v>147.27452824845</v>
      </c>
      <c r="G406">
        <v>380.80372162060002</v>
      </c>
      <c r="H406">
        <v>51.257297266961999</v>
      </c>
      <c r="I406">
        <v>-1.768849113516</v>
      </c>
      <c r="J406">
        <v>170.85030275929</v>
      </c>
      <c r="L406" s="1">
        <f t="shared" si="91"/>
        <v>3.455251244362</v>
      </c>
      <c r="M406">
        <f t="shared" si="92"/>
        <v>1438.2603582635138</v>
      </c>
      <c r="N406">
        <f t="shared" si="84"/>
        <v>3.995167661843094</v>
      </c>
      <c r="O406">
        <f t="shared" si="85"/>
        <v>51.257297266961999</v>
      </c>
      <c r="P406">
        <f t="shared" si="86"/>
        <v>352</v>
      </c>
      <c r="Q406">
        <f t="shared" si="93"/>
        <v>102.296455606991</v>
      </c>
      <c r="R406">
        <f t="shared" si="87"/>
        <v>102.296455606991</v>
      </c>
      <c r="S406">
        <f t="shared" si="82"/>
        <v>105.58708778916711</v>
      </c>
      <c r="T406">
        <f t="shared" si="88"/>
        <v>105.58708778916711</v>
      </c>
      <c r="U406" s="3">
        <f t="shared" si="89"/>
        <v>170.85030275929</v>
      </c>
      <c r="V406">
        <f t="shared" si="81"/>
        <v>302</v>
      </c>
      <c r="W406" s="8">
        <f t="shared" si="83"/>
        <v>50.65528811403</v>
      </c>
      <c r="X406" s="1">
        <f t="shared" si="90"/>
        <v>50.65528811403</v>
      </c>
      <c r="Y406" s="18"/>
      <c r="Z406" s="7"/>
      <c r="AA406" s="1"/>
      <c r="AB406" s="1"/>
      <c r="AC406" s="1"/>
    </row>
    <row r="407" spans="1:29" x14ac:dyDescent="0.3">
      <c r="A407">
        <v>406</v>
      </c>
      <c r="E407">
        <v>-333.71289517209999</v>
      </c>
      <c r="F407">
        <v>147.51598935979001</v>
      </c>
      <c r="G407">
        <v>383.84703323705003</v>
      </c>
      <c r="H407">
        <v>51.061772518158001</v>
      </c>
      <c r="I407">
        <v>1.6979547300591999</v>
      </c>
      <c r="J407">
        <v>171.35861080249001</v>
      </c>
      <c r="L407" s="1">
        <f t="shared" si="91"/>
        <v>3.4668038435752</v>
      </c>
      <c r="M407">
        <f t="shared" si="92"/>
        <v>1441.727162107089</v>
      </c>
      <c r="N407">
        <f t="shared" si="84"/>
        <v>4.0047976725196914</v>
      </c>
      <c r="O407">
        <f t="shared" si="85"/>
        <v>51.061772518158001</v>
      </c>
      <c r="P407">
        <f t="shared" si="86"/>
        <v>353</v>
      </c>
      <c r="Q407">
        <f t="shared" si="93"/>
        <v>102.205081260475</v>
      </c>
      <c r="R407">
        <f t="shared" si="87"/>
        <v>102.205081260475</v>
      </c>
      <c r="S407">
        <f t="shared" si="82"/>
        <v>105.5152855955504</v>
      </c>
      <c r="T407">
        <f t="shared" si="88"/>
        <v>105.5152855955504</v>
      </c>
      <c r="U407" s="3">
        <f t="shared" si="89"/>
        <v>171.35861080249001</v>
      </c>
      <c r="V407">
        <f t="shared" si="81"/>
        <v>303</v>
      </c>
      <c r="W407" s="8">
        <f t="shared" si="83"/>
        <v>50.716797472300001</v>
      </c>
      <c r="X407" s="1">
        <f t="shared" si="90"/>
        <v>50.716797472300001</v>
      </c>
      <c r="Y407" s="18"/>
      <c r="Z407" s="7"/>
      <c r="AA407" s="1"/>
      <c r="AB407" s="1"/>
      <c r="AC407" s="1"/>
    </row>
    <row r="408" spans="1:29" x14ac:dyDescent="0.3">
      <c r="A408">
        <v>407</v>
      </c>
      <c r="E408">
        <v>-332.96619960940001</v>
      </c>
      <c r="F408">
        <v>147.63525496349001</v>
      </c>
      <c r="G408">
        <v>386.89736586075003</v>
      </c>
      <c r="H408">
        <v>50.931910651000997</v>
      </c>
      <c r="I408">
        <v>5.1805713468781001</v>
      </c>
      <c r="J408">
        <v>171.86257768710999</v>
      </c>
      <c r="L408" s="1">
        <f t="shared" si="91"/>
        <v>3.4826166168189001</v>
      </c>
      <c r="M408">
        <f t="shared" si="92"/>
        <v>1445.2097787239079</v>
      </c>
      <c r="N408">
        <f t="shared" si="84"/>
        <v>4.0144716075664109</v>
      </c>
      <c r="O408">
        <f t="shared" si="85"/>
        <v>50.931910651000997</v>
      </c>
      <c r="P408">
        <f t="shared" si="86"/>
        <v>354</v>
      </c>
      <c r="Q408">
        <f t="shared" si="93"/>
        <v>102.152494855272</v>
      </c>
      <c r="R408">
        <f t="shared" si="87"/>
        <v>102.152494855272</v>
      </c>
      <c r="S408">
        <f t="shared" si="82"/>
        <v>105.47595755442397</v>
      </c>
      <c r="T408">
        <f t="shared" si="88"/>
        <v>105.47595755442397</v>
      </c>
      <c r="U408" s="3">
        <f t="shared" si="89"/>
        <v>171.86257768710999</v>
      </c>
      <c r="V408">
        <f t="shared" si="81"/>
        <v>304</v>
      </c>
      <c r="W408" s="8">
        <f t="shared" si="83"/>
        <v>50.779101038949989</v>
      </c>
      <c r="X408" s="1">
        <f t="shared" si="90"/>
        <v>50.779101038949989</v>
      </c>
      <c r="Y408" s="18"/>
      <c r="Z408" s="7"/>
      <c r="AA408" s="1"/>
      <c r="AB408" s="1"/>
      <c r="AC408" s="1"/>
    </row>
    <row r="409" spans="1:29" x14ac:dyDescent="0.3">
      <c r="A409">
        <v>408</v>
      </c>
      <c r="E409">
        <v>-332.23567123499998</v>
      </c>
      <c r="F409">
        <v>147.57489784545999</v>
      </c>
      <c r="G409">
        <v>389.95326493532002</v>
      </c>
      <c r="H409">
        <v>50.812068616258998</v>
      </c>
      <c r="I409">
        <v>8.6763603125172004</v>
      </c>
      <c r="J409">
        <v>172.34274750146</v>
      </c>
      <c r="L409" s="1">
        <f t="shared" si="91"/>
        <v>3.4957889656391004</v>
      </c>
      <c r="M409">
        <f t="shared" si="92"/>
        <v>1448.705567689547</v>
      </c>
      <c r="N409">
        <f t="shared" si="84"/>
        <v>4.0241821324709637</v>
      </c>
      <c r="O409">
        <f t="shared" si="85"/>
        <v>50.812068616258998</v>
      </c>
      <c r="P409">
        <f t="shared" si="86"/>
        <v>355</v>
      </c>
      <c r="Q409">
        <f t="shared" si="93"/>
        <v>102.16135607895899</v>
      </c>
      <c r="R409">
        <f t="shared" si="87"/>
        <v>102.16135607895899</v>
      </c>
      <c r="S409">
        <f t="shared" si="82"/>
        <v>105.47945150242731</v>
      </c>
      <c r="T409">
        <f t="shared" si="88"/>
        <v>105.47945150242731</v>
      </c>
      <c r="U409" s="3">
        <f t="shared" si="89"/>
        <v>172.34274750146</v>
      </c>
      <c r="V409">
        <f t="shared" si="81"/>
        <v>305</v>
      </c>
      <c r="W409" s="8">
        <f t="shared" si="83"/>
        <v>50.735302366009989</v>
      </c>
      <c r="X409" s="1">
        <f t="shared" si="90"/>
        <v>50.735302366009989</v>
      </c>
      <c r="Y409" s="18"/>
      <c r="Z409" s="7"/>
      <c r="AA409" s="1"/>
      <c r="AB409" s="1"/>
      <c r="AC409" s="1"/>
    </row>
    <row r="410" spans="1:29" x14ac:dyDescent="0.3">
      <c r="A410">
        <v>409</v>
      </c>
      <c r="E410">
        <v>-331.46176665600001</v>
      </c>
      <c r="F410">
        <v>147.29621613453</v>
      </c>
      <c r="G410">
        <v>392.98588985226002</v>
      </c>
      <c r="H410">
        <v>50.661023439444001</v>
      </c>
      <c r="I410">
        <v>12.172917520946999</v>
      </c>
      <c r="J410">
        <v>172.85917347521999</v>
      </c>
      <c r="L410" s="1">
        <f t="shared" si="91"/>
        <v>3.4965572084297989</v>
      </c>
      <c r="M410">
        <f t="shared" si="92"/>
        <v>1452.2021248979768</v>
      </c>
      <c r="N410">
        <f t="shared" si="84"/>
        <v>4.0338947913832692</v>
      </c>
      <c r="O410">
        <f t="shared" si="85"/>
        <v>50.661023439444001</v>
      </c>
      <c r="P410">
        <f t="shared" si="86"/>
        <v>356</v>
      </c>
      <c r="Q410">
        <f t="shared" si="93"/>
        <v>102.168045961405</v>
      </c>
      <c r="R410">
        <f t="shared" si="87"/>
        <v>102.168045961405</v>
      </c>
      <c r="S410">
        <f t="shared" si="82"/>
        <v>105.4912539612568</v>
      </c>
      <c r="T410">
        <f t="shared" si="88"/>
        <v>105.4912539612568</v>
      </c>
      <c r="U410" s="3">
        <f t="shared" si="89"/>
        <v>172.85917347521999</v>
      </c>
      <c r="V410">
        <f t="shared" si="81"/>
        <v>306</v>
      </c>
      <c r="W410" s="8">
        <f t="shared" si="83"/>
        <v>50.701009893549994</v>
      </c>
      <c r="X410" s="1">
        <f t="shared" si="90"/>
        <v>50.701009893549994</v>
      </c>
      <c r="Y410" s="18"/>
      <c r="Z410" s="7"/>
      <c r="AA410" s="1"/>
      <c r="AB410" s="1"/>
      <c r="AC410" s="1"/>
    </row>
    <row r="411" spans="1:29" x14ac:dyDescent="0.3">
      <c r="A411">
        <v>410</v>
      </c>
      <c r="E411">
        <v>-330.75458321090002</v>
      </c>
      <c r="F411">
        <v>146.87351335182001</v>
      </c>
      <c r="G411">
        <v>396.01875691008001</v>
      </c>
      <c r="H411">
        <v>50.558814562427997</v>
      </c>
      <c r="I411">
        <v>15.693823266540999</v>
      </c>
      <c r="J411">
        <v>173.30331601888</v>
      </c>
      <c r="L411" s="1">
        <f t="shared" si="91"/>
        <v>3.5209057455939998</v>
      </c>
      <c r="M411">
        <f t="shared" si="92"/>
        <v>1455.7230306435708</v>
      </c>
      <c r="N411">
        <f t="shared" si="84"/>
        <v>4.0436750851210297</v>
      </c>
      <c r="O411">
        <f t="shared" si="85"/>
        <v>50.558814562427997</v>
      </c>
      <c r="P411">
        <f t="shared" si="86"/>
        <v>357</v>
      </c>
      <c r="Q411">
        <f t="shared" si="93"/>
        <v>102.258864194175</v>
      </c>
      <c r="R411">
        <f t="shared" si="87"/>
        <v>102.258864194175</v>
      </c>
      <c r="S411">
        <f t="shared" si="82"/>
        <v>105.57283637033737</v>
      </c>
      <c r="T411">
        <f t="shared" si="88"/>
        <v>105.57283637033737</v>
      </c>
      <c r="U411" s="3">
        <f t="shared" si="89"/>
        <v>173.30331601888</v>
      </c>
      <c r="V411">
        <f t="shared" si="81"/>
        <v>307</v>
      </c>
      <c r="W411" s="8">
        <f t="shared" si="83"/>
        <v>50.69188028328</v>
      </c>
      <c r="X411" s="1">
        <f t="shared" si="90"/>
        <v>50.69188028328</v>
      </c>
      <c r="Y411" s="18"/>
      <c r="Z411" s="7"/>
      <c r="AA411" s="1"/>
      <c r="AB411" s="1"/>
      <c r="AC411" s="1"/>
    </row>
    <row r="412" spans="1:29" x14ac:dyDescent="0.3">
      <c r="A412">
        <v>411</v>
      </c>
      <c r="E412">
        <v>-330.01602600130002</v>
      </c>
      <c r="F412">
        <v>146.21819548009</v>
      </c>
      <c r="G412">
        <v>399.00187036170001</v>
      </c>
      <c r="H412">
        <v>50.409341174988</v>
      </c>
      <c r="I412">
        <v>19.216434130555999</v>
      </c>
      <c r="J412">
        <v>173.77330672049999</v>
      </c>
      <c r="L412" s="1">
        <f t="shared" si="91"/>
        <v>3.5226108640150002</v>
      </c>
      <c r="M412">
        <f t="shared" si="92"/>
        <v>1459.2456415075858</v>
      </c>
      <c r="N412">
        <f t="shared" si="84"/>
        <v>4.053460115298849</v>
      </c>
      <c r="O412">
        <f t="shared" si="85"/>
        <v>50.409341174988</v>
      </c>
      <c r="P412">
        <f t="shared" si="86"/>
        <v>358</v>
      </c>
      <c r="Q412">
        <f t="shared" si="93"/>
        <v>102.283238682747</v>
      </c>
      <c r="R412">
        <f t="shared" si="87"/>
        <v>102.283238682747</v>
      </c>
      <c r="S412">
        <f t="shared" si="82"/>
        <v>105.59040578517039</v>
      </c>
      <c r="T412">
        <f t="shared" si="88"/>
        <v>105.59040578517039</v>
      </c>
      <c r="U412" s="3">
        <f t="shared" si="89"/>
        <v>173.77330672049999</v>
      </c>
      <c r="V412">
        <f t="shared" si="81"/>
        <v>308</v>
      </c>
      <c r="W412" s="8">
        <f t="shared" si="83"/>
        <v>50.675666203269984</v>
      </c>
      <c r="X412" s="1">
        <f t="shared" si="90"/>
        <v>50.675666203269984</v>
      </c>
      <c r="Y412" s="18"/>
      <c r="Z412" s="7"/>
      <c r="AA412" s="1"/>
      <c r="AB412" s="1"/>
      <c r="AC412" s="1"/>
    </row>
    <row r="413" spans="1:29" x14ac:dyDescent="0.3">
      <c r="A413">
        <v>412</v>
      </c>
      <c r="E413">
        <v>-329.2311595685</v>
      </c>
      <c r="F413">
        <v>145.35874378904001</v>
      </c>
      <c r="G413">
        <v>401.92106334317998</v>
      </c>
      <c r="H413">
        <v>50.236569078556997</v>
      </c>
      <c r="I413">
        <v>22.741637123057</v>
      </c>
      <c r="J413">
        <v>174.28630584096999</v>
      </c>
      <c r="L413" s="1">
        <f t="shared" si="91"/>
        <v>3.5252029925010007</v>
      </c>
      <c r="M413">
        <f t="shared" si="92"/>
        <v>1462.7708445000867</v>
      </c>
      <c r="N413">
        <f t="shared" si="84"/>
        <v>4.0632523458335745</v>
      </c>
      <c r="O413">
        <f t="shared" si="85"/>
        <v>50.236569078556997</v>
      </c>
      <c r="P413">
        <f t="shared" si="86"/>
        <v>359</v>
      </c>
      <c r="Q413">
        <f t="shared" si="93"/>
        <v>102.22910330954099</v>
      </c>
      <c r="R413">
        <f t="shared" si="87"/>
        <v>102.22910330954099</v>
      </c>
      <c r="S413">
        <f t="shared" si="82"/>
        <v>105.54868358424477</v>
      </c>
      <c r="T413">
        <f t="shared" si="88"/>
        <v>105.54868358424477</v>
      </c>
      <c r="U413" s="3">
        <f t="shared" si="89"/>
        <v>174.28630584096999</v>
      </c>
      <c r="V413">
        <f t="shared" si="81"/>
        <v>309</v>
      </c>
      <c r="W413" s="8">
        <f t="shared" si="83"/>
        <v>50.639247768949986</v>
      </c>
      <c r="X413" s="1">
        <f t="shared" si="90"/>
        <v>50.639247768949986</v>
      </c>
      <c r="Y413" s="18"/>
      <c r="Z413" s="7"/>
      <c r="AA413" s="1"/>
      <c r="AB413" s="1"/>
      <c r="AC413" s="1"/>
    </row>
    <row r="414" spans="1:29" x14ac:dyDescent="0.3">
      <c r="A414">
        <v>413</v>
      </c>
      <c r="E414">
        <v>-328.45181361279998</v>
      </c>
      <c r="F414">
        <v>144.32337350793</v>
      </c>
      <c r="G414">
        <v>404.78404694992003</v>
      </c>
      <c r="H414">
        <v>50.070287317508999</v>
      </c>
      <c r="I414">
        <v>26.280627709122001</v>
      </c>
      <c r="J414">
        <v>174.79121334932</v>
      </c>
      <c r="L414" s="1">
        <f t="shared" si="91"/>
        <v>3.5389905860650011</v>
      </c>
      <c r="M414">
        <f t="shared" si="92"/>
        <v>1466.3098350861517</v>
      </c>
      <c r="N414">
        <f t="shared" si="84"/>
        <v>4.0730828752393098</v>
      </c>
      <c r="O414">
        <f t="shared" si="85"/>
        <v>50.070287317508999</v>
      </c>
      <c r="P414">
        <f t="shared" si="86"/>
        <v>360</v>
      </c>
      <c r="Q414">
        <f t="shared" si="93"/>
        <v>102.212824028833</v>
      </c>
      <c r="R414">
        <f t="shared" si="87"/>
        <v>102.212824028833</v>
      </c>
      <c r="S414">
        <f t="shared" si="82"/>
        <v>105.53747174377654</v>
      </c>
      <c r="T414">
        <f t="shared" si="88"/>
        <v>105.53747174377654</v>
      </c>
      <c r="U414" s="3">
        <f t="shared" si="89"/>
        <v>174.79121334932</v>
      </c>
      <c r="V414">
        <f t="shared" si="81"/>
        <v>310</v>
      </c>
      <c r="W414" s="8">
        <f t="shared" si="83"/>
        <v>50.646369932029998</v>
      </c>
      <c r="X414" s="1">
        <f t="shared" si="90"/>
        <v>50.646369932029998</v>
      </c>
      <c r="Y414" s="18"/>
      <c r="Z414" s="7"/>
      <c r="AA414" s="1"/>
      <c r="AB414" s="1"/>
      <c r="AC414" s="1"/>
    </row>
    <row r="415" spans="1:29" x14ac:dyDescent="0.3">
      <c r="A415">
        <v>414</v>
      </c>
      <c r="E415">
        <v>-327.65489643500001</v>
      </c>
      <c r="F415">
        <v>143.14936196010001</v>
      </c>
      <c r="G415">
        <v>407.58811562970999</v>
      </c>
      <c r="H415">
        <v>49.945128995354999</v>
      </c>
      <c r="I415">
        <v>29.829016136237001</v>
      </c>
      <c r="J415">
        <v>175.31274901668999</v>
      </c>
      <c r="L415" s="1">
        <f t="shared" si="91"/>
        <v>3.5483884271150004</v>
      </c>
      <c r="M415">
        <f t="shared" si="92"/>
        <v>1469.8582235132667</v>
      </c>
      <c r="N415">
        <f t="shared" si="84"/>
        <v>4.0829395097590737</v>
      </c>
      <c r="O415">
        <f t="shared" si="85"/>
        <v>49.945128995354999</v>
      </c>
      <c r="P415">
        <f t="shared" si="86"/>
        <v>361</v>
      </c>
      <c r="Q415">
        <f t="shared" si="93"/>
        <v>102.25077183609</v>
      </c>
      <c r="R415">
        <f t="shared" si="87"/>
        <v>102.25077183609</v>
      </c>
      <c r="S415">
        <f t="shared" si="82"/>
        <v>105.58316109530561</v>
      </c>
      <c r="T415">
        <f t="shared" si="88"/>
        <v>105.58316109530561</v>
      </c>
      <c r="U415" s="3">
        <f t="shared" si="89"/>
        <v>175.31274901668999</v>
      </c>
      <c r="V415">
        <f t="shared" si="81"/>
        <v>311</v>
      </c>
      <c r="W415" s="8">
        <f t="shared" si="83"/>
        <v>50.655152094429994</v>
      </c>
      <c r="X415" s="1">
        <f t="shared" si="90"/>
        <v>50.655152094429994</v>
      </c>
      <c r="Y415" s="18"/>
      <c r="Z415" s="7"/>
      <c r="AA415" s="1"/>
      <c r="AB415" s="1"/>
      <c r="AC415" s="1"/>
    </row>
    <row r="416" spans="1:29" x14ac:dyDescent="0.3">
      <c r="A416">
        <v>415</v>
      </c>
      <c r="E416">
        <v>-326.85774701529999</v>
      </c>
      <c r="F416">
        <v>141.79107015086001</v>
      </c>
      <c r="G416">
        <v>410.30758289338002</v>
      </c>
      <c r="H416">
        <v>49.809332385019999</v>
      </c>
      <c r="I416">
        <v>33.386206196166</v>
      </c>
      <c r="J416">
        <v>175.83386116355001</v>
      </c>
      <c r="L416" s="1">
        <f t="shared" si="91"/>
        <v>3.5571900599289989</v>
      </c>
      <c r="M416">
        <f t="shared" si="92"/>
        <v>1473.4154135731958</v>
      </c>
      <c r="N416">
        <f t="shared" si="84"/>
        <v>4.0928205932588773</v>
      </c>
      <c r="O416">
        <f t="shared" si="85"/>
        <v>49.809332385019999</v>
      </c>
      <c r="P416">
        <f t="shared" si="86"/>
        <v>362</v>
      </c>
      <c r="Q416">
        <f t="shared" si="93"/>
        <v>102.23432757822201</v>
      </c>
      <c r="R416">
        <f t="shared" si="87"/>
        <v>102.23432757822201</v>
      </c>
      <c r="S416">
        <f t="shared" si="82"/>
        <v>105.57189330763633</v>
      </c>
      <c r="T416">
        <f t="shared" si="88"/>
        <v>105.57189330763633</v>
      </c>
      <c r="U416" s="3">
        <f t="shared" si="89"/>
        <v>175.83386116355001</v>
      </c>
      <c r="V416">
        <f t="shared" si="81"/>
        <v>312</v>
      </c>
      <c r="W416" s="8">
        <f t="shared" si="83"/>
        <v>50.670084422240009</v>
      </c>
      <c r="X416" s="1">
        <f t="shared" si="90"/>
        <v>50.670084422240009</v>
      </c>
      <c r="Y416" s="18"/>
      <c r="Z416" s="7"/>
      <c r="AA416" s="1"/>
      <c r="AB416" s="1"/>
      <c r="AC416" s="1"/>
    </row>
    <row r="417" spans="1:29" x14ac:dyDescent="0.3">
      <c r="A417">
        <v>416</v>
      </c>
      <c r="E417">
        <v>-326.08620666339999</v>
      </c>
      <c r="F417">
        <v>140.27791656247999</v>
      </c>
      <c r="G417">
        <v>412.95167413079997</v>
      </c>
      <c r="H417">
        <v>49.694109795098001</v>
      </c>
      <c r="I417">
        <v>36.958232664355997</v>
      </c>
      <c r="J417">
        <v>176.32926043623999</v>
      </c>
      <c r="L417" s="1">
        <f t="shared" si="91"/>
        <v>3.5720264681899963</v>
      </c>
      <c r="M417">
        <f t="shared" si="92"/>
        <v>1476.9874400413858</v>
      </c>
      <c r="N417">
        <f t="shared" si="84"/>
        <v>4.1027428890038493</v>
      </c>
      <c r="O417">
        <f t="shared" si="85"/>
        <v>49.694109795098001</v>
      </c>
      <c r="P417">
        <f t="shared" si="86"/>
        <v>363</v>
      </c>
      <c r="Q417">
        <f t="shared" si="93"/>
        <v>102.22476364435201</v>
      </c>
      <c r="R417">
        <f t="shared" si="87"/>
        <v>102.22476364435201</v>
      </c>
      <c r="S417">
        <f t="shared" si="82"/>
        <v>105.5603124375087</v>
      </c>
      <c r="T417">
        <f t="shared" si="88"/>
        <v>105.5603124375087</v>
      </c>
      <c r="U417" s="3">
        <f t="shared" si="89"/>
        <v>176.32926043623999</v>
      </c>
      <c r="V417">
        <f t="shared" si="81"/>
        <v>313</v>
      </c>
      <c r="W417" s="8">
        <f t="shared" si="83"/>
        <v>50.66202479047999</v>
      </c>
      <c r="X417" s="1">
        <f t="shared" si="90"/>
        <v>50.66202479047999</v>
      </c>
      <c r="Y417" s="18"/>
      <c r="Z417" s="7"/>
      <c r="AA417" s="1"/>
      <c r="AB417" s="1"/>
      <c r="AC417" s="1"/>
    </row>
    <row r="418" spans="1:29" x14ac:dyDescent="0.3">
      <c r="A418">
        <v>417</v>
      </c>
      <c r="E418">
        <v>-325.31797979790002</v>
      </c>
      <c r="F418">
        <v>138.61942841523</v>
      </c>
      <c r="G418">
        <v>415.5081170377</v>
      </c>
      <c r="H418">
        <v>49.602836720420001</v>
      </c>
      <c r="I418">
        <v>40.539008397689003</v>
      </c>
      <c r="J418">
        <v>176.82252072546001</v>
      </c>
      <c r="L418" s="1">
        <f t="shared" si="91"/>
        <v>3.5807757333330059</v>
      </c>
      <c r="M418">
        <f t="shared" si="92"/>
        <v>1480.5682157747187</v>
      </c>
      <c r="N418">
        <f t="shared" si="84"/>
        <v>4.1126894882631078</v>
      </c>
      <c r="O418">
        <f t="shared" si="85"/>
        <v>49.602836720420001</v>
      </c>
      <c r="P418">
        <f t="shared" si="86"/>
        <v>364</v>
      </c>
      <c r="Q418">
        <f t="shared" si="93"/>
        <v>102.260482759122</v>
      </c>
      <c r="R418">
        <f t="shared" si="87"/>
        <v>102.260482759122</v>
      </c>
      <c r="S418">
        <f t="shared" si="82"/>
        <v>105.59741193088477</v>
      </c>
      <c r="T418">
        <f t="shared" si="88"/>
        <v>105.59741193088477</v>
      </c>
      <c r="U418" s="3">
        <f t="shared" si="89"/>
        <v>176.82252072546001</v>
      </c>
      <c r="V418">
        <f t="shared" si="81"/>
        <v>314</v>
      </c>
      <c r="W418" s="8">
        <f t="shared" si="83"/>
        <v>50.665302884550016</v>
      </c>
      <c r="X418" s="1">
        <f t="shared" si="90"/>
        <v>50.665302884550016</v>
      </c>
      <c r="Y418" s="18"/>
      <c r="Z418" s="7"/>
      <c r="AA418" s="1"/>
      <c r="AB418" s="1"/>
      <c r="AC418" s="1"/>
    </row>
    <row r="419" spans="1:29" x14ac:dyDescent="0.3">
      <c r="A419">
        <v>418</v>
      </c>
      <c r="E419">
        <v>-324.55803218800003</v>
      </c>
      <c r="F419">
        <v>136.78028618846</v>
      </c>
      <c r="G419">
        <v>417.94035464415998</v>
      </c>
      <c r="H419">
        <v>49.486372985846003</v>
      </c>
      <c r="I419">
        <v>44.127262550445998</v>
      </c>
      <c r="J419">
        <v>177.31020151057001</v>
      </c>
      <c r="L419" s="1">
        <f t="shared" si="91"/>
        <v>3.5882541527569956</v>
      </c>
      <c r="M419">
        <f t="shared" si="92"/>
        <v>1484.1564699274757</v>
      </c>
      <c r="N419">
        <f t="shared" si="84"/>
        <v>4.1226568609096548</v>
      </c>
      <c r="O419">
        <f t="shared" si="85"/>
        <v>49.486372985846003</v>
      </c>
      <c r="P419">
        <f t="shared" si="86"/>
        <v>366</v>
      </c>
      <c r="Q419">
        <f t="shared" si="93"/>
        <v>102.37033637840801</v>
      </c>
      <c r="R419">
        <f t="shared" si="87"/>
        <v>102.37033637840801</v>
      </c>
      <c r="S419">
        <f t="shared" si="82"/>
        <v>105.62130256341096</v>
      </c>
      <c r="T419">
        <f t="shared" si="88"/>
        <v>105.62130256341096</v>
      </c>
      <c r="U419" s="3">
        <f t="shared" si="89"/>
        <v>177.31020151057001</v>
      </c>
      <c r="V419">
        <f t="shared" si="81"/>
        <v>315</v>
      </c>
      <c r="W419" s="8">
        <f t="shared" si="83"/>
        <v>50.670291161200012</v>
      </c>
      <c r="X419" s="1">
        <f t="shared" si="90"/>
        <v>50.670291161200012</v>
      </c>
      <c r="Y419" s="18"/>
      <c r="Z419" s="7"/>
      <c r="AA419" s="1"/>
      <c r="AB419" s="1"/>
      <c r="AC419" s="1"/>
    </row>
    <row r="420" spans="1:29" x14ac:dyDescent="0.3">
      <c r="A420">
        <v>419</v>
      </c>
      <c r="E420">
        <v>-323.80031246329997</v>
      </c>
      <c r="F420">
        <v>134.82196858133</v>
      </c>
      <c r="G420">
        <v>420.27843785261001</v>
      </c>
      <c r="H420">
        <v>49.412648758322</v>
      </c>
      <c r="I420">
        <v>47.723848275839998</v>
      </c>
      <c r="J420">
        <v>177.79840177359</v>
      </c>
      <c r="L420" s="1">
        <f t="shared" si="91"/>
        <v>3.5965857253940001</v>
      </c>
      <c r="M420">
        <f t="shared" si="92"/>
        <v>1487.7530556528698</v>
      </c>
      <c r="N420">
        <f t="shared" si="84"/>
        <v>4.1326473768135275</v>
      </c>
      <c r="O420">
        <f t="shared" si="85"/>
        <v>49.412648758322</v>
      </c>
      <c r="P420">
        <f t="shared" si="86"/>
        <v>367</v>
      </c>
      <c r="Q420">
        <f t="shared" si="93"/>
        <v>102.390090179748</v>
      </c>
      <c r="R420">
        <f t="shared" si="87"/>
        <v>102.390090179748</v>
      </c>
      <c r="S420">
        <f t="shared" si="82"/>
        <v>105.63675925228507</v>
      </c>
      <c r="T420">
        <f t="shared" si="88"/>
        <v>105.63675925228507</v>
      </c>
      <c r="U420" s="3">
        <f t="shared" si="89"/>
        <v>177.79840177359</v>
      </c>
      <c r="V420">
        <f t="shared" si="81"/>
        <v>316</v>
      </c>
      <c r="W420" s="8">
        <f t="shared" si="83"/>
        <v>50.662165177420007</v>
      </c>
      <c r="X420" s="1">
        <f t="shared" si="90"/>
        <v>50.662165177420007</v>
      </c>
      <c r="Y420" s="18"/>
      <c r="Z420" s="7"/>
      <c r="AA420" s="1"/>
      <c r="AB420" s="1"/>
      <c r="AC420" s="1"/>
    </row>
    <row r="421" spans="1:29" x14ac:dyDescent="0.3">
      <c r="A421">
        <v>420</v>
      </c>
      <c r="E421">
        <v>-323.03284436270002</v>
      </c>
      <c r="F421">
        <v>132.71548411118999</v>
      </c>
      <c r="G421">
        <v>422.48063043904</v>
      </c>
      <c r="H421">
        <v>49.333081113511</v>
      </c>
      <c r="I421">
        <v>51.323169114526003</v>
      </c>
      <c r="J421">
        <v>178.30122522075999</v>
      </c>
      <c r="L421" s="1">
        <f t="shared" si="91"/>
        <v>3.5993208386860047</v>
      </c>
      <c r="M421">
        <f t="shared" si="92"/>
        <v>1491.3523764915558</v>
      </c>
      <c r="N421">
        <f t="shared" si="84"/>
        <v>4.1426454902543215</v>
      </c>
      <c r="O421">
        <f t="shared" si="85"/>
        <v>49.333081113511</v>
      </c>
      <c r="P421">
        <f t="shared" si="86"/>
        <v>368</v>
      </c>
      <c r="Q421">
        <f t="shared" si="93"/>
        <v>102.41387824872399</v>
      </c>
      <c r="R421">
        <f t="shared" si="87"/>
        <v>102.41387824872399</v>
      </c>
      <c r="S421">
        <f t="shared" si="82"/>
        <v>105.66380961276067</v>
      </c>
      <c r="T421">
        <f t="shared" si="88"/>
        <v>105.66380961276067</v>
      </c>
      <c r="U421" s="3">
        <f t="shared" si="89"/>
        <v>178.30122522075999</v>
      </c>
      <c r="V421">
        <f t="shared" si="81"/>
        <v>317</v>
      </c>
      <c r="W421" s="8">
        <f t="shared" si="83"/>
        <v>50.655859111569995</v>
      </c>
      <c r="X421" s="1">
        <f t="shared" si="90"/>
        <v>50.655859111569995</v>
      </c>
      <c r="Y421" s="18"/>
      <c r="Z421" s="7"/>
      <c r="AA421" s="1"/>
      <c r="AB421" s="1"/>
      <c r="AC421" s="1"/>
    </row>
    <row r="422" spans="1:29" x14ac:dyDescent="0.3">
      <c r="A422">
        <v>421</v>
      </c>
      <c r="E422">
        <v>-322.29468206939998</v>
      </c>
      <c r="F422">
        <v>130.44800549316</v>
      </c>
      <c r="G422">
        <v>424.52762278071998</v>
      </c>
      <c r="H422">
        <v>49.224319386868999</v>
      </c>
      <c r="I422">
        <v>54.932730550530998</v>
      </c>
      <c r="J422">
        <v>178.78080556255</v>
      </c>
      <c r="L422" s="1">
        <f t="shared" si="91"/>
        <v>3.609561436004995</v>
      </c>
      <c r="M422">
        <f t="shared" si="92"/>
        <v>1494.9619379275607</v>
      </c>
      <c r="N422">
        <f t="shared" si="84"/>
        <v>4.1526720497987801</v>
      </c>
      <c r="O422">
        <f t="shared" si="85"/>
        <v>49.224319386868999</v>
      </c>
      <c r="P422">
        <f t="shared" si="86"/>
        <v>369</v>
      </c>
      <c r="Q422">
        <f t="shared" si="93"/>
        <v>102.40533838274</v>
      </c>
      <c r="R422">
        <f t="shared" si="87"/>
        <v>102.40533838274</v>
      </c>
      <c r="S422">
        <f t="shared" si="82"/>
        <v>105.65290056384075</v>
      </c>
      <c r="T422">
        <f t="shared" si="88"/>
        <v>105.65290056384075</v>
      </c>
      <c r="U422" s="3">
        <f t="shared" si="89"/>
        <v>178.78080556255</v>
      </c>
      <c r="V422">
        <f t="shared" si="81"/>
        <v>318</v>
      </c>
      <c r="W422" s="8">
        <f t="shared" si="83"/>
        <v>50.642011965709997</v>
      </c>
      <c r="X422" s="1">
        <f t="shared" si="90"/>
        <v>50.642011965709997</v>
      </c>
      <c r="Y422" s="18"/>
      <c r="Z422" s="7"/>
      <c r="AA422" s="1"/>
      <c r="AB422" s="1"/>
      <c r="AC422" s="1"/>
    </row>
    <row r="423" spans="1:29" x14ac:dyDescent="0.3">
      <c r="A423">
        <v>422</v>
      </c>
      <c r="E423">
        <v>-321.56352748720002</v>
      </c>
      <c r="F423">
        <v>128.05812863417</v>
      </c>
      <c r="G423">
        <v>426.43284284379001</v>
      </c>
      <c r="H423">
        <v>49.123983445571</v>
      </c>
      <c r="I423">
        <v>58.550294106098001</v>
      </c>
      <c r="J423">
        <v>179.25983204729999</v>
      </c>
      <c r="L423" s="1">
        <f t="shared" si="91"/>
        <v>3.6175635555670027</v>
      </c>
      <c r="M423">
        <f t="shared" si="92"/>
        <v>1498.5795014831276</v>
      </c>
      <c r="N423">
        <f t="shared" si="84"/>
        <v>4.1627208374531319</v>
      </c>
      <c r="O423">
        <f t="shared" si="85"/>
        <v>49.123983445571</v>
      </c>
      <c r="P423">
        <f t="shared" si="86"/>
        <v>370</v>
      </c>
      <c r="Q423">
        <f t="shared" si="93"/>
        <v>102.37352737933099</v>
      </c>
      <c r="R423">
        <f t="shared" si="87"/>
        <v>102.37352737933099</v>
      </c>
      <c r="S423">
        <f t="shared" si="82"/>
        <v>105.61916469472142</v>
      </c>
      <c r="T423">
        <f t="shared" si="88"/>
        <v>105.61916469472142</v>
      </c>
      <c r="U423" s="3">
        <f t="shared" si="89"/>
        <v>179.25983204729999</v>
      </c>
      <c r="V423">
        <f t="shared" si="81"/>
        <v>319</v>
      </c>
      <c r="W423" s="8">
        <f t="shared" si="83"/>
        <v>50.635389801239995</v>
      </c>
      <c r="X423" s="1">
        <f t="shared" si="90"/>
        <v>50.635389801239995</v>
      </c>
      <c r="Y423" s="18"/>
      <c r="Z423" s="7"/>
      <c r="AA423" s="1"/>
      <c r="AB423" s="1"/>
      <c r="AC423" s="1"/>
    </row>
    <row r="424" spans="1:29" x14ac:dyDescent="0.3">
      <c r="A424">
        <v>423</v>
      </c>
      <c r="E424">
        <v>-320.8317643821</v>
      </c>
      <c r="F424">
        <v>125.55831850926</v>
      </c>
      <c r="G424">
        <v>428.19125096471998</v>
      </c>
      <c r="H424">
        <v>49.036648659394999</v>
      </c>
      <c r="I424">
        <v>62.173898386993002</v>
      </c>
      <c r="J424">
        <v>179.74679721397001</v>
      </c>
      <c r="L424" s="1">
        <f t="shared" si="91"/>
        <v>3.6236042808950018</v>
      </c>
      <c r="M424">
        <f t="shared" si="92"/>
        <v>1502.2031057640227</v>
      </c>
      <c r="N424">
        <f t="shared" si="84"/>
        <v>4.1727864049000631</v>
      </c>
      <c r="O424">
        <f t="shared" si="85"/>
        <v>49.036648659394999</v>
      </c>
      <c r="P424">
        <f t="shared" si="86"/>
        <v>371</v>
      </c>
      <c r="Q424">
        <f t="shared" si="93"/>
        <v>102.353829699451</v>
      </c>
      <c r="R424">
        <f t="shared" si="87"/>
        <v>102.353829699451</v>
      </c>
      <c r="S424">
        <f t="shared" si="82"/>
        <v>105.59577017859355</v>
      </c>
      <c r="T424">
        <f t="shared" si="88"/>
        <v>105.59577017859355</v>
      </c>
      <c r="U424" s="3">
        <f t="shared" si="89"/>
        <v>179.74679721397001</v>
      </c>
      <c r="V424">
        <f t="shared" si="81"/>
        <v>320</v>
      </c>
      <c r="W424" s="8">
        <f t="shared" si="83"/>
        <v>50.634573976590019</v>
      </c>
      <c r="X424" s="1">
        <f t="shared" si="90"/>
        <v>50.634573976590019</v>
      </c>
      <c r="Y424" s="18"/>
      <c r="Z424" s="7"/>
      <c r="AA424" s="1"/>
      <c r="AB424" s="1"/>
      <c r="AC424" s="1"/>
    </row>
    <row r="425" spans="1:29" x14ac:dyDescent="0.3">
      <c r="A425">
        <v>424</v>
      </c>
      <c r="E425">
        <v>-320.11023518190001</v>
      </c>
      <c r="F425">
        <v>122.95718128788</v>
      </c>
      <c r="G425">
        <v>429.80035403071997</v>
      </c>
      <c r="H425">
        <v>48.965110577597002</v>
      </c>
      <c r="I425">
        <v>65.804125078737002</v>
      </c>
      <c r="J425">
        <v>180.23144956256999</v>
      </c>
      <c r="L425" s="1">
        <f t="shared" si="91"/>
        <v>3.6302266917439994</v>
      </c>
      <c r="M425">
        <f t="shared" si="92"/>
        <v>1505.8333324557666</v>
      </c>
      <c r="N425">
        <f t="shared" si="84"/>
        <v>4.1828703679326846</v>
      </c>
      <c r="O425">
        <f t="shared" si="85"/>
        <v>48.965110577597002</v>
      </c>
      <c r="P425">
        <f t="shared" si="86"/>
        <v>372</v>
      </c>
      <c r="Q425">
        <f t="shared" si="93"/>
        <v>102.35386949171</v>
      </c>
      <c r="R425">
        <f t="shared" si="87"/>
        <v>102.35386949171</v>
      </c>
      <c r="S425">
        <f t="shared" si="82"/>
        <v>105.59097351460397</v>
      </c>
      <c r="T425">
        <f t="shared" si="88"/>
        <v>105.59097351460397</v>
      </c>
      <c r="U425" s="3">
        <f t="shared" si="89"/>
        <v>180.23144956256999</v>
      </c>
      <c r="V425">
        <f t="shared" si="81"/>
        <v>321</v>
      </c>
      <c r="W425" s="8">
        <f t="shared" si="83"/>
        <v>50.62317690467998</v>
      </c>
      <c r="X425" s="1">
        <f t="shared" si="90"/>
        <v>50.62317690467998</v>
      </c>
      <c r="Y425" s="18"/>
      <c r="Z425" s="7"/>
      <c r="AA425" s="1"/>
      <c r="AB425" s="1"/>
      <c r="AC425" s="1"/>
    </row>
    <row r="426" spans="1:29" x14ac:dyDescent="0.3">
      <c r="A426">
        <v>425</v>
      </c>
      <c r="E426">
        <v>-319.39889407539999</v>
      </c>
      <c r="F426">
        <v>120.25928143402</v>
      </c>
      <c r="G426">
        <v>431.24638417800998</v>
      </c>
      <c r="H426">
        <v>48.900530350907999</v>
      </c>
      <c r="I426">
        <v>69.439748973809998</v>
      </c>
      <c r="J426">
        <v>180.71512261780001</v>
      </c>
      <c r="L426" s="1">
        <f t="shared" si="91"/>
        <v>3.635623895072996</v>
      </c>
      <c r="M426">
        <f t="shared" si="92"/>
        <v>1509.4689563508396</v>
      </c>
      <c r="N426">
        <f t="shared" si="84"/>
        <v>4.1929693231967766</v>
      </c>
      <c r="O426">
        <f t="shared" si="85"/>
        <v>48.900530350907999</v>
      </c>
      <c r="P426">
        <f t="shared" si="86"/>
        <v>373</v>
      </c>
      <c r="Q426">
        <f t="shared" si="93"/>
        <v>102.351581555883</v>
      </c>
      <c r="R426">
        <f t="shared" si="87"/>
        <v>102.351581555883</v>
      </c>
      <c r="S426">
        <f t="shared" si="82"/>
        <v>105.58391679950405</v>
      </c>
      <c r="T426">
        <f t="shared" si="88"/>
        <v>105.58391679950405</v>
      </c>
      <c r="U426" s="3">
        <f t="shared" si="89"/>
        <v>180.71512261780001</v>
      </c>
      <c r="V426">
        <f t="shared" si="81"/>
        <v>322</v>
      </c>
      <c r="W426" s="8">
        <f t="shared" si="83"/>
        <v>50.60988133056</v>
      </c>
      <c r="X426" s="1">
        <f t="shared" si="90"/>
        <v>50.60988133056</v>
      </c>
      <c r="Y426" s="18"/>
      <c r="Z426" s="7"/>
      <c r="AA426" s="1"/>
      <c r="AB426" s="1"/>
      <c r="AC426" s="1"/>
    </row>
    <row r="427" spans="1:29" x14ac:dyDescent="0.3">
      <c r="A427">
        <v>426</v>
      </c>
      <c r="E427">
        <v>-318.68981707199998</v>
      </c>
      <c r="F427">
        <v>117.47617169045</v>
      </c>
      <c r="G427">
        <v>432.52240159408001</v>
      </c>
      <c r="H427">
        <v>48.843017519594</v>
      </c>
      <c r="I427">
        <v>73.078812350177998</v>
      </c>
      <c r="J427">
        <v>181.20673094387001</v>
      </c>
      <c r="L427" s="1">
        <f t="shared" si="91"/>
        <v>3.639063376368</v>
      </c>
      <c r="M427">
        <f t="shared" si="92"/>
        <v>1513.1080197272076</v>
      </c>
      <c r="N427">
        <f t="shared" si="84"/>
        <v>4.2030778325755769</v>
      </c>
      <c r="O427">
        <f t="shared" si="85"/>
        <v>48.843017519594</v>
      </c>
      <c r="P427">
        <f t="shared" si="86"/>
        <v>374</v>
      </c>
      <c r="Q427">
        <f t="shared" si="93"/>
        <v>102.352075119293</v>
      </c>
      <c r="R427">
        <f t="shared" si="87"/>
        <v>102.352075119293</v>
      </c>
      <c r="S427">
        <f t="shared" si="82"/>
        <v>105.58157768570216</v>
      </c>
      <c r="T427">
        <f t="shared" si="88"/>
        <v>105.58157768570216</v>
      </c>
      <c r="U427" s="3">
        <f t="shared" si="89"/>
        <v>181.20673094387001</v>
      </c>
      <c r="V427">
        <f t="shared" si="81"/>
        <v>323</v>
      </c>
      <c r="W427" s="8">
        <f t="shared" si="83"/>
        <v>50.606049258110005</v>
      </c>
      <c r="X427" s="1">
        <f t="shared" si="90"/>
        <v>50.606049258110005</v>
      </c>
      <c r="Y427" s="18"/>
      <c r="Z427" s="7"/>
      <c r="AA427" s="1"/>
      <c r="AB427" s="1"/>
      <c r="AC427" s="1"/>
    </row>
    <row r="428" spans="1:29" x14ac:dyDescent="0.3">
      <c r="A428">
        <v>427</v>
      </c>
      <c r="E428">
        <v>-317.98343696810002</v>
      </c>
      <c r="F428">
        <v>114.62370393041</v>
      </c>
      <c r="G428">
        <v>433.63621789996</v>
      </c>
      <c r="H428">
        <v>48.806416606470997</v>
      </c>
      <c r="I428">
        <v>76.720237646276004</v>
      </c>
      <c r="J428">
        <v>181.70585699793</v>
      </c>
      <c r="L428" s="1">
        <f t="shared" si="91"/>
        <v>3.6414252960980065</v>
      </c>
      <c r="M428">
        <f t="shared" si="92"/>
        <v>1516.7494450233057</v>
      </c>
      <c r="N428">
        <f t="shared" si="84"/>
        <v>4.2131929028425157</v>
      </c>
      <c r="O428">
        <f t="shared" si="85"/>
        <v>48.806416606470997</v>
      </c>
      <c r="P428">
        <f t="shared" si="86"/>
        <v>375</v>
      </c>
      <c r="Q428">
        <f t="shared" si="93"/>
        <v>102.369706741475</v>
      </c>
      <c r="R428">
        <f t="shared" si="87"/>
        <v>102.369706741475</v>
      </c>
      <c r="S428">
        <f t="shared" si="82"/>
        <v>105.59545323641835</v>
      </c>
      <c r="T428">
        <f t="shared" si="88"/>
        <v>105.59545323641835</v>
      </c>
      <c r="U428" s="3">
        <f t="shared" si="89"/>
        <v>181.70585699793</v>
      </c>
      <c r="V428">
        <f t="shared" si="81"/>
        <v>324</v>
      </c>
      <c r="W428" s="8">
        <f t="shared" si="83"/>
        <v>50.608864290669999</v>
      </c>
      <c r="X428" s="1">
        <f t="shared" si="90"/>
        <v>50.608864290669999</v>
      </c>
      <c r="Y428" s="18"/>
      <c r="Z428" s="7"/>
      <c r="AA428" s="1"/>
      <c r="AB428" s="1"/>
      <c r="AC428" s="1"/>
    </row>
    <row r="429" spans="1:29" x14ac:dyDescent="0.3">
      <c r="A429">
        <v>428</v>
      </c>
      <c r="E429">
        <v>-317.29781136560001</v>
      </c>
      <c r="F429">
        <v>111.70083737102</v>
      </c>
      <c r="G429">
        <v>434.56505375478997</v>
      </c>
      <c r="H429">
        <v>48.768305600037998</v>
      </c>
      <c r="I429">
        <v>80.366026301418003</v>
      </c>
      <c r="J429">
        <v>182.19630014436001</v>
      </c>
      <c r="L429" s="1">
        <f t="shared" si="91"/>
        <v>3.6457886551419989</v>
      </c>
      <c r="M429">
        <f t="shared" si="92"/>
        <v>1520.3952336784478</v>
      </c>
      <c r="N429">
        <f t="shared" si="84"/>
        <v>4.2233200935512434</v>
      </c>
      <c r="O429">
        <f t="shared" si="85"/>
        <v>48.768305600037998</v>
      </c>
      <c r="P429">
        <f t="shared" si="86"/>
        <v>376</v>
      </c>
      <c r="Q429">
        <f t="shared" si="93"/>
        <v>102.374074773009</v>
      </c>
      <c r="R429">
        <f t="shared" si="87"/>
        <v>102.374074773009</v>
      </c>
      <c r="S429">
        <f t="shared" si="82"/>
        <v>105.59487018192871</v>
      </c>
      <c r="T429">
        <f t="shared" si="88"/>
        <v>105.59487018192871</v>
      </c>
      <c r="U429" s="3">
        <f t="shared" si="89"/>
        <v>182.19630014436001</v>
      </c>
      <c r="V429">
        <f t="shared" si="81"/>
        <v>325</v>
      </c>
      <c r="W429" s="8">
        <f t="shared" si="83"/>
        <v>50.603324896920014</v>
      </c>
      <c r="X429" s="1">
        <f t="shared" si="90"/>
        <v>50.603324896920014</v>
      </c>
      <c r="Y429" s="18"/>
      <c r="Z429" s="7"/>
      <c r="AA429" s="1"/>
      <c r="AB429" s="1"/>
      <c r="AC429" s="1"/>
    </row>
    <row r="430" spans="1:29" x14ac:dyDescent="0.3">
      <c r="A430">
        <v>429</v>
      </c>
      <c r="E430">
        <v>-316.62458230840002</v>
      </c>
      <c r="F430">
        <v>108.7239696084</v>
      </c>
      <c r="G430">
        <v>435.31418236990999</v>
      </c>
      <c r="H430">
        <v>48.739706194588003</v>
      </c>
      <c r="I430">
        <v>84.014491246880993</v>
      </c>
      <c r="J430">
        <v>182.68662363025999</v>
      </c>
      <c r="L430" s="1">
        <f t="shared" si="91"/>
        <v>3.6484649454629903</v>
      </c>
      <c r="M430">
        <f t="shared" si="92"/>
        <v>1524.0436986239108</v>
      </c>
      <c r="N430">
        <f t="shared" si="84"/>
        <v>4.2334547183997522</v>
      </c>
      <c r="O430">
        <f t="shared" si="85"/>
        <v>48.739706194588003</v>
      </c>
      <c r="P430">
        <f t="shared" si="86"/>
        <v>378</v>
      </c>
      <c r="Q430">
        <f t="shared" si="93"/>
        <v>102.39461365073601</v>
      </c>
      <c r="R430">
        <f t="shared" si="87"/>
        <v>102.39461365073601</v>
      </c>
      <c r="S430">
        <f t="shared" si="82"/>
        <v>105.52952242910781</v>
      </c>
      <c r="T430">
        <f t="shared" si="88"/>
        <v>105.52952242910781</v>
      </c>
      <c r="U430" s="3">
        <f t="shared" si="89"/>
        <v>182.68662363025999</v>
      </c>
      <c r="V430">
        <f t="shared" si="81"/>
        <v>326</v>
      </c>
      <c r="W430" s="8">
        <f t="shared" si="83"/>
        <v>50.588799940789983</v>
      </c>
      <c r="X430" s="1">
        <f t="shared" si="90"/>
        <v>50.588799940789983</v>
      </c>
      <c r="Y430" s="18"/>
      <c r="Z430" s="7"/>
      <c r="AA430" s="1"/>
      <c r="AB430" s="1"/>
      <c r="AC430" s="1"/>
    </row>
    <row r="431" spans="1:29" x14ac:dyDescent="0.3">
      <c r="A431">
        <v>430</v>
      </c>
      <c r="E431">
        <v>-315.95816445370002</v>
      </c>
      <c r="F431">
        <v>105.7061909965</v>
      </c>
      <c r="G431">
        <v>435.88357862126003</v>
      </c>
      <c r="H431">
        <v>48.72438179025</v>
      </c>
      <c r="I431">
        <v>87.663431467506996</v>
      </c>
      <c r="J431">
        <v>183.18292054955</v>
      </c>
      <c r="L431" s="1">
        <f t="shared" si="91"/>
        <v>3.6489402206260024</v>
      </c>
      <c r="M431">
        <f t="shared" si="92"/>
        <v>1527.6926388445368</v>
      </c>
      <c r="N431">
        <f t="shared" si="84"/>
        <v>4.2435906634570468</v>
      </c>
      <c r="O431">
        <f t="shared" si="85"/>
        <v>48.72438179025</v>
      </c>
      <c r="P431">
        <f t="shared" si="86"/>
        <v>379</v>
      </c>
      <c r="Q431">
        <f t="shared" si="93"/>
        <v>102.38841986032401</v>
      </c>
      <c r="R431">
        <f t="shared" si="87"/>
        <v>102.38841986032401</v>
      </c>
      <c r="S431">
        <f t="shared" si="82"/>
        <v>105.5247037603452</v>
      </c>
      <c r="T431">
        <f t="shared" si="88"/>
        <v>105.5247037603452</v>
      </c>
      <c r="U431" s="3">
        <f t="shared" si="89"/>
        <v>183.18292054955</v>
      </c>
      <c r="V431">
        <f t="shared" si="81"/>
        <v>327</v>
      </c>
      <c r="W431" s="8">
        <f t="shared" si="83"/>
        <v>50.587619842500004</v>
      </c>
      <c r="X431" s="1">
        <f t="shared" si="90"/>
        <v>50.587619842500004</v>
      </c>
      <c r="Y431" s="18"/>
      <c r="Z431" s="7"/>
      <c r="AA431" s="1"/>
      <c r="AB431" s="1"/>
      <c r="AC431" s="1"/>
    </row>
    <row r="432" spans="1:29" x14ac:dyDescent="0.3">
      <c r="A432">
        <v>431</v>
      </c>
      <c r="E432">
        <v>-315.31786730149997</v>
      </c>
      <c r="F432">
        <v>102.65242631813</v>
      </c>
      <c r="G432">
        <v>436.25785685712998</v>
      </c>
      <c r="H432">
        <v>48.707025872260999</v>
      </c>
      <c r="I432">
        <v>91.315825714886003</v>
      </c>
      <c r="J432">
        <v>183.66739145683999</v>
      </c>
      <c r="L432" s="1">
        <f t="shared" si="91"/>
        <v>3.6523942473790072</v>
      </c>
      <c r="M432">
        <f t="shared" si="92"/>
        <v>1531.3450330919159</v>
      </c>
      <c r="N432">
        <f t="shared" si="84"/>
        <v>4.2537362030330996</v>
      </c>
      <c r="O432">
        <f t="shared" si="85"/>
        <v>48.707025872260999</v>
      </c>
      <c r="P432">
        <f t="shared" si="86"/>
        <v>380</v>
      </c>
      <c r="Q432">
        <f t="shared" si="93"/>
        <v>102.374980128047</v>
      </c>
      <c r="R432">
        <f t="shared" si="87"/>
        <v>102.374980128047</v>
      </c>
      <c r="S432">
        <f t="shared" si="82"/>
        <v>105.50993278821068</v>
      </c>
      <c r="T432">
        <f t="shared" si="88"/>
        <v>105.50993278821068</v>
      </c>
      <c r="U432" s="3">
        <f t="shared" si="89"/>
        <v>183.66739145683999</v>
      </c>
      <c r="V432">
        <f t="shared" si="81"/>
        <v>328</v>
      </c>
      <c r="W432" s="8">
        <f t="shared" si="83"/>
        <v>50.580553267219983</v>
      </c>
      <c r="X432" s="1">
        <f t="shared" si="90"/>
        <v>50.580553267219983</v>
      </c>
      <c r="Y432" s="18"/>
      <c r="Z432" s="7"/>
      <c r="AA432" s="1"/>
      <c r="AB432" s="1"/>
      <c r="AC432" s="1"/>
    </row>
    <row r="433" spans="1:29" x14ac:dyDescent="0.3">
      <c r="A433">
        <v>432</v>
      </c>
      <c r="E433">
        <v>-314.6621329482</v>
      </c>
      <c r="F433">
        <v>99.585101065447006</v>
      </c>
      <c r="G433">
        <v>436.45219446003</v>
      </c>
      <c r="H433">
        <v>48.708648458629</v>
      </c>
      <c r="I433">
        <v>94.963460447825</v>
      </c>
      <c r="J433">
        <v>184.18111486445</v>
      </c>
      <c r="L433" s="1">
        <f t="shared" si="91"/>
        <v>3.6476347329389966</v>
      </c>
      <c r="M433">
        <f t="shared" si="92"/>
        <v>1534.9926678248548</v>
      </c>
      <c r="N433">
        <f t="shared" si="84"/>
        <v>4.2638685217357075</v>
      </c>
      <c r="O433">
        <f t="shared" si="85"/>
        <v>48.708648458629</v>
      </c>
      <c r="P433">
        <f t="shared" si="86"/>
        <v>381</v>
      </c>
      <c r="Q433">
        <f t="shared" si="93"/>
        <v>102.37382000228601</v>
      </c>
      <c r="R433">
        <f t="shared" si="87"/>
        <v>102.37382000228601</v>
      </c>
      <c r="S433">
        <f t="shared" si="82"/>
        <v>105.51400938519903</v>
      </c>
      <c r="T433">
        <f t="shared" si="88"/>
        <v>105.51400938519903</v>
      </c>
      <c r="U433" s="3">
        <f t="shared" si="89"/>
        <v>184.18111486445</v>
      </c>
      <c r="V433">
        <f t="shared" ref="V433:V496" si="94">IFERROR(MATCH(N433-1,N:N,1),0)</f>
        <v>329</v>
      </c>
      <c r="W433" s="8">
        <f t="shared" si="83"/>
        <v>50.604744111599985</v>
      </c>
      <c r="X433" s="1">
        <f t="shared" si="90"/>
        <v>50.604744111599985</v>
      </c>
      <c r="Y433" s="18"/>
      <c r="Z433" s="7"/>
      <c r="AA433" s="1"/>
      <c r="AB433" s="1"/>
      <c r="AC433" s="1"/>
    </row>
    <row r="434" spans="1:29" x14ac:dyDescent="0.3">
      <c r="A434">
        <v>433</v>
      </c>
      <c r="E434">
        <v>-314.05855860610001</v>
      </c>
      <c r="F434">
        <v>96.501062447853997</v>
      </c>
      <c r="G434">
        <v>436.46638602781002</v>
      </c>
      <c r="H434">
        <v>48.723733455762002</v>
      </c>
      <c r="I434">
        <v>98.617504417907</v>
      </c>
      <c r="J434">
        <v>184.65665558846999</v>
      </c>
      <c r="L434" s="1">
        <f t="shared" si="91"/>
        <v>3.6540439700820002</v>
      </c>
      <c r="M434">
        <f t="shared" si="92"/>
        <v>1538.6467117949369</v>
      </c>
      <c r="N434">
        <f t="shared" si="84"/>
        <v>4.2740186438748244</v>
      </c>
      <c r="O434">
        <f t="shared" si="85"/>
        <v>48.723733455762002</v>
      </c>
      <c r="P434">
        <f t="shared" si="86"/>
        <v>382</v>
      </c>
      <c r="Q434">
        <f t="shared" si="93"/>
        <v>102.384306777595</v>
      </c>
      <c r="R434">
        <f t="shared" si="87"/>
        <v>102.384306777595</v>
      </c>
      <c r="S434">
        <f t="shared" si="82"/>
        <v>105.52000467892402</v>
      </c>
      <c r="T434">
        <f t="shared" si="88"/>
        <v>105.52000467892402</v>
      </c>
      <c r="U434" s="3">
        <f t="shared" si="89"/>
        <v>184.65665558846999</v>
      </c>
      <c r="V434">
        <f t="shared" si="94"/>
        <v>330</v>
      </c>
      <c r="W434" s="8">
        <f t="shared" si="83"/>
        <v>50.606052659359989</v>
      </c>
      <c r="X434" s="1">
        <f t="shared" si="90"/>
        <v>50.606052659359989</v>
      </c>
      <c r="Y434" s="18"/>
      <c r="Z434" s="7"/>
      <c r="AA434" s="1"/>
      <c r="AB434" s="1"/>
      <c r="AC434" s="1"/>
    </row>
    <row r="435" spans="1:29" x14ac:dyDescent="0.3">
      <c r="A435">
        <v>434</v>
      </c>
      <c r="E435">
        <v>-313.45305012040001</v>
      </c>
      <c r="F435">
        <v>93.422519938651007</v>
      </c>
      <c r="G435">
        <v>436.28637344734</v>
      </c>
      <c r="H435">
        <v>48.743215696476</v>
      </c>
      <c r="I435">
        <v>102.26709933530999</v>
      </c>
      <c r="J435">
        <v>185.14991273191001</v>
      </c>
      <c r="L435" s="1">
        <f t="shared" si="91"/>
        <v>3.6495949174029931</v>
      </c>
      <c r="M435">
        <f t="shared" si="92"/>
        <v>1542.2963067123399</v>
      </c>
      <c r="N435">
        <f t="shared" si="84"/>
        <v>4.2841564075342777</v>
      </c>
      <c r="O435">
        <f t="shared" si="85"/>
        <v>48.743215696476</v>
      </c>
      <c r="P435">
        <f t="shared" si="86"/>
        <v>383</v>
      </c>
      <c r="Q435">
        <f t="shared" si="93"/>
        <v>102.382407994692</v>
      </c>
      <c r="R435">
        <f t="shared" si="87"/>
        <v>102.382407994692</v>
      </c>
      <c r="S435">
        <f t="shared" si="82"/>
        <v>105.51207143136851</v>
      </c>
      <c r="T435">
        <f t="shared" si="88"/>
        <v>105.51207143136851</v>
      </c>
      <c r="U435" s="3">
        <f t="shared" si="89"/>
        <v>185.14991273191001</v>
      </c>
      <c r="V435">
        <f t="shared" si="94"/>
        <v>331</v>
      </c>
      <c r="W435" s="8">
        <f t="shared" si="83"/>
        <v>50.622517761830011</v>
      </c>
      <c r="X435" s="1">
        <f t="shared" si="90"/>
        <v>50.622517761830011</v>
      </c>
      <c r="Y435" s="18"/>
      <c r="Z435" s="7"/>
      <c r="AA435" s="1"/>
      <c r="AB435" s="1"/>
      <c r="AC435" s="1"/>
    </row>
    <row r="436" spans="1:29" x14ac:dyDescent="0.3">
      <c r="A436">
        <v>435</v>
      </c>
      <c r="E436">
        <v>-312.87069699720001</v>
      </c>
      <c r="F436">
        <v>90.355027496496007</v>
      </c>
      <c r="G436">
        <v>435.93064622714002</v>
      </c>
      <c r="H436">
        <v>48.783030793481998</v>
      </c>
      <c r="I436">
        <v>105.91558327353</v>
      </c>
      <c r="J436">
        <v>185.63463997522999</v>
      </c>
      <c r="L436" s="1">
        <f t="shared" si="91"/>
        <v>3.6484839382200107</v>
      </c>
      <c r="M436">
        <f t="shared" si="92"/>
        <v>1545.9447906505598</v>
      </c>
      <c r="N436">
        <f t="shared" si="84"/>
        <v>4.2942910851404434</v>
      </c>
      <c r="O436">
        <f t="shared" si="85"/>
        <v>48.783030793481998</v>
      </c>
      <c r="P436">
        <f t="shared" si="86"/>
        <v>384</v>
      </c>
      <c r="Q436">
        <f t="shared" si="93"/>
        <v>102.384133553642</v>
      </c>
      <c r="R436">
        <f t="shared" si="87"/>
        <v>102.384133553642</v>
      </c>
      <c r="S436">
        <f t="shared" si="82"/>
        <v>105.50915654600568</v>
      </c>
      <c r="T436">
        <f t="shared" si="88"/>
        <v>105.50915654600568</v>
      </c>
      <c r="U436" s="3">
        <f t="shared" si="89"/>
        <v>185.63463997522999</v>
      </c>
      <c r="V436">
        <f t="shared" si="94"/>
        <v>332</v>
      </c>
      <c r="W436" s="8">
        <f t="shared" si="83"/>
        <v>50.603319707349982</v>
      </c>
      <c r="X436" s="1">
        <f t="shared" si="90"/>
        <v>50.603319707349982</v>
      </c>
      <c r="Y436" s="18"/>
      <c r="Z436" s="7"/>
      <c r="AA436" s="1"/>
      <c r="AB436" s="1"/>
      <c r="AC436" s="1"/>
    </row>
    <row r="437" spans="1:29" x14ac:dyDescent="0.3">
      <c r="A437">
        <v>436</v>
      </c>
      <c r="E437">
        <v>-312.3057648262</v>
      </c>
      <c r="F437">
        <v>87.312536053526003</v>
      </c>
      <c r="G437">
        <v>435.38210128607</v>
      </c>
      <c r="H437">
        <v>48.825265091391998</v>
      </c>
      <c r="I437">
        <v>109.56142972268999</v>
      </c>
      <c r="J437">
        <v>186.11848265372001</v>
      </c>
      <c r="L437" s="1">
        <f t="shared" si="91"/>
        <v>3.6458464491599898</v>
      </c>
      <c r="M437">
        <f t="shared" si="92"/>
        <v>1549.5906370997197</v>
      </c>
      <c r="N437">
        <f t="shared" si="84"/>
        <v>4.3044184363881106</v>
      </c>
      <c r="O437">
        <f t="shared" si="85"/>
        <v>48.825265091391998</v>
      </c>
      <c r="P437">
        <f t="shared" si="86"/>
        <v>385</v>
      </c>
      <c r="Q437">
        <f t="shared" si="93"/>
        <v>102.37845851619301</v>
      </c>
      <c r="R437">
        <f t="shared" si="87"/>
        <v>102.37845851619301</v>
      </c>
      <c r="S437">
        <f t="shared" si="82"/>
        <v>105.49712593733705</v>
      </c>
      <c r="T437">
        <f t="shared" si="88"/>
        <v>105.49712593733705</v>
      </c>
      <c r="U437" s="3">
        <f t="shared" si="89"/>
        <v>186.11848265372001</v>
      </c>
      <c r="V437">
        <f t="shared" si="94"/>
        <v>333</v>
      </c>
      <c r="W437" s="8">
        <f t="shared" si="83"/>
        <v>50.597301105820009</v>
      </c>
      <c r="X437" s="1">
        <f t="shared" si="90"/>
        <v>50.597301105820009</v>
      </c>
      <c r="Y437" s="18"/>
      <c r="Z437" s="7"/>
      <c r="AA437" s="1"/>
      <c r="AB437" s="1"/>
      <c r="AC437" s="1"/>
    </row>
    <row r="438" spans="1:29" x14ac:dyDescent="0.3">
      <c r="A438">
        <v>437</v>
      </c>
      <c r="E438">
        <v>-311.75613193319998</v>
      </c>
      <c r="F438">
        <v>84.305081063847993</v>
      </c>
      <c r="G438">
        <v>434.65471897590999</v>
      </c>
      <c r="H438">
        <v>48.882071025069003</v>
      </c>
      <c r="I438">
        <v>113.20305487226</v>
      </c>
      <c r="J438">
        <v>186.60283814444</v>
      </c>
      <c r="L438" s="1">
        <f t="shared" si="91"/>
        <v>3.6416251495700038</v>
      </c>
      <c r="M438">
        <f t="shared" si="92"/>
        <v>1553.2322622492898</v>
      </c>
      <c r="N438">
        <f t="shared" si="84"/>
        <v>4.3145340618035828</v>
      </c>
      <c r="O438">
        <f t="shared" si="85"/>
        <v>48.882071025069003</v>
      </c>
      <c r="P438">
        <f t="shared" si="86"/>
        <v>386</v>
      </c>
      <c r="Q438">
        <f t="shared" si="93"/>
        <v>102.393602299516</v>
      </c>
      <c r="R438">
        <f t="shared" si="87"/>
        <v>102.393602299516</v>
      </c>
      <c r="S438">
        <f t="shared" si="82"/>
        <v>105.50520425692748</v>
      </c>
      <c r="T438">
        <f t="shared" si="88"/>
        <v>105.50520425692748</v>
      </c>
      <c r="U438" s="3">
        <f t="shared" si="89"/>
        <v>186.60283814444</v>
      </c>
      <c r="V438">
        <f t="shared" si="94"/>
        <v>334</v>
      </c>
      <c r="W438" s="8">
        <f t="shared" si="83"/>
        <v>50.592368978020005</v>
      </c>
      <c r="X438" s="1">
        <f t="shared" si="90"/>
        <v>50.592368978020005</v>
      </c>
      <c r="Y438" s="18"/>
      <c r="Z438" s="7"/>
      <c r="AA438" s="1"/>
      <c r="AB438" s="1"/>
      <c r="AC438" s="1"/>
    </row>
    <row r="439" spans="1:29" x14ac:dyDescent="0.3">
      <c r="A439">
        <v>438</v>
      </c>
      <c r="E439">
        <v>-311.2237419919</v>
      </c>
      <c r="F439">
        <v>81.344820154594004</v>
      </c>
      <c r="G439">
        <v>433.74382108847999</v>
      </c>
      <c r="H439">
        <v>48.945818602121001</v>
      </c>
      <c r="I439">
        <v>116.8402013888</v>
      </c>
      <c r="J439">
        <v>187.08663627956</v>
      </c>
      <c r="L439" s="1">
        <f t="shared" si="91"/>
        <v>3.6371465165399997</v>
      </c>
      <c r="M439">
        <f t="shared" si="92"/>
        <v>1556.8694087658298</v>
      </c>
      <c r="N439">
        <f t="shared" si="84"/>
        <v>4.3246372465717497</v>
      </c>
      <c r="O439">
        <f t="shared" si="85"/>
        <v>48.945818602121001</v>
      </c>
      <c r="P439">
        <f t="shared" si="86"/>
        <v>387</v>
      </c>
      <c r="Q439">
        <f t="shared" si="93"/>
        <v>102.40168588889</v>
      </c>
      <c r="R439">
        <f t="shared" si="87"/>
        <v>102.40168588889</v>
      </c>
      <c r="S439">
        <f t="shared" si="82"/>
        <v>105.50516633447856</v>
      </c>
      <c r="T439">
        <f t="shared" si="88"/>
        <v>105.50516633447856</v>
      </c>
      <c r="U439" s="3">
        <f t="shared" si="89"/>
        <v>187.08663627956</v>
      </c>
      <c r="V439">
        <f t="shared" si="94"/>
        <v>335</v>
      </c>
      <c r="W439" s="8">
        <f t="shared" si="83"/>
        <v>50.575833890399991</v>
      </c>
      <c r="X439" s="1">
        <f t="shared" si="90"/>
        <v>50.575833890399991</v>
      </c>
      <c r="Y439" s="18"/>
      <c r="Z439" s="7"/>
      <c r="AA439" s="1"/>
      <c r="AB439" s="1"/>
      <c r="AC439" s="1"/>
    </row>
    <row r="440" spans="1:29" x14ac:dyDescent="0.3">
      <c r="A440">
        <v>439</v>
      </c>
      <c r="E440">
        <v>-310.70743682810001</v>
      </c>
      <c r="F440">
        <v>78.439579147965006</v>
      </c>
      <c r="G440">
        <v>432.66242949046</v>
      </c>
      <c r="H440">
        <v>49.026636155292998</v>
      </c>
      <c r="I440">
        <v>120.47155475724</v>
      </c>
      <c r="J440">
        <v>187.57030248875</v>
      </c>
      <c r="L440" s="1">
        <f t="shared" si="91"/>
        <v>3.6313533684400028</v>
      </c>
      <c r="M440">
        <f t="shared" si="92"/>
        <v>1560.5007621342697</v>
      </c>
      <c r="N440">
        <f t="shared" si="84"/>
        <v>4.33472433926186</v>
      </c>
      <c r="O440">
        <f t="shared" si="85"/>
        <v>49.026636155292998</v>
      </c>
      <c r="P440">
        <f t="shared" si="86"/>
        <v>388</v>
      </c>
      <c r="Q440">
        <f t="shared" si="93"/>
        <v>102.41537794741299</v>
      </c>
      <c r="R440">
        <f t="shared" si="87"/>
        <v>102.41537794741299</v>
      </c>
      <c r="S440">
        <f t="shared" si="82"/>
        <v>105.50958546177486</v>
      </c>
      <c r="T440">
        <f t="shared" si="88"/>
        <v>105.50958546177486</v>
      </c>
      <c r="U440" s="3">
        <f t="shared" si="89"/>
        <v>187.57030248875</v>
      </c>
      <c r="V440">
        <f t="shared" si="94"/>
        <v>336</v>
      </c>
      <c r="W440" s="8">
        <f t="shared" si="83"/>
        <v>50.585574241870006</v>
      </c>
      <c r="X440" s="1">
        <f t="shared" si="90"/>
        <v>50.585574241870006</v>
      </c>
      <c r="Y440" s="18"/>
      <c r="Z440" s="7"/>
      <c r="AA440" s="1"/>
      <c r="AB440" s="1"/>
      <c r="AC440" s="1"/>
    </row>
    <row r="441" spans="1:29" x14ac:dyDescent="0.3">
      <c r="A441">
        <v>440</v>
      </c>
      <c r="E441">
        <v>-310.21315596070002</v>
      </c>
      <c r="F441">
        <v>75.611588793221998</v>
      </c>
      <c r="G441">
        <v>431.38430389016003</v>
      </c>
      <c r="H441">
        <v>49.091628854859003</v>
      </c>
      <c r="I441">
        <v>124.09831666276</v>
      </c>
      <c r="J441">
        <v>188.05092191169999</v>
      </c>
      <c r="L441" s="1">
        <f t="shared" si="91"/>
        <v>3.6267619055199987</v>
      </c>
      <c r="M441">
        <f t="shared" si="92"/>
        <v>1564.1275240397897</v>
      </c>
      <c r="N441">
        <f t="shared" si="84"/>
        <v>4.3447986778883045</v>
      </c>
      <c r="O441">
        <f t="shared" si="85"/>
        <v>49.091628854859003</v>
      </c>
      <c r="P441">
        <f t="shared" si="86"/>
        <v>390</v>
      </c>
      <c r="Q441">
        <f t="shared" si="93"/>
        <v>102.305177315055</v>
      </c>
      <c r="R441">
        <f t="shared" si="87"/>
        <v>102.305177315055</v>
      </c>
      <c r="S441">
        <f t="shared" si="82"/>
        <v>105.31936094087574</v>
      </c>
      <c r="T441">
        <f t="shared" si="88"/>
        <v>105.31936094087574</v>
      </c>
      <c r="U441" s="3">
        <f t="shared" si="89"/>
        <v>188.05092191169999</v>
      </c>
      <c r="V441">
        <f t="shared" si="94"/>
        <v>337</v>
      </c>
      <c r="W441" s="8">
        <f t="shared" si="83"/>
        <v>50.58796758443998</v>
      </c>
      <c r="X441" s="1">
        <f t="shared" si="90"/>
        <v>50.58796758443998</v>
      </c>
      <c r="Y441" s="18"/>
      <c r="Z441" s="7"/>
      <c r="AA441" s="1"/>
      <c r="AB441" s="1"/>
      <c r="AC441" s="1"/>
    </row>
    <row r="442" spans="1:29" x14ac:dyDescent="0.3">
      <c r="A442">
        <v>441</v>
      </c>
      <c r="E442">
        <v>-309.72632232320001</v>
      </c>
      <c r="F442">
        <v>72.856667629632994</v>
      </c>
      <c r="G442">
        <v>429.95275882028</v>
      </c>
      <c r="H442">
        <v>49.182994119530001</v>
      </c>
      <c r="I442">
        <v>127.71719468613</v>
      </c>
      <c r="J442">
        <v>188.53937175140001</v>
      </c>
      <c r="L442" s="1">
        <f t="shared" si="91"/>
        <v>3.6188780233700015</v>
      </c>
      <c r="M442">
        <f t="shared" si="92"/>
        <v>1567.7464020631596</v>
      </c>
      <c r="N442">
        <f t="shared" si="84"/>
        <v>4.3548511168421102</v>
      </c>
      <c r="O442">
        <f t="shared" si="85"/>
        <v>49.182994119530001</v>
      </c>
      <c r="P442">
        <f t="shared" si="86"/>
        <v>391</v>
      </c>
      <c r="Q442">
        <f t="shared" si="93"/>
        <v>102.304402788567</v>
      </c>
      <c r="R442">
        <f t="shared" si="87"/>
        <v>102.304402788567</v>
      </c>
      <c r="S442">
        <f t="shared" si="82"/>
        <v>105.31808861255851</v>
      </c>
      <c r="T442">
        <f t="shared" si="88"/>
        <v>105.31808861255851</v>
      </c>
      <c r="U442" s="3">
        <f t="shared" si="89"/>
        <v>188.53937175140001</v>
      </c>
      <c r="V442">
        <f t="shared" si="94"/>
        <v>338</v>
      </c>
      <c r="W442" s="8">
        <f t="shared" si="83"/>
        <v>50.591439716650001</v>
      </c>
      <c r="X442" s="1">
        <f t="shared" si="90"/>
        <v>50.591439716650001</v>
      </c>
      <c r="Y442" s="18"/>
      <c r="Z442" s="7"/>
      <c r="AA442" s="1"/>
      <c r="AB442" s="1"/>
      <c r="AC442" s="1"/>
    </row>
    <row r="443" spans="1:29" x14ac:dyDescent="0.3">
      <c r="A443">
        <v>442</v>
      </c>
      <c r="E443">
        <v>-309.27263275839999</v>
      </c>
      <c r="F443">
        <v>70.189692321215006</v>
      </c>
      <c r="G443">
        <v>428.35358884351001</v>
      </c>
      <c r="H443">
        <v>49.278958637663003</v>
      </c>
      <c r="I443">
        <v>131.33191473248999</v>
      </c>
      <c r="J443">
        <v>189.01179800583</v>
      </c>
      <c r="L443" s="1">
        <f t="shared" si="91"/>
        <v>3.6147200463599916</v>
      </c>
      <c r="M443">
        <f t="shared" si="92"/>
        <v>1571.3611221095196</v>
      </c>
      <c r="N443">
        <f t="shared" si="84"/>
        <v>4.3648920058597769</v>
      </c>
      <c r="O443">
        <f t="shared" si="85"/>
        <v>49.278958637663003</v>
      </c>
      <c r="P443">
        <f t="shared" si="86"/>
        <v>392</v>
      </c>
      <c r="Q443">
        <f t="shared" si="93"/>
        <v>102.304322854294</v>
      </c>
      <c r="R443">
        <f t="shared" si="87"/>
        <v>102.304322854294</v>
      </c>
      <c r="S443">
        <f t="shared" si="82"/>
        <v>105.31384791543321</v>
      </c>
      <c r="T443">
        <f t="shared" si="88"/>
        <v>105.31384791543321</v>
      </c>
      <c r="U443" s="3">
        <f t="shared" si="89"/>
        <v>189.01179800583</v>
      </c>
      <c r="V443">
        <f t="shared" si="94"/>
        <v>339</v>
      </c>
      <c r="W443" s="8">
        <f t="shared" si="83"/>
        <v>50.566367935149998</v>
      </c>
      <c r="X443" s="1">
        <f t="shared" si="90"/>
        <v>50.566367935149998</v>
      </c>
      <c r="Y443" s="18"/>
      <c r="Z443" s="7"/>
      <c r="AA443" s="1"/>
      <c r="AB443" s="1"/>
      <c r="AC443" s="1"/>
    </row>
    <row r="444" spans="1:29" x14ac:dyDescent="0.3">
      <c r="A444">
        <v>443</v>
      </c>
      <c r="E444">
        <v>-308.81709806970002</v>
      </c>
      <c r="F444">
        <v>67.615735157298005</v>
      </c>
      <c r="G444">
        <v>426.60887022392001</v>
      </c>
      <c r="H444">
        <v>49.398560402137001</v>
      </c>
      <c r="I444">
        <v>134.93483844676999</v>
      </c>
      <c r="J444">
        <v>189.50148363365</v>
      </c>
      <c r="L444" s="1">
        <f t="shared" si="91"/>
        <v>3.6029237142799957</v>
      </c>
      <c r="M444">
        <f t="shared" si="92"/>
        <v>1574.9640458237996</v>
      </c>
      <c r="N444">
        <f t="shared" si="84"/>
        <v>4.3749001272883321</v>
      </c>
      <c r="O444">
        <f t="shared" si="85"/>
        <v>49.398560402137001</v>
      </c>
      <c r="P444">
        <f t="shared" si="86"/>
        <v>393</v>
      </c>
      <c r="Q444">
        <f t="shared" si="93"/>
        <v>102.31816947745401</v>
      </c>
      <c r="R444">
        <f t="shared" si="87"/>
        <v>102.31816947745401</v>
      </c>
      <c r="S444">
        <f t="shared" si="82"/>
        <v>105.32555574554334</v>
      </c>
      <c r="T444">
        <f t="shared" si="88"/>
        <v>105.32555574554334</v>
      </c>
      <c r="U444" s="3">
        <f t="shared" si="89"/>
        <v>189.50148363365</v>
      </c>
      <c r="V444">
        <f t="shared" si="94"/>
        <v>340</v>
      </c>
      <c r="W444" s="8">
        <f t="shared" si="83"/>
        <v>50.566902599460008</v>
      </c>
      <c r="X444" s="1">
        <f t="shared" si="90"/>
        <v>50.566902599460008</v>
      </c>
      <c r="Y444" s="18"/>
      <c r="Z444" s="7"/>
      <c r="AA444" s="1"/>
      <c r="AB444" s="1"/>
      <c r="AC444" s="1"/>
    </row>
    <row r="445" spans="1:29" x14ac:dyDescent="0.3">
      <c r="A445">
        <v>444</v>
      </c>
      <c r="E445">
        <v>-308.38890296789998</v>
      </c>
      <c r="F445">
        <v>65.152505861001998</v>
      </c>
      <c r="G445">
        <v>424.70495751420998</v>
      </c>
      <c r="H445">
        <v>49.517672522536998</v>
      </c>
      <c r="I445">
        <v>138.53069537253</v>
      </c>
      <c r="J445">
        <v>189.98117028103999</v>
      </c>
      <c r="L445" s="1">
        <f t="shared" si="91"/>
        <v>3.5958569257600175</v>
      </c>
      <c r="M445">
        <f t="shared" si="92"/>
        <v>1578.5599027495596</v>
      </c>
      <c r="N445">
        <f t="shared" si="84"/>
        <v>4.3848886187487768</v>
      </c>
      <c r="O445">
        <f t="shared" si="85"/>
        <v>49.517672522536998</v>
      </c>
      <c r="P445">
        <f t="shared" si="86"/>
        <v>394</v>
      </c>
      <c r="Q445">
        <f t="shared" si="93"/>
        <v>102.34209390371601</v>
      </c>
      <c r="R445">
        <f t="shared" si="87"/>
        <v>102.34209390371601</v>
      </c>
      <c r="S445">
        <f t="shared" si="82"/>
        <v>105.34384348061694</v>
      </c>
      <c r="T445">
        <f t="shared" si="88"/>
        <v>105.34384348061694</v>
      </c>
      <c r="U445" s="3">
        <f t="shared" si="89"/>
        <v>189.98117028103999</v>
      </c>
      <c r="V445">
        <f t="shared" si="94"/>
        <v>341</v>
      </c>
      <c r="W445" s="8">
        <f t="shared" si="83"/>
        <v>50.55942277379998</v>
      </c>
      <c r="X445" s="1">
        <f t="shared" si="90"/>
        <v>50.55942277379998</v>
      </c>
      <c r="Y445" s="18"/>
      <c r="Z445" s="7"/>
      <c r="AA445" s="1"/>
      <c r="AB445" s="1"/>
      <c r="AC445" s="1"/>
    </row>
    <row r="446" spans="1:29" x14ac:dyDescent="0.3">
      <c r="A446">
        <v>445</v>
      </c>
      <c r="E446">
        <v>-307.97329824069999</v>
      </c>
      <c r="F446">
        <v>62.815918322838002</v>
      </c>
      <c r="G446">
        <v>422.64484495841998</v>
      </c>
      <c r="H446">
        <v>49.629961402338999</v>
      </c>
      <c r="I446">
        <v>142.11766614794999</v>
      </c>
      <c r="J446">
        <v>190.46594983029999</v>
      </c>
      <c r="L446" s="1">
        <f t="shared" si="91"/>
        <v>3.5869707754199851</v>
      </c>
      <c r="M446">
        <f t="shared" si="92"/>
        <v>1582.1468735249796</v>
      </c>
      <c r="N446">
        <f t="shared" si="84"/>
        <v>4.3948524264582769</v>
      </c>
      <c r="O446">
        <f t="shared" si="85"/>
        <v>49.629961402338999</v>
      </c>
      <c r="P446">
        <f t="shared" si="86"/>
        <v>395</v>
      </c>
      <c r="Q446">
        <f t="shared" si="93"/>
        <v>102.338796041154</v>
      </c>
      <c r="R446">
        <f t="shared" si="87"/>
        <v>102.338796041154</v>
      </c>
      <c r="S446">
        <f t="shared" si="82"/>
        <v>105.33620336076039</v>
      </c>
      <c r="T446">
        <f t="shared" si="88"/>
        <v>105.33620336076039</v>
      </c>
      <c r="U446" s="3">
        <f t="shared" si="89"/>
        <v>190.46594983029999</v>
      </c>
      <c r="V446">
        <f t="shared" si="94"/>
        <v>342</v>
      </c>
      <c r="W446" s="8">
        <f t="shared" si="83"/>
        <v>50.566956462269985</v>
      </c>
      <c r="X446" s="1">
        <f t="shared" si="90"/>
        <v>50.566956462269985</v>
      </c>
      <c r="Y446" s="18"/>
      <c r="Z446" s="7"/>
      <c r="AA446" s="1"/>
      <c r="AB446" s="1"/>
      <c r="AC446" s="1"/>
    </row>
    <row r="447" spans="1:29" x14ac:dyDescent="0.3">
      <c r="A447">
        <v>446</v>
      </c>
      <c r="E447">
        <v>-307.58176702060001</v>
      </c>
      <c r="F447">
        <v>60.602973635641</v>
      </c>
      <c r="G447">
        <v>420.44821936272001</v>
      </c>
      <c r="H447">
        <v>49.750911968528001</v>
      </c>
      <c r="I447">
        <v>145.69712056496999</v>
      </c>
      <c r="J447">
        <v>190.94268628297999</v>
      </c>
      <c r="L447" s="1">
        <f t="shared" si="91"/>
        <v>3.5794544170200027</v>
      </c>
      <c r="M447">
        <f t="shared" si="92"/>
        <v>1585.7263279419997</v>
      </c>
      <c r="N447">
        <f t="shared" si="84"/>
        <v>4.4047953553944437</v>
      </c>
      <c r="O447">
        <f t="shared" si="85"/>
        <v>49.750911968528001</v>
      </c>
      <c r="P447">
        <f t="shared" si="86"/>
        <v>396</v>
      </c>
      <c r="Q447">
        <f t="shared" si="93"/>
        <v>102.335508484797</v>
      </c>
      <c r="R447">
        <f t="shared" si="87"/>
        <v>102.335508484797</v>
      </c>
      <c r="S447">
        <f t="shared" si="82"/>
        <v>105.32584763155292</v>
      </c>
      <c r="T447">
        <f t="shared" si="88"/>
        <v>105.32584763155292</v>
      </c>
      <c r="U447" s="3">
        <f t="shared" si="89"/>
        <v>190.94268628297999</v>
      </c>
      <c r="V447">
        <f t="shared" si="94"/>
        <v>343</v>
      </c>
      <c r="W447" s="8">
        <f t="shared" si="83"/>
        <v>50.571248872929999</v>
      </c>
      <c r="X447" s="1">
        <f t="shared" si="90"/>
        <v>50.571248872929999</v>
      </c>
      <c r="Y447" s="18"/>
      <c r="Z447" s="7"/>
      <c r="AA447" s="1"/>
      <c r="AB447" s="1"/>
      <c r="AC447" s="1"/>
    </row>
    <row r="448" spans="1:29" x14ac:dyDescent="0.3">
      <c r="A448">
        <v>447</v>
      </c>
      <c r="E448">
        <v>-307.191738015</v>
      </c>
      <c r="F448">
        <v>58.525229907676</v>
      </c>
      <c r="G448">
        <v>418.12297491007001</v>
      </c>
      <c r="H448">
        <v>49.879355687211998</v>
      </c>
      <c r="I448">
        <v>149.26476373353</v>
      </c>
      <c r="J448">
        <v>191.43369345075999</v>
      </c>
      <c r="L448" s="1">
        <f t="shared" si="91"/>
        <v>3.5676431685600107</v>
      </c>
      <c r="M448">
        <f t="shared" si="92"/>
        <v>1589.2939711105596</v>
      </c>
      <c r="N448">
        <f t="shared" si="84"/>
        <v>4.4147054753071098</v>
      </c>
      <c r="O448">
        <f t="shared" si="85"/>
        <v>49.879355687211998</v>
      </c>
      <c r="P448">
        <f t="shared" si="86"/>
        <v>397</v>
      </c>
      <c r="Q448">
        <f t="shared" si="93"/>
        <v>102.351927298766</v>
      </c>
      <c r="R448">
        <f t="shared" si="87"/>
        <v>102.351927298766</v>
      </c>
      <c r="S448">
        <f t="shared" si="82"/>
        <v>105.34067479235033</v>
      </c>
      <c r="T448">
        <f t="shared" si="88"/>
        <v>105.34067479235033</v>
      </c>
      <c r="U448" s="3">
        <f t="shared" si="89"/>
        <v>191.43369345075999</v>
      </c>
      <c r="V448">
        <f t="shared" si="94"/>
        <v>344</v>
      </c>
      <c r="W448" s="8">
        <f t="shared" si="83"/>
        <v>50.582288577779991</v>
      </c>
      <c r="X448" s="1">
        <f t="shared" si="90"/>
        <v>50.582288577779991</v>
      </c>
      <c r="Y448" s="18"/>
      <c r="Z448" s="7"/>
      <c r="AA448" s="1"/>
      <c r="AB448" s="1"/>
      <c r="AC448" s="1"/>
    </row>
    <row r="449" spans="1:29" x14ac:dyDescent="0.3">
      <c r="A449">
        <v>448</v>
      </c>
      <c r="E449">
        <v>-306.83826744909999</v>
      </c>
      <c r="F449">
        <v>56.569336513433001</v>
      </c>
      <c r="G449">
        <v>415.68878085826998</v>
      </c>
      <c r="H449">
        <v>50.035200937965001</v>
      </c>
      <c r="I449">
        <v>152.82482438536999</v>
      </c>
      <c r="J449">
        <v>191.9019410251</v>
      </c>
      <c r="L449" s="1">
        <f t="shared" si="91"/>
        <v>3.56006065183999</v>
      </c>
      <c r="M449">
        <f t="shared" si="92"/>
        <v>1592.8540317623997</v>
      </c>
      <c r="N449">
        <f t="shared" si="84"/>
        <v>4.4245945326733329</v>
      </c>
      <c r="O449">
        <f t="shared" si="85"/>
        <v>50.035200937965001</v>
      </c>
      <c r="P449">
        <f t="shared" si="86"/>
        <v>398</v>
      </c>
      <c r="Q449">
        <f t="shared" si="93"/>
        <v>102.39965557727001</v>
      </c>
      <c r="R449">
        <f t="shared" si="87"/>
        <v>102.39965557727001</v>
      </c>
      <c r="S449">
        <f t="shared" si="82"/>
        <v>105.38438314591291</v>
      </c>
      <c r="T449">
        <f t="shared" si="88"/>
        <v>105.38438314591291</v>
      </c>
      <c r="U449" s="3">
        <f t="shared" si="89"/>
        <v>191.9019410251</v>
      </c>
      <c r="V449">
        <f t="shared" si="94"/>
        <v>345</v>
      </c>
      <c r="W449" s="8">
        <f t="shared" si="83"/>
        <v>50.575354934560011</v>
      </c>
      <c r="X449" s="1">
        <f t="shared" si="90"/>
        <v>50.575354934560011</v>
      </c>
      <c r="Y449" s="18"/>
      <c r="Z449" s="7"/>
      <c r="AA449" s="1"/>
      <c r="AB449" s="1"/>
      <c r="AC449" s="1"/>
    </row>
    <row r="450" spans="1:29" x14ac:dyDescent="0.3">
      <c r="A450">
        <v>449</v>
      </c>
      <c r="E450">
        <v>-306.50200922020002</v>
      </c>
      <c r="F450">
        <v>54.757585977513003</v>
      </c>
      <c r="G450">
        <v>413.14318809181998</v>
      </c>
      <c r="H450">
        <v>50.200837964533001</v>
      </c>
      <c r="I450">
        <v>156.37325767359999</v>
      </c>
      <c r="J450">
        <v>192.36779300929001</v>
      </c>
      <c r="L450" s="1">
        <f t="shared" si="91"/>
        <v>3.5484332882300009</v>
      </c>
      <c r="M450">
        <f t="shared" si="92"/>
        <v>1596.4024650506296</v>
      </c>
      <c r="N450">
        <f t="shared" si="84"/>
        <v>4.4344512918073047</v>
      </c>
      <c r="O450">
        <f t="shared" si="85"/>
        <v>50.200837964533001</v>
      </c>
      <c r="P450">
        <f t="shared" si="86"/>
        <v>399</v>
      </c>
      <c r="Q450">
        <f t="shared" si="93"/>
        <v>102.44335003439201</v>
      </c>
      <c r="R450">
        <f t="shared" si="87"/>
        <v>102.44335003439201</v>
      </c>
      <c r="S450">
        <f t="shared" ref="S450:S513" si="95">IF(P450=0,0,SQRT((E450-INDEX(E:E,P450))^2+(F450-INDEX(F:F,P450))^2+(G450-INDEX(G:G,P450))^2))</f>
        <v>105.41826861920363</v>
      </c>
      <c r="T450">
        <f t="shared" si="88"/>
        <v>105.41826861920363</v>
      </c>
      <c r="U450" s="3">
        <f t="shared" si="89"/>
        <v>192.36779300929001</v>
      </c>
      <c r="V450">
        <f t="shared" si="94"/>
        <v>346</v>
      </c>
      <c r="W450" s="8">
        <f t="shared" ref="W450:W513" si="96">IF(V450=0,0,U450-INDEX(U:U,V450))</f>
        <v>50.564624047960024</v>
      </c>
      <c r="X450" s="1">
        <f t="shared" si="90"/>
        <v>50.564624047960024</v>
      </c>
      <c r="Y450" s="18"/>
      <c r="Z450" s="7"/>
      <c r="AA450" s="1"/>
      <c r="AB450" s="1"/>
      <c r="AC450" s="1"/>
    </row>
    <row r="451" spans="1:29" x14ac:dyDescent="0.3">
      <c r="A451">
        <v>450</v>
      </c>
      <c r="E451">
        <v>-306.16142539039998</v>
      </c>
      <c r="F451">
        <v>53.119973353977002</v>
      </c>
      <c r="G451">
        <v>410.48289133093999</v>
      </c>
      <c r="H451">
        <v>50.350750932731998</v>
      </c>
      <c r="I451">
        <v>159.90775952114001</v>
      </c>
      <c r="J451">
        <v>192.85417587545001</v>
      </c>
      <c r="L451" s="1">
        <f t="shared" si="91"/>
        <v>3.5345018475400138</v>
      </c>
      <c r="M451">
        <f t="shared" si="92"/>
        <v>1599.9369668981697</v>
      </c>
      <c r="N451">
        <f t="shared" ref="N451:N514" si="97">M451/360</f>
        <v>4.4442693524949153</v>
      </c>
      <c r="O451">
        <f t="shared" ref="O451:O514" si="98">H451</f>
        <v>50.350750932731998</v>
      </c>
      <c r="P451">
        <f t="shared" ref="P451:P514" si="99">IFERROR(MATCH(N451-0.5,N:N,1),0)</f>
        <v>400</v>
      </c>
      <c r="Q451">
        <f t="shared" si="93"/>
        <v>102.431650216444</v>
      </c>
      <c r="R451">
        <f t="shared" ref="R451:R514" si="100">IF(Q451=0,MAX(Q:Q),Q451)</f>
        <v>102.431650216444</v>
      </c>
      <c r="S451">
        <f t="shared" si="95"/>
        <v>105.40263266995302</v>
      </c>
      <c r="T451">
        <f t="shared" ref="T451:T514" si="101">IF(S451=0,MAX(S:S),S451)</f>
        <v>105.40263266995302</v>
      </c>
      <c r="U451" s="3">
        <f t="shared" ref="U451:U514" si="102">J451</f>
        <v>192.85417587545001</v>
      </c>
      <c r="V451">
        <f t="shared" si="94"/>
        <v>347</v>
      </c>
      <c r="W451" s="8">
        <f t="shared" si="96"/>
        <v>50.577376937010001</v>
      </c>
      <c r="X451" s="1">
        <f t="shared" ref="X451:X514" si="103">IF(W451=0,MAX(W:W),W451)</f>
        <v>50.577376937010001</v>
      </c>
      <c r="Y451" s="18"/>
      <c r="Z451" s="7"/>
      <c r="AA451" s="1"/>
      <c r="AB451" s="1"/>
      <c r="AC451" s="1"/>
    </row>
    <row r="452" spans="1:29" x14ac:dyDescent="0.3">
      <c r="A452">
        <v>451</v>
      </c>
      <c r="E452">
        <v>-305.8540453462</v>
      </c>
      <c r="F452">
        <v>51.642779686102998</v>
      </c>
      <c r="G452">
        <v>407.72603523561003</v>
      </c>
      <c r="H452">
        <v>50.503017391938002</v>
      </c>
      <c r="I452">
        <v>163.43517864181001</v>
      </c>
      <c r="J452">
        <v>193.32170348875999</v>
      </c>
      <c r="L452" s="1">
        <f t="shared" ref="L452:L515" si="104">I452-I451</f>
        <v>3.5274191206700038</v>
      </c>
      <c r="M452">
        <f t="shared" ref="M452:M515" si="105">IF(L452&gt;0,M451+L452,M451+L451)</f>
        <v>1603.4643860188396</v>
      </c>
      <c r="N452">
        <f t="shared" si="97"/>
        <v>4.4540677389412213</v>
      </c>
      <c r="O452">
        <f t="shared" si="98"/>
        <v>50.503017391938002</v>
      </c>
      <c r="P452">
        <f t="shared" si="99"/>
        <v>401</v>
      </c>
      <c r="Q452">
        <f t="shared" si="93"/>
        <v>102.435389768665</v>
      </c>
      <c r="R452">
        <f t="shared" si="100"/>
        <v>102.435389768665</v>
      </c>
      <c r="S452">
        <f t="shared" si="95"/>
        <v>105.40138864475993</v>
      </c>
      <c r="T452">
        <f t="shared" si="101"/>
        <v>105.40138864475993</v>
      </c>
      <c r="U452" s="3">
        <f t="shared" si="102"/>
        <v>193.32170348875999</v>
      </c>
      <c r="V452">
        <f t="shared" si="94"/>
        <v>348</v>
      </c>
      <c r="W452" s="8">
        <f t="shared" si="96"/>
        <v>50.578706280770007</v>
      </c>
      <c r="X452" s="1">
        <f t="shared" si="103"/>
        <v>50.578706280770007</v>
      </c>
      <c r="Y452" s="18"/>
      <c r="Z452" s="7"/>
      <c r="AA452" s="1"/>
      <c r="AB452" s="1"/>
      <c r="AC452" s="1"/>
    </row>
    <row r="453" spans="1:29" x14ac:dyDescent="0.3">
      <c r="A453">
        <v>452</v>
      </c>
      <c r="E453">
        <v>-305.56064883080001</v>
      </c>
      <c r="F453">
        <v>50.340471960869003</v>
      </c>
      <c r="G453">
        <v>404.88104617507003</v>
      </c>
      <c r="H453">
        <v>50.649955998297003</v>
      </c>
      <c r="I453">
        <v>166.95227373827001</v>
      </c>
      <c r="J453">
        <v>193.78942687739001</v>
      </c>
      <c r="L453" s="1">
        <f t="shared" si="104"/>
        <v>3.5170950964599967</v>
      </c>
      <c r="M453">
        <f t="shared" si="105"/>
        <v>1606.9814811152996</v>
      </c>
      <c r="N453">
        <f t="shared" si="97"/>
        <v>4.4638374475424989</v>
      </c>
      <c r="O453">
        <f t="shared" si="98"/>
        <v>50.649955998297003</v>
      </c>
      <c r="P453">
        <f t="shared" si="99"/>
        <v>402</v>
      </c>
      <c r="Q453">
        <f t="shared" si="93"/>
        <v>102.47582335631901</v>
      </c>
      <c r="R453">
        <f t="shared" si="100"/>
        <v>102.47582335631901</v>
      </c>
      <c r="S453">
        <f t="shared" si="95"/>
        <v>105.43569670847504</v>
      </c>
      <c r="T453">
        <f t="shared" si="101"/>
        <v>105.43569670847504</v>
      </c>
      <c r="U453" s="3">
        <f t="shared" si="102"/>
        <v>193.78942687739001</v>
      </c>
      <c r="V453">
        <f t="shared" si="94"/>
        <v>349</v>
      </c>
      <c r="W453" s="8">
        <f t="shared" si="96"/>
        <v>50.572424763620006</v>
      </c>
      <c r="X453" s="1">
        <f t="shared" si="103"/>
        <v>50.572424763620006</v>
      </c>
      <c r="Y453" s="18"/>
      <c r="Z453" s="7"/>
      <c r="AA453" s="1"/>
      <c r="AB453" s="1"/>
      <c r="AC453" s="1"/>
    </row>
    <row r="454" spans="1:29" x14ac:dyDescent="0.3">
      <c r="A454">
        <v>453</v>
      </c>
      <c r="E454">
        <v>-305.25133885629998</v>
      </c>
      <c r="F454">
        <v>49.214442346783002</v>
      </c>
      <c r="G454">
        <v>401.96339711230002</v>
      </c>
      <c r="H454">
        <v>50.797765713003002</v>
      </c>
      <c r="I454">
        <v>170.45408779784</v>
      </c>
      <c r="J454">
        <v>194.28593817635999</v>
      </c>
      <c r="L454" s="1">
        <f t="shared" si="104"/>
        <v>3.5018140595699947</v>
      </c>
      <c r="M454">
        <f t="shared" si="105"/>
        <v>1610.4832951748697</v>
      </c>
      <c r="N454">
        <f t="shared" si="97"/>
        <v>4.4735647088190822</v>
      </c>
      <c r="O454">
        <f t="shared" si="98"/>
        <v>50.797765713003002</v>
      </c>
      <c r="P454">
        <f t="shared" si="99"/>
        <v>403</v>
      </c>
      <c r="Q454">
        <f t="shared" si="93"/>
        <v>102.516306714043</v>
      </c>
      <c r="R454">
        <f t="shared" si="100"/>
        <v>102.516306714043</v>
      </c>
      <c r="S454">
        <f t="shared" si="95"/>
        <v>105.47785009727389</v>
      </c>
      <c r="T454">
        <f t="shared" si="101"/>
        <v>105.47785009727389</v>
      </c>
      <c r="U454" s="3">
        <f t="shared" si="102"/>
        <v>194.28593817635999</v>
      </c>
      <c r="V454">
        <f t="shared" si="94"/>
        <v>350</v>
      </c>
      <c r="W454" s="8">
        <f t="shared" si="96"/>
        <v>50.613127701039986</v>
      </c>
      <c r="X454" s="1">
        <f t="shared" si="103"/>
        <v>50.613127701039986</v>
      </c>
      <c r="Y454" s="18"/>
      <c r="Z454" s="7"/>
      <c r="AA454" s="1"/>
      <c r="AB454" s="1"/>
      <c r="AC454" s="1"/>
    </row>
    <row r="455" spans="1:29" x14ac:dyDescent="0.3">
      <c r="A455">
        <v>454</v>
      </c>
      <c r="E455">
        <v>-304.98958520920002</v>
      </c>
      <c r="F455">
        <v>48.280421712848998</v>
      </c>
      <c r="G455">
        <v>398.97436218462002</v>
      </c>
      <c r="H455">
        <v>50.928021729859999</v>
      </c>
      <c r="I455">
        <v>173.95292547075999</v>
      </c>
      <c r="J455">
        <v>194.74855643766</v>
      </c>
      <c r="L455" s="1">
        <f t="shared" si="104"/>
        <v>3.4988376729199899</v>
      </c>
      <c r="M455">
        <f t="shared" si="105"/>
        <v>1613.9821328477897</v>
      </c>
      <c r="N455">
        <f t="shared" si="97"/>
        <v>4.4832837023549716</v>
      </c>
      <c r="O455">
        <f t="shared" si="98"/>
        <v>50.928021729859999</v>
      </c>
      <c r="P455">
        <f t="shared" si="99"/>
        <v>404</v>
      </c>
      <c r="Q455">
        <f t="shared" si="93"/>
        <v>102.499412087498</v>
      </c>
      <c r="R455">
        <f t="shared" si="100"/>
        <v>102.499412087498</v>
      </c>
      <c r="S455">
        <f t="shared" si="95"/>
        <v>105.45793986955054</v>
      </c>
      <c r="T455">
        <f t="shared" si="101"/>
        <v>105.45793986955054</v>
      </c>
      <c r="U455" s="3">
        <f t="shared" si="102"/>
        <v>194.74855643766</v>
      </c>
      <c r="V455">
        <f t="shared" si="94"/>
        <v>351</v>
      </c>
      <c r="W455" s="8">
        <f t="shared" si="96"/>
        <v>50.604064593130005</v>
      </c>
      <c r="X455" s="1">
        <f t="shared" si="103"/>
        <v>50.604064593130005</v>
      </c>
      <c r="Y455" s="18"/>
      <c r="Z455" s="7"/>
      <c r="AA455" s="1"/>
      <c r="AB455" s="1"/>
      <c r="AC455" s="1"/>
    </row>
    <row r="456" spans="1:29" x14ac:dyDescent="0.3">
      <c r="A456">
        <v>455</v>
      </c>
      <c r="E456">
        <v>-304.74742833969998</v>
      </c>
      <c r="F456">
        <v>47.565020076006</v>
      </c>
      <c r="G456">
        <v>395.92381018459997</v>
      </c>
      <c r="H456">
        <v>51.020098335093998</v>
      </c>
      <c r="I456">
        <v>177.44681758386</v>
      </c>
      <c r="J456">
        <v>195.20541112977</v>
      </c>
      <c r="L456" s="1">
        <f t="shared" si="104"/>
        <v>3.4938921131000029</v>
      </c>
      <c r="M456">
        <f t="shared" si="105"/>
        <v>1617.4760249608896</v>
      </c>
      <c r="N456">
        <f t="shared" si="97"/>
        <v>4.4929889582246938</v>
      </c>
      <c r="O456">
        <f t="shared" si="98"/>
        <v>51.020098335093998</v>
      </c>
      <c r="P456">
        <f t="shared" si="99"/>
        <v>405</v>
      </c>
      <c r="Q456">
        <f t="shared" si="93"/>
        <v>102.43584241669299</v>
      </c>
      <c r="R456">
        <f t="shared" si="100"/>
        <v>102.43584241669299</v>
      </c>
      <c r="S456">
        <f t="shared" si="95"/>
        <v>105.38536873837796</v>
      </c>
      <c r="T456">
        <f t="shared" si="101"/>
        <v>105.38536873837796</v>
      </c>
      <c r="U456" s="3">
        <f t="shared" si="102"/>
        <v>195.20541112977</v>
      </c>
      <c r="V456">
        <f t="shared" si="94"/>
        <v>352</v>
      </c>
      <c r="W456" s="8">
        <f t="shared" si="96"/>
        <v>50.579507493090006</v>
      </c>
      <c r="X456" s="1">
        <f t="shared" si="103"/>
        <v>50.579507493090006</v>
      </c>
      <c r="Y456" s="18"/>
      <c r="Z456" s="7"/>
      <c r="AA456" s="1"/>
      <c r="AB456" s="1"/>
      <c r="AC456" s="1"/>
    </row>
    <row r="457" spans="1:29" x14ac:dyDescent="0.3">
      <c r="A457">
        <v>456</v>
      </c>
      <c r="E457">
        <v>-304.4676717593</v>
      </c>
      <c r="F457">
        <v>47.051192503332999</v>
      </c>
      <c r="G457">
        <v>392.83617775886</v>
      </c>
      <c r="H457">
        <v>51.098424110562</v>
      </c>
      <c r="I457">
        <v>-179.07324714399999</v>
      </c>
      <c r="J457">
        <v>195.71082109630001</v>
      </c>
      <c r="L457" s="1">
        <f t="shared" si="104"/>
        <v>-356.52006472786002</v>
      </c>
      <c r="M457">
        <f t="shared" si="105"/>
        <v>1620.9699170739896</v>
      </c>
      <c r="N457">
        <f t="shared" si="97"/>
        <v>4.5026942140944151</v>
      </c>
      <c r="O457">
        <f t="shared" si="98"/>
        <v>51.098424110562</v>
      </c>
      <c r="P457">
        <f t="shared" si="99"/>
        <v>406</v>
      </c>
      <c r="Q457">
        <f t="shared" si="93"/>
        <v>102.35572137752399</v>
      </c>
      <c r="R457">
        <f t="shared" si="100"/>
        <v>102.35572137752399</v>
      </c>
      <c r="S457">
        <f t="shared" si="95"/>
        <v>105.30404926009066</v>
      </c>
      <c r="T457">
        <f t="shared" si="101"/>
        <v>105.30404926009066</v>
      </c>
      <c r="U457" s="3">
        <f t="shared" si="102"/>
        <v>195.71082109630001</v>
      </c>
      <c r="V457">
        <f t="shared" si="94"/>
        <v>353</v>
      </c>
      <c r="W457" s="8">
        <f t="shared" si="96"/>
        <v>50.642367431530005</v>
      </c>
      <c r="X457" s="1">
        <f t="shared" si="103"/>
        <v>50.642367431530005</v>
      </c>
      <c r="Y457" s="18"/>
      <c r="Z457" s="7"/>
      <c r="AA457" s="1"/>
      <c r="AB457" s="1"/>
      <c r="AC457" s="1"/>
    </row>
    <row r="458" spans="1:29" x14ac:dyDescent="0.3">
      <c r="A458">
        <v>457</v>
      </c>
      <c r="E458">
        <v>-304.1725556211</v>
      </c>
      <c r="F458">
        <v>46.669151410996001</v>
      </c>
      <c r="G458">
        <v>389.73086660182003</v>
      </c>
      <c r="H458">
        <v>51.232541764403003</v>
      </c>
      <c r="I458">
        <v>-175.60674958210001</v>
      </c>
      <c r="J458">
        <v>196.23826424677</v>
      </c>
      <c r="L458" s="1">
        <f t="shared" si="104"/>
        <v>3.4664975618999847</v>
      </c>
      <c r="M458">
        <f t="shared" si="105"/>
        <v>1624.4364146358896</v>
      </c>
      <c r="N458">
        <f t="shared" si="97"/>
        <v>4.5123233739885826</v>
      </c>
      <c r="O458">
        <f t="shared" si="98"/>
        <v>51.232541764403003</v>
      </c>
      <c r="P458">
        <f t="shared" si="99"/>
        <v>407</v>
      </c>
      <c r="Q458">
        <f t="shared" si="93"/>
        <v>102.294314282561</v>
      </c>
      <c r="R458">
        <f t="shared" si="100"/>
        <v>102.294314282561</v>
      </c>
      <c r="S458">
        <f t="shared" si="95"/>
        <v>105.24892341550614</v>
      </c>
      <c r="T458">
        <f t="shared" si="101"/>
        <v>105.24892341550614</v>
      </c>
      <c r="U458" s="3">
        <f t="shared" si="102"/>
        <v>196.23826424677</v>
      </c>
      <c r="V458">
        <f t="shared" si="94"/>
        <v>354</v>
      </c>
      <c r="W458" s="8">
        <f t="shared" si="96"/>
        <v>50.712478605770002</v>
      </c>
      <c r="X458" s="1">
        <f t="shared" si="103"/>
        <v>50.712478605770002</v>
      </c>
      <c r="Y458" s="18"/>
      <c r="Z458" s="7"/>
      <c r="AA458" s="1"/>
      <c r="AB458" s="1"/>
      <c r="AC458" s="1"/>
    </row>
    <row r="459" spans="1:29" x14ac:dyDescent="0.3">
      <c r="A459">
        <v>458</v>
      </c>
      <c r="E459">
        <v>-303.91929816840002</v>
      </c>
      <c r="F459">
        <v>46.428522799920998</v>
      </c>
      <c r="G459">
        <v>386.60766861318001</v>
      </c>
      <c r="H459">
        <v>51.409962981736001</v>
      </c>
      <c r="I459">
        <v>-172.14677809150001</v>
      </c>
      <c r="J459">
        <v>196.73115840073999</v>
      </c>
      <c r="L459" s="1">
        <f t="shared" si="104"/>
        <v>3.4599714905999974</v>
      </c>
      <c r="M459">
        <f t="shared" si="105"/>
        <v>1627.8963861264897</v>
      </c>
      <c r="N459">
        <f t="shared" si="97"/>
        <v>4.521934405906916</v>
      </c>
      <c r="O459">
        <f t="shared" si="98"/>
        <v>51.409962981736001</v>
      </c>
      <c r="P459">
        <f t="shared" si="99"/>
        <v>408</v>
      </c>
      <c r="Q459">
        <f t="shared" si="93"/>
        <v>102.34187363273699</v>
      </c>
      <c r="R459">
        <f t="shared" si="100"/>
        <v>102.34187363273699</v>
      </c>
      <c r="S459">
        <f t="shared" si="95"/>
        <v>105.29296768087985</v>
      </c>
      <c r="T459">
        <f t="shared" si="101"/>
        <v>105.29296768087985</v>
      </c>
      <c r="U459" s="3">
        <f t="shared" si="102"/>
        <v>196.73115840073999</v>
      </c>
      <c r="V459">
        <f t="shared" si="94"/>
        <v>355</v>
      </c>
      <c r="W459" s="8">
        <f t="shared" si="96"/>
        <v>50.706873668099973</v>
      </c>
      <c r="X459" s="1">
        <f t="shared" si="103"/>
        <v>50.706873668099973</v>
      </c>
      <c r="Y459" s="18"/>
      <c r="Z459" s="7"/>
      <c r="AA459" s="1"/>
      <c r="AB459" s="1"/>
      <c r="AC459" s="1"/>
    </row>
    <row r="460" spans="1:29" x14ac:dyDescent="0.3">
      <c r="A460">
        <v>459</v>
      </c>
      <c r="E460">
        <v>-303.6896215571</v>
      </c>
      <c r="F460">
        <v>46.407354302626999</v>
      </c>
      <c r="G460">
        <v>383.47354097857999</v>
      </c>
      <c r="H460">
        <v>51.554234684295999</v>
      </c>
      <c r="I460">
        <v>-168.69338777350001</v>
      </c>
      <c r="J460">
        <v>197.21029962819</v>
      </c>
      <c r="L460" s="1">
        <f t="shared" si="104"/>
        <v>3.4533903180000038</v>
      </c>
      <c r="M460">
        <f t="shared" si="105"/>
        <v>1631.3497764444896</v>
      </c>
      <c r="N460">
        <f t="shared" si="97"/>
        <v>4.5315271567902489</v>
      </c>
      <c r="O460">
        <f t="shared" si="98"/>
        <v>51.554234684295999</v>
      </c>
      <c r="P460">
        <f t="shared" si="99"/>
        <v>409</v>
      </c>
      <c r="Q460">
        <f t="shared" si="93"/>
        <v>102.36630330055499</v>
      </c>
      <c r="R460">
        <f t="shared" si="100"/>
        <v>102.36630330055499</v>
      </c>
      <c r="S460">
        <f t="shared" si="95"/>
        <v>105.31730931456468</v>
      </c>
      <c r="T460">
        <f t="shared" si="101"/>
        <v>105.31730931456468</v>
      </c>
      <c r="U460" s="3">
        <f t="shared" si="102"/>
        <v>197.21029962819</v>
      </c>
      <c r="V460">
        <f t="shared" si="94"/>
        <v>356</v>
      </c>
      <c r="W460" s="8">
        <f t="shared" si="96"/>
        <v>50.693738058609995</v>
      </c>
      <c r="X460" s="1">
        <f t="shared" si="103"/>
        <v>50.693738058609995</v>
      </c>
      <c r="Y460" s="18"/>
      <c r="Z460" s="7"/>
      <c r="AA460" s="1"/>
      <c r="AB460" s="1"/>
      <c r="AC460" s="1"/>
    </row>
    <row r="461" spans="1:29" x14ac:dyDescent="0.3">
      <c r="A461">
        <v>460</v>
      </c>
      <c r="E461">
        <v>-303.52289670120001</v>
      </c>
      <c r="F461">
        <v>46.481579078864002</v>
      </c>
      <c r="G461">
        <v>380.33616076228998</v>
      </c>
      <c r="H461">
        <v>51.788287167462997</v>
      </c>
      <c r="I461">
        <v>-165.2491983733</v>
      </c>
      <c r="J461">
        <v>197.63085360418</v>
      </c>
      <c r="L461" s="1">
        <f t="shared" si="104"/>
        <v>3.4441894002000026</v>
      </c>
      <c r="M461">
        <f t="shared" si="105"/>
        <v>1634.7939658446896</v>
      </c>
      <c r="N461">
        <f t="shared" si="97"/>
        <v>4.5410943495685823</v>
      </c>
      <c r="O461">
        <f t="shared" si="98"/>
        <v>51.788287167462997</v>
      </c>
      <c r="P461">
        <f t="shared" si="99"/>
        <v>410</v>
      </c>
      <c r="Q461">
        <f t="shared" si="93"/>
        <v>102.44931060690701</v>
      </c>
      <c r="R461">
        <f t="shared" si="100"/>
        <v>102.44931060690701</v>
      </c>
      <c r="S461">
        <f t="shared" si="95"/>
        <v>105.37640696601173</v>
      </c>
      <c r="T461">
        <f t="shared" si="101"/>
        <v>105.37640696601173</v>
      </c>
      <c r="U461" s="3">
        <f t="shared" si="102"/>
        <v>197.63085360418</v>
      </c>
      <c r="V461">
        <f t="shared" si="94"/>
        <v>357</v>
      </c>
      <c r="W461" s="8">
        <f t="shared" si="96"/>
        <v>50.649822543429991</v>
      </c>
      <c r="X461" s="1">
        <f t="shared" si="103"/>
        <v>50.649822543429991</v>
      </c>
      <c r="Y461" s="18"/>
      <c r="Z461" s="7"/>
      <c r="AA461" s="1"/>
      <c r="AB461" s="1"/>
      <c r="AC461" s="1"/>
    </row>
    <row r="462" spans="1:29" x14ac:dyDescent="0.3">
      <c r="A462">
        <v>461</v>
      </c>
      <c r="E462">
        <v>-303.3237958039</v>
      </c>
      <c r="F462">
        <v>46.708881281193001</v>
      </c>
      <c r="G462">
        <v>377.20818501346002</v>
      </c>
      <c r="H462">
        <v>52.056083800175003</v>
      </c>
      <c r="I462">
        <v>-161.83072552510001</v>
      </c>
      <c r="J462">
        <v>198.08907668634001</v>
      </c>
      <c r="L462" s="1">
        <f t="shared" si="104"/>
        <v>3.4184728481999969</v>
      </c>
      <c r="M462">
        <f t="shared" si="105"/>
        <v>1638.2124386928897</v>
      </c>
      <c r="N462">
        <f t="shared" si="97"/>
        <v>4.5505901074802493</v>
      </c>
      <c r="O462">
        <f t="shared" si="98"/>
        <v>52.056083800175003</v>
      </c>
      <c r="P462">
        <f t="shared" si="99"/>
        <v>411</v>
      </c>
      <c r="Q462">
        <f t="shared" si="93"/>
        <v>102.614898362603</v>
      </c>
      <c r="R462">
        <f t="shared" si="100"/>
        <v>102.614898362603</v>
      </c>
      <c r="S462">
        <f t="shared" si="95"/>
        <v>105.54259439055883</v>
      </c>
      <c r="T462">
        <f t="shared" si="101"/>
        <v>105.54259439055883</v>
      </c>
      <c r="U462" s="3">
        <f t="shared" si="102"/>
        <v>198.08907668634001</v>
      </c>
      <c r="V462">
        <f t="shared" si="94"/>
        <v>358</v>
      </c>
      <c r="W462" s="8">
        <f t="shared" si="96"/>
        <v>50.620443713700013</v>
      </c>
      <c r="X462" s="1">
        <f t="shared" si="103"/>
        <v>50.620443713700013</v>
      </c>
      <c r="Y462" s="18"/>
      <c r="Z462" s="7"/>
      <c r="AA462" s="1"/>
      <c r="AB462" s="1"/>
      <c r="AC462" s="1"/>
    </row>
    <row r="463" spans="1:29" x14ac:dyDescent="0.3">
      <c r="A463">
        <v>462</v>
      </c>
      <c r="E463">
        <v>-303.0927758231</v>
      </c>
      <c r="F463">
        <v>47.241148125004003</v>
      </c>
      <c r="G463">
        <v>374.11961576095001</v>
      </c>
      <c r="H463">
        <v>52.202189261344003</v>
      </c>
      <c r="I463">
        <v>-158.423782284</v>
      </c>
      <c r="J463">
        <v>198.58823825787999</v>
      </c>
      <c r="L463" s="1">
        <f t="shared" si="104"/>
        <v>3.4069432411000093</v>
      </c>
      <c r="M463">
        <f t="shared" si="105"/>
        <v>1641.6193819339896</v>
      </c>
      <c r="N463">
        <f t="shared" si="97"/>
        <v>4.5600538387055272</v>
      </c>
      <c r="O463">
        <f t="shared" si="98"/>
        <v>52.202189261344003</v>
      </c>
      <c r="P463">
        <f t="shared" si="99"/>
        <v>412</v>
      </c>
      <c r="Q463">
        <f t="shared" si="93"/>
        <v>102.611530436332</v>
      </c>
      <c r="R463">
        <f t="shared" si="100"/>
        <v>102.611530436332</v>
      </c>
      <c r="S463">
        <f t="shared" si="95"/>
        <v>105.54830125258023</v>
      </c>
      <c r="T463">
        <f t="shared" si="101"/>
        <v>105.54830125258023</v>
      </c>
      <c r="U463" s="3">
        <f t="shared" si="102"/>
        <v>198.58823825787999</v>
      </c>
      <c r="V463">
        <f t="shared" si="94"/>
        <v>359</v>
      </c>
      <c r="W463" s="8">
        <f t="shared" si="96"/>
        <v>50.656612413070008</v>
      </c>
      <c r="X463" s="1">
        <f t="shared" si="103"/>
        <v>50.656612413070008</v>
      </c>
      <c r="Y463" s="18"/>
      <c r="Z463" s="7"/>
      <c r="AA463" s="1"/>
      <c r="AB463" s="1"/>
      <c r="AC463" s="1"/>
    </row>
    <row r="464" spans="1:29" x14ac:dyDescent="0.3">
      <c r="A464">
        <v>463</v>
      </c>
      <c r="E464">
        <v>-302.89241910589999</v>
      </c>
      <c r="F464">
        <v>48.001772713919998</v>
      </c>
      <c r="G464">
        <v>371.07697488205997</v>
      </c>
      <c r="H464">
        <v>52.299413847041002</v>
      </c>
      <c r="I464">
        <v>-155.01829588359999</v>
      </c>
      <c r="J464">
        <v>199.06239414256001</v>
      </c>
      <c r="L464" s="1">
        <f t="shared" si="104"/>
        <v>3.4054864004000081</v>
      </c>
      <c r="M464">
        <f t="shared" si="105"/>
        <v>1645.0248683343896</v>
      </c>
      <c r="N464">
        <f t="shared" si="97"/>
        <v>4.5695135231510822</v>
      </c>
      <c r="O464">
        <f t="shared" si="98"/>
        <v>52.299413847041002</v>
      </c>
      <c r="P464">
        <f t="shared" si="99"/>
        <v>413</v>
      </c>
      <c r="Q464">
        <f t="shared" si="93"/>
        <v>102.53598292559801</v>
      </c>
      <c r="R464">
        <f t="shared" si="100"/>
        <v>102.53598292559801</v>
      </c>
      <c r="S464">
        <f t="shared" si="95"/>
        <v>105.46784751323673</v>
      </c>
      <c r="T464">
        <f t="shared" si="101"/>
        <v>105.46784751323673</v>
      </c>
      <c r="U464" s="3">
        <f t="shared" si="102"/>
        <v>199.06239414256001</v>
      </c>
      <c r="V464">
        <f t="shared" si="94"/>
        <v>360</v>
      </c>
      <c r="W464" s="8">
        <f t="shared" si="96"/>
        <v>50.653515355180019</v>
      </c>
      <c r="X464" s="1">
        <f t="shared" si="103"/>
        <v>50.653515355180019</v>
      </c>
      <c r="Y464" s="18"/>
      <c r="Z464" s="7"/>
      <c r="AA464" s="1"/>
      <c r="AB464" s="1"/>
      <c r="AC464" s="1"/>
    </row>
    <row r="465" spans="1:29" x14ac:dyDescent="0.3">
      <c r="A465">
        <v>464</v>
      </c>
      <c r="E465">
        <v>-302.67919958160002</v>
      </c>
      <c r="F465">
        <v>48.910406400905998</v>
      </c>
      <c r="G465">
        <v>368.07608702847</v>
      </c>
      <c r="H465">
        <v>52.427278248275996</v>
      </c>
      <c r="I465">
        <v>-151.6239614319</v>
      </c>
      <c r="J465">
        <v>199.55198690275</v>
      </c>
      <c r="L465" s="1">
        <f t="shared" si="104"/>
        <v>3.39433445169999</v>
      </c>
      <c r="M465">
        <f t="shared" si="105"/>
        <v>1648.4192027860895</v>
      </c>
      <c r="N465">
        <f t="shared" si="97"/>
        <v>4.5789422299613598</v>
      </c>
      <c r="O465">
        <f t="shared" si="98"/>
        <v>52.427278248275996</v>
      </c>
      <c r="P465">
        <f t="shared" si="99"/>
        <v>414</v>
      </c>
      <c r="Q465">
        <f t="shared" si="93"/>
        <v>102.497565565785</v>
      </c>
      <c r="R465">
        <f t="shared" si="100"/>
        <v>102.497565565785</v>
      </c>
      <c r="S465">
        <f t="shared" si="95"/>
        <v>105.42929501690709</v>
      </c>
      <c r="T465">
        <f t="shared" si="101"/>
        <v>105.42929501690709</v>
      </c>
      <c r="U465" s="3">
        <f t="shared" si="102"/>
        <v>199.55198690275</v>
      </c>
      <c r="V465">
        <f t="shared" si="94"/>
        <v>361</v>
      </c>
      <c r="W465" s="8">
        <f t="shared" si="96"/>
        <v>50.668940938269998</v>
      </c>
      <c r="X465" s="1">
        <f t="shared" si="103"/>
        <v>50.668940938269998</v>
      </c>
      <c r="Y465" s="18"/>
      <c r="Z465" s="7"/>
      <c r="AA465" s="1"/>
      <c r="AB465" s="1"/>
      <c r="AC465" s="1"/>
    </row>
    <row r="466" spans="1:29" x14ac:dyDescent="0.3">
      <c r="A466">
        <v>465</v>
      </c>
      <c r="E466">
        <v>-302.4731704271</v>
      </c>
      <c r="F466">
        <v>49.932625618442998</v>
      </c>
      <c r="G466">
        <v>365.11142755867002</v>
      </c>
      <c r="H466">
        <v>52.619392140571001</v>
      </c>
      <c r="I466">
        <v>-148.24261329640001</v>
      </c>
      <c r="J466">
        <v>200.03609796360999</v>
      </c>
      <c r="L466" s="1">
        <f t="shared" si="104"/>
        <v>3.3813481354999908</v>
      </c>
      <c r="M466">
        <f t="shared" si="105"/>
        <v>1651.8005509215895</v>
      </c>
      <c r="N466">
        <f t="shared" si="97"/>
        <v>4.5883348636710819</v>
      </c>
      <c r="O466">
        <f t="shared" si="98"/>
        <v>52.619392140571001</v>
      </c>
      <c r="P466">
        <f t="shared" si="99"/>
        <v>415</v>
      </c>
      <c r="Q466">
        <f t="shared" ref="Q466:Q529" si="106">IF(P466=0,0,O466+INDEX(O:O,P466))</f>
        <v>102.564521135926</v>
      </c>
      <c r="R466">
        <f t="shared" si="100"/>
        <v>102.564521135926</v>
      </c>
      <c r="S466">
        <f t="shared" si="95"/>
        <v>105.48814288066397</v>
      </c>
      <c r="T466">
        <f t="shared" si="101"/>
        <v>105.48814288066397</v>
      </c>
      <c r="U466" s="3">
        <f t="shared" si="102"/>
        <v>200.03609796360999</v>
      </c>
      <c r="V466">
        <f t="shared" si="94"/>
        <v>362</v>
      </c>
      <c r="W466" s="8">
        <f t="shared" si="96"/>
        <v>50.664185237989983</v>
      </c>
      <c r="X466" s="1">
        <f t="shared" si="103"/>
        <v>50.664185237989983</v>
      </c>
      <c r="Y466" s="18"/>
      <c r="Z466" s="7"/>
      <c r="AA466" s="1"/>
      <c r="AB466" s="1"/>
      <c r="AC466" s="1"/>
    </row>
    <row r="467" spans="1:29" x14ac:dyDescent="0.3">
      <c r="A467">
        <v>466</v>
      </c>
      <c r="E467">
        <v>-302.2483967627</v>
      </c>
      <c r="F467">
        <v>51.215226094426001</v>
      </c>
      <c r="G467">
        <v>362.25125075003001</v>
      </c>
      <c r="H467">
        <v>52.713862686397</v>
      </c>
      <c r="I467">
        <v>-144.86923896650001</v>
      </c>
      <c r="J467">
        <v>200.54101009239</v>
      </c>
      <c r="L467" s="1">
        <f t="shared" si="104"/>
        <v>3.3733743299000025</v>
      </c>
      <c r="M467">
        <f t="shared" si="105"/>
        <v>1655.1739252514894</v>
      </c>
      <c r="N467">
        <f t="shared" si="97"/>
        <v>4.5977053479208037</v>
      </c>
      <c r="O467">
        <f t="shared" si="98"/>
        <v>52.713862686397</v>
      </c>
      <c r="P467">
        <f t="shared" si="99"/>
        <v>416</v>
      </c>
      <c r="Q467">
        <f t="shared" si="106"/>
        <v>102.52319507141701</v>
      </c>
      <c r="R467">
        <f t="shared" si="100"/>
        <v>102.52319507141701</v>
      </c>
      <c r="S467">
        <f t="shared" si="95"/>
        <v>105.44673871420856</v>
      </c>
      <c r="T467">
        <f t="shared" si="101"/>
        <v>105.44673871420856</v>
      </c>
      <c r="U467" s="3">
        <f t="shared" si="102"/>
        <v>200.54101009239</v>
      </c>
      <c r="V467">
        <f t="shared" si="94"/>
        <v>363</v>
      </c>
      <c r="W467" s="8">
        <f t="shared" si="96"/>
        <v>50.680962841039985</v>
      </c>
      <c r="X467" s="1">
        <f t="shared" si="103"/>
        <v>50.680962841039985</v>
      </c>
      <c r="Y467" s="18"/>
      <c r="Z467" s="7"/>
      <c r="AA467" s="1"/>
      <c r="AB467" s="1"/>
      <c r="AC467" s="1"/>
    </row>
    <row r="468" spans="1:29" x14ac:dyDescent="0.3">
      <c r="A468">
        <v>467</v>
      </c>
      <c r="E468">
        <v>-302.01885513399998</v>
      </c>
      <c r="F468">
        <v>52.697089857709003</v>
      </c>
      <c r="G468">
        <v>359.48935496744002</v>
      </c>
      <c r="H468">
        <v>52.768564867968998</v>
      </c>
      <c r="I468">
        <v>-141.50038729170001</v>
      </c>
      <c r="J468">
        <v>201.05083380805999</v>
      </c>
      <c r="L468" s="1">
        <f t="shared" si="104"/>
        <v>3.3688516747999984</v>
      </c>
      <c r="M468">
        <f t="shared" si="105"/>
        <v>1658.5427769262894</v>
      </c>
      <c r="N468">
        <f t="shared" si="97"/>
        <v>4.6070632692396929</v>
      </c>
      <c r="O468">
        <f t="shared" si="98"/>
        <v>52.768564867968998</v>
      </c>
      <c r="P468">
        <f t="shared" si="99"/>
        <v>417</v>
      </c>
      <c r="Q468">
        <f t="shared" si="106"/>
        <v>102.46267466306699</v>
      </c>
      <c r="R468">
        <f t="shared" si="100"/>
        <v>102.46267466306699</v>
      </c>
      <c r="S468">
        <f t="shared" si="95"/>
        <v>105.39382423204788</v>
      </c>
      <c r="T468">
        <f t="shared" si="101"/>
        <v>105.39382423204788</v>
      </c>
      <c r="U468" s="3">
        <f t="shared" si="102"/>
        <v>201.05083380805999</v>
      </c>
      <c r="V468">
        <f t="shared" si="94"/>
        <v>364</v>
      </c>
      <c r="W468" s="8">
        <f t="shared" si="96"/>
        <v>50.726399392869979</v>
      </c>
      <c r="X468" s="1">
        <f t="shared" si="103"/>
        <v>50.726399392869979</v>
      </c>
      <c r="Y468" s="18"/>
      <c r="Z468" s="7"/>
      <c r="AA468" s="1"/>
      <c r="AB468" s="1"/>
      <c r="AC468" s="1"/>
    </row>
    <row r="469" spans="1:29" x14ac:dyDescent="0.3">
      <c r="A469">
        <v>468</v>
      </c>
      <c r="E469">
        <v>-301.82658638959998</v>
      </c>
      <c r="F469">
        <v>54.273192951928998</v>
      </c>
      <c r="G469">
        <v>356.77716134397002</v>
      </c>
      <c r="H469">
        <v>52.899532010032999</v>
      </c>
      <c r="I469">
        <v>-138.13345588799999</v>
      </c>
      <c r="J469">
        <v>201.52335385360001</v>
      </c>
      <c r="L469" s="1">
        <f t="shared" si="104"/>
        <v>3.366931403700022</v>
      </c>
      <c r="M469">
        <f t="shared" si="105"/>
        <v>1661.9097083299894</v>
      </c>
      <c r="N469">
        <f t="shared" si="97"/>
        <v>4.6164158564721927</v>
      </c>
      <c r="O469">
        <f t="shared" si="98"/>
        <v>52.899532010032999</v>
      </c>
      <c r="P469">
        <f t="shared" si="99"/>
        <v>418</v>
      </c>
      <c r="Q469">
        <f t="shared" si="106"/>
        <v>102.502368730453</v>
      </c>
      <c r="R469">
        <f t="shared" si="100"/>
        <v>102.502368730453</v>
      </c>
      <c r="S469">
        <f t="shared" si="95"/>
        <v>105.42987317545732</v>
      </c>
      <c r="T469">
        <f t="shared" si="101"/>
        <v>105.42987317545732</v>
      </c>
      <c r="U469" s="3">
        <f t="shared" si="102"/>
        <v>201.52335385360001</v>
      </c>
      <c r="V469">
        <f t="shared" si="94"/>
        <v>365</v>
      </c>
      <c r="W469" s="8">
        <f t="shared" si="96"/>
        <v>50.713186170770001</v>
      </c>
      <c r="X469" s="1">
        <f t="shared" si="103"/>
        <v>50.713186170770001</v>
      </c>
      <c r="Y469" s="18"/>
      <c r="Z469" s="7"/>
      <c r="AA469" s="1"/>
      <c r="AB469" s="1"/>
      <c r="AC469" s="1"/>
    </row>
    <row r="470" spans="1:29" x14ac:dyDescent="0.3">
      <c r="A470">
        <v>469</v>
      </c>
      <c r="E470">
        <v>-301.61659887280001</v>
      </c>
      <c r="F470">
        <v>56.016327237185003</v>
      </c>
      <c r="G470">
        <v>354.17078958306001</v>
      </c>
      <c r="H470">
        <v>53.014730341511999</v>
      </c>
      <c r="I470">
        <v>-134.77656385349999</v>
      </c>
      <c r="J470">
        <v>202.01177875642</v>
      </c>
      <c r="L470" s="1">
        <f t="shared" si="104"/>
        <v>3.3568920344999924</v>
      </c>
      <c r="M470">
        <f t="shared" si="105"/>
        <v>1665.2666003644895</v>
      </c>
      <c r="N470">
        <f t="shared" si="97"/>
        <v>4.6257405565680267</v>
      </c>
      <c r="O470">
        <f t="shared" si="98"/>
        <v>53.014730341511999</v>
      </c>
      <c r="P470">
        <f t="shared" si="99"/>
        <v>419</v>
      </c>
      <c r="Q470">
        <f t="shared" si="106"/>
        <v>102.50110332735801</v>
      </c>
      <c r="R470">
        <f t="shared" si="100"/>
        <v>102.50110332735801</v>
      </c>
      <c r="S470">
        <f t="shared" si="95"/>
        <v>105.43094354183151</v>
      </c>
      <c r="T470">
        <f t="shared" si="101"/>
        <v>105.43094354183151</v>
      </c>
      <c r="U470" s="3">
        <f t="shared" si="102"/>
        <v>202.01177875642</v>
      </c>
      <c r="V470">
        <f t="shared" si="94"/>
        <v>366</v>
      </c>
      <c r="W470" s="8">
        <f t="shared" si="96"/>
        <v>50.705177359499999</v>
      </c>
      <c r="X470" s="1">
        <f t="shared" si="103"/>
        <v>50.705177359499999</v>
      </c>
      <c r="Y470" s="18"/>
      <c r="Z470" s="7"/>
      <c r="AA470" s="1"/>
      <c r="AB470" s="1"/>
      <c r="AC470" s="1"/>
    </row>
    <row r="471" spans="1:29" x14ac:dyDescent="0.3">
      <c r="A471">
        <v>470</v>
      </c>
      <c r="E471">
        <v>-301.39158013460002</v>
      </c>
      <c r="F471">
        <v>57.926513138955997</v>
      </c>
      <c r="G471">
        <v>351.68536703668002</v>
      </c>
      <c r="H471">
        <v>53.105032722464998</v>
      </c>
      <c r="I471">
        <v>-131.42718214499999</v>
      </c>
      <c r="J471">
        <v>202.51221995897001</v>
      </c>
      <c r="L471" s="1">
        <f t="shared" si="104"/>
        <v>3.3493817085000046</v>
      </c>
      <c r="M471">
        <f t="shared" si="105"/>
        <v>1668.6159820729895</v>
      </c>
      <c r="N471">
        <f t="shared" si="97"/>
        <v>4.6350443946471929</v>
      </c>
      <c r="O471">
        <f t="shared" si="98"/>
        <v>53.105032722464998</v>
      </c>
      <c r="P471">
        <f t="shared" si="99"/>
        <v>420</v>
      </c>
      <c r="Q471">
        <f t="shared" si="106"/>
        <v>102.51768148078699</v>
      </c>
      <c r="R471">
        <f t="shared" si="100"/>
        <v>102.51768148078699</v>
      </c>
      <c r="S471">
        <f t="shared" si="95"/>
        <v>105.45175065511542</v>
      </c>
      <c r="T471">
        <f t="shared" si="101"/>
        <v>105.45175065511542</v>
      </c>
      <c r="U471" s="3">
        <f t="shared" si="102"/>
        <v>202.51221995897001</v>
      </c>
      <c r="V471">
        <f t="shared" si="94"/>
        <v>367</v>
      </c>
      <c r="W471" s="8">
        <f t="shared" si="96"/>
        <v>50.704258795950011</v>
      </c>
      <c r="X471" s="1">
        <f t="shared" si="103"/>
        <v>50.704258795950011</v>
      </c>
      <c r="Y471" s="18"/>
      <c r="Z471" s="7"/>
      <c r="AA471" s="1"/>
      <c r="AB471" s="1"/>
      <c r="AC471" s="1"/>
    </row>
    <row r="472" spans="1:29" x14ac:dyDescent="0.3">
      <c r="A472">
        <v>471</v>
      </c>
      <c r="E472">
        <v>-301.16112478460002</v>
      </c>
      <c r="F472">
        <v>59.973546077644997</v>
      </c>
      <c r="G472">
        <v>349.31204766616997</v>
      </c>
      <c r="H472">
        <v>53.199511080120999</v>
      </c>
      <c r="I472">
        <v>-128.08421483250001</v>
      </c>
      <c r="J472">
        <v>203.01461176756001</v>
      </c>
      <c r="L472" s="1">
        <f t="shared" si="104"/>
        <v>3.3429673124999795</v>
      </c>
      <c r="M472">
        <f t="shared" si="105"/>
        <v>1671.9589493854894</v>
      </c>
      <c r="N472">
        <f t="shared" si="97"/>
        <v>4.6443304149596925</v>
      </c>
      <c r="O472">
        <f t="shared" si="98"/>
        <v>53.199511080120999</v>
      </c>
      <c r="P472">
        <f t="shared" si="99"/>
        <v>421</v>
      </c>
      <c r="Q472">
        <f t="shared" si="106"/>
        <v>102.532592193632</v>
      </c>
      <c r="R472">
        <f t="shared" si="100"/>
        <v>102.532592193632</v>
      </c>
      <c r="S472">
        <f t="shared" si="95"/>
        <v>105.46754558237086</v>
      </c>
      <c r="T472">
        <f t="shared" si="101"/>
        <v>105.46754558237086</v>
      </c>
      <c r="U472" s="3">
        <f t="shared" si="102"/>
        <v>203.01461176756001</v>
      </c>
      <c r="V472">
        <f t="shared" si="94"/>
        <v>368</v>
      </c>
      <c r="W472" s="8">
        <f t="shared" si="96"/>
        <v>50.723763868200024</v>
      </c>
      <c r="X472" s="1">
        <f t="shared" si="103"/>
        <v>50.723763868200024</v>
      </c>
      <c r="Y472" s="18"/>
      <c r="Z472" s="7"/>
      <c r="AA472" s="1"/>
      <c r="AB472" s="1"/>
      <c r="AC472" s="1"/>
    </row>
    <row r="473" spans="1:29" x14ac:dyDescent="0.3">
      <c r="A473">
        <v>472</v>
      </c>
      <c r="E473">
        <v>-300.94283564990002</v>
      </c>
      <c r="F473">
        <v>62.159420976016001</v>
      </c>
      <c r="G473">
        <v>347.06478133634999</v>
      </c>
      <c r="H473">
        <v>53.287874270708997</v>
      </c>
      <c r="I473">
        <v>-124.74397922910001</v>
      </c>
      <c r="J473">
        <v>203.50038461706001</v>
      </c>
      <c r="L473" s="1">
        <f t="shared" si="104"/>
        <v>3.3402356034000036</v>
      </c>
      <c r="M473">
        <f t="shared" si="105"/>
        <v>1675.2991849888895</v>
      </c>
      <c r="N473">
        <f t="shared" si="97"/>
        <v>4.6536088471913599</v>
      </c>
      <c r="O473">
        <f t="shared" si="98"/>
        <v>53.287874270708997</v>
      </c>
      <c r="P473">
        <f t="shared" si="99"/>
        <v>422</v>
      </c>
      <c r="Q473">
        <f t="shared" si="106"/>
        <v>102.512193657578</v>
      </c>
      <c r="R473">
        <f t="shared" si="100"/>
        <v>102.512193657578</v>
      </c>
      <c r="S473">
        <f t="shared" si="95"/>
        <v>105.45010159081231</v>
      </c>
      <c r="T473">
        <f t="shared" si="101"/>
        <v>105.45010159081231</v>
      </c>
      <c r="U473" s="3">
        <f t="shared" si="102"/>
        <v>203.50038461706001</v>
      </c>
      <c r="V473">
        <f t="shared" si="94"/>
        <v>369</v>
      </c>
      <c r="W473" s="8">
        <f t="shared" si="96"/>
        <v>50.725261317700017</v>
      </c>
      <c r="X473" s="1">
        <f t="shared" si="103"/>
        <v>50.725261317700017</v>
      </c>
      <c r="Y473" s="18"/>
      <c r="Z473" s="7"/>
      <c r="AA473" s="1"/>
      <c r="AB473" s="1"/>
      <c r="AC473" s="1"/>
    </row>
    <row r="474" spans="1:29" x14ac:dyDescent="0.3">
      <c r="A474">
        <v>473</v>
      </c>
      <c r="E474">
        <v>-300.71631981870001</v>
      </c>
      <c r="F474">
        <v>64.474319276806</v>
      </c>
      <c r="G474">
        <v>344.95169167760997</v>
      </c>
      <c r="H474">
        <v>53.370719968301998</v>
      </c>
      <c r="I474">
        <v>-121.40950966920001</v>
      </c>
      <c r="J474">
        <v>203.98880165428</v>
      </c>
      <c r="L474" s="1">
        <f t="shared" si="104"/>
        <v>3.3344695599000005</v>
      </c>
      <c r="M474">
        <f t="shared" si="105"/>
        <v>1678.6336545487895</v>
      </c>
      <c r="N474">
        <f t="shared" si="97"/>
        <v>4.6628712626355266</v>
      </c>
      <c r="O474">
        <f t="shared" si="98"/>
        <v>53.370719968301998</v>
      </c>
      <c r="P474">
        <f t="shared" si="99"/>
        <v>423</v>
      </c>
      <c r="Q474">
        <f t="shared" si="106"/>
        <v>102.494703413873</v>
      </c>
      <c r="R474">
        <f t="shared" si="100"/>
        <v>102.494703413873</v>
      </c>
      <c r="S474">
        <f t="shared" si="95"/>
        <v>105.43569070923309</v>
      </c>
      <c r="T474">
        <f t="shared" si="101"/>
        <v>105.43569070923309</v>
      </c>
      <c r="U474" s="3">
        <f t="shared" si="102"/>
        <v>203.98880165428</v>
      </c>
      <c r="V474">
        <f t="shared" si="94"/>
        <v>370</v>
      </c>
      <c r="W474" s="8">
        <f t="shared" si="96"/>
        <v>50.731378746969995</v>
      </c>
      <c r="X474" s="1">
        <f t="shared" si="103"/>
        <v>50.731378746969995</v>
      </c>
      <c r="Y474" s="18"/>
      <c r="Z474" s="7"/>
      <c r="AA474" s="1"/>
      <c r="AB474" s="1"/>
      <c r="AC474" s="1"/>
    </row>
    <row r="475" spans="1:29" x14ac:dyDescent="0.3">
      <c r="A475">
        <v>474</v>
      </c>
      <c r="E475">
        <v>-300.48382428799999</v>
      </c>
      <c r="F475">
        <v>66.911132290286005</v>
      </c>
      <c r="G475">
        <v>342.98060397479998</v>
      </c>
      <c r="H475">
        <v>53.446852772341003</v>
      </c>
      <c r="I475">
        <v>-118.07937326850001</v>
      </c>
      <c r="J475">
        <v>204.47671076048999</v>
      </c>
      <c r="L475" s="1">
        <f t="shared" si="104"/>
        <v>3.3301364006999989</v>
      </c>
      <c r="M475">
        <f t="shared" si="105"/>
        <v>1681.9637909494895</v>
      </c>
      <c r="N475">
        <f t="shared" si="97"/>
        <v>4.6721216415263598</v>
      </c>
      <c r="O475">
        <f t="shared" si="98"/>
        <v>53.446852772341003</v>
      </c>
      <c r="P475">
        <f t="shared" si="99"/>
        <v>423</v>
      </c>
      <c r="Q475">
        <f t="shared" si="106"/>
        <v>102.570836217912</v>
      </c>
      <c r="R475">
        <f t="shared" si="100"/>
        <v>102.570836217912</v>
      </c>
      <c r="S475">
        <f t="shared" si="95"/>
        <v>105.58212548103158</v>
      </c>
      <c r="T475">
        <f t="shared" si="101"/>
        <v>105.58212548103158</v>
      </c>
      <c r="U475" s="3">
        <f t="shared" si="102"/>
        <v>204.47671076048999</v>
      </c>
      <c r="V475">
        <f t="shared" si="94"/>
        <v>371</v>
      </c>
      <c r="W475" s="8">
        <f t="shared" si="96"/>
        <v>50.72620054942999</v>
      </c>
      <c r="X475" s="1">
        <f t="shared" si="103"/>
        <v>50.72620054942999</v>
      </c>
      <c r="Y475" s="18"/>
      <c r="Z475" s="7"/>
      <c r="AA475" s="1"/>
      <c r="AB475" s="1"/>
      <c r="AC475" s="1"/>
    </row>
    <row r="476" spans="1:29" x14ac:dyDescent="0.3">
      <c r="A476">
        <v>475</v>
      </c>
      <c r="E476">
        <v>-300.2468405875</v>
      </c>
      <c r="F476">
        <v>69.465885821138002</v>
      </c>
      <c r="G476">
        <v>341.16604149381999</v>
      </c>
      <c r="H476">
        <v>53.507307660328998</v>
      </c>
      <c r="I476">
        <v>-114.75286384010001</v>
      </c>
      <c r="J476">
        <v>204.96130179113999</v>
      </c>
      <c r="L476" s="1">
        <f t="shared" si="104"/>
        <v>3.3265094284000014</v>
      </c>
      <c r="M476">
        <f t="shared" si="105"/>
        <v>1685.2903003778895</v>
      </c>
      <c r="N476">
        <f t="shared" si="97"/>
        <v>4.6813619454941371</v>
      </c>
      <c r="O476">
        <f t="shared" si="98"/>
        <v>53.507307660328998</v>
      </c>
      <c r="P476">
        <f t="shared" si="99"/>
        <v>424</v>
      </c>
      <c r="Q476">
        <f t="shared" si="106"/>
        <v>102.543956319724</v>
      </c>
      <c r="R476">
        <f t="shared" si="100"/>
        <v>102.543956319724</v>
      </c>
      <c r="S476">
        <f t="shared" si="95"/>
        <v>105.56271678938076</v>
      </c>
      <c r="T476">
        <f t="shared" si="101"/>
        <v>105.56271678938076</v>
      </c>
      <c r="U476" s="3">
        <f t="shared" si="102"/>
        <v>204.96130179113999</v>
      </c>
      <c r="V476">
        <f t="shared" si="94"/>
        <v>372</v>
      </c>
      <c r="W476" s="8">
        <f t="shared" si="96"/>
        <v>50.720928520409984</v>
      </c>
      <c r="X476" s="1">
        <f t="shared" si="103"/>
        <v>50.720928520409984</v>
      </c>
      <c r="Y476" s="18"/>
      <c r="Z476" s="7"/>
      <c r="AA476" s="1"/>
      <c r="AB476" s="1"/>
      <c r="AC476" s="1"/>
    </row>
    <row r="477" spans="1:29" x14ac:dyDescent="0.3">
      <c r="A477">
        <v>476</v>
      </c>
      <c r="E477">
        <v>-299.99813924519998</v>
      </c>
      <c r="F477">
        <v>72.124566652724994</v>
      </c>
      <c r="G477">
        <v>339.50883171226002</v>
      </c>
      <c r="H477">
        <v>53.558975426182997</v>
      </c>
      <c r="I477">
        <v>-111.4300045352</v>
      </c>
      <c r="J477">
        <v>205.44914318796</v>
      </c>
      <c r="L477" s="1">
        <f t="shared" si="104"/>
        <v>3.3228593049000068</v>
      </c>
      <c r="M477">
        <f t="shared" si="105"/>
        <v>1688.6131596827895</v>
      </c>
      <c r="N477">
        <f t="shared" si="97"/>
        <v>4.6905921102299706</v>
      </c>
      <c r="O477">
        <f t="shared" si="98"/>
        <v>53.558975426182997</v>
      </c>
      <c r="P477">
        <f t="shared" si="99"/>
        <v>425</v>
      </c>
      <c r="Q477">
        <f t="shared" si="106"/>
        <v>102.52408600378</v>
      </c>
      <c r="R477">
        <f t="shared" si="100"/>
        <v>102.52408600378</v>
      </c>
      <c r="S477">
        <f t="shared" si="95"/>
        <v>105.55098349233016</v>
      </c>
      <c r="T477">
        <f t="shared" si="101"/>
        <v>105.55098349233016</v>
      </c>
      <c r="U477" s="3">
        <f t="shared" si="102"/>
        <v>205.44914318796</v>
      </c>
      <c r="V477">
        <f t="shared" si="94"/>
        <v>373</v>
      </c>
      <c r="W477" s="8">
        <f t="shared" si="96"/>
        <v>50.723107033870008</v>
      </c>
      <c r="X477" s="1">
        <f t="shared" si="103"/>
        <v>50.723107033870008</v>
      </c>
      <c r="Y477" s="18"/>
      <c r="Z477" s="7"/>
      <c r="AA477" s="1"/>
      <c r="AB477" s="1"/>
      <c r="AC477" s="1"/>
    </row>
    <row r="478" spans="1:29" x14ac:dyDescent="0.3">
      <c r="A478">
        <v>477</v>
      </c>
      <c r="E478">
        <v>-299.73645024220002</v>
      </c>
      <c r="F478">
        <v>74.876441905530996</v>
      </c>
      <c r="G478">
        <v>338.01370641018002</v>
      </c>
      <c r="H478">
        <v>53.603164687456001</v>
      </c>
      <c r="I478">
        <v>-108.1106340348</v>
      </c>
      <c r="J478">
        <v>205.94068738529</v>
      </c>
      <c r="L478" s="1">
        <f t="shared" si="104"/>
        <v>3.319370500399998</v>
      </c>
      <c r="M478">
        <f t="shared" si="105"/>
        <v>1691.9325301831896</v>
      </c>
      <c r="N478">
        <f t="shared" si="97"/>
        <v>4.6998125838421929</v>
      </c>
      <c r="O478">
        <f t="shared" si="98"/>
        <v>53.603164687456001</v>
      </c>
      <c r="P478">
        <f t="shared" si="99"/>
        <v>426</v>
      </c>
      <c r="Q478">
        <f t="shared" si="106"/>
        <v>102.503695038364</v>
      </c>
      <c r="R478">
        <f t="shared" si="100"/>
        <v>102.503695038364</v>
      </c>
      <c r="S478">
        <f t="shared" si="95"/>
        <v>105.53931032995403</v>
      </c>
      <c r="T478">
        <f t="shared" si="101"/>
        <v>105.53931032995403</v>
      </c>
      <c r="U478" s="3">
        <f t="shared" si="102"/>
        <v>205.94068738529</v>
      </c>
      <c r="V478">
        <f t="shared" si="94"/>
        <v>374</v>
      </c>
      <c r="W478" s="8">
        <f t="shared" si="96"/>
        <v>50.732590265350012</v>
      </c>
      <c r="X478" s="1">
        <f t="shared" si="103"/>
        <v>50.732590265350012</v>
      </c>
      <c r="Y478" s="18"/>
      <c r="Z478" s="7"/>
      <c r="AA478" s="1"/>
      <c r="AB478" s="1"/>
      <c r="AC478" s="1"/>
    </row>
    <row r="479" spans="1:29" x14ac:dyDescent="0.3">
      <c r="A479">
        <v>478</v>
      </c>
      <c r="E479">
        <v>-299.4633795753</v>
      </c>
      <c r="F479">
        <v>77.706526286612998</v>
      </c>
      <c r="G479">
        <v>336.67501933917998</v>
      </c>
      <c r="H479">
        <v>53.651793879789999</v>
      </c>
      <c r="I479">
        <v>-104.7946541596</v>
      </c>
      <c r="J479">
        <v>206.43418274626001</v>
      </c>
      <c r="L479" s="1">
        <f t="shared" si="104"/>
        <v>3.3159798752</v>
      </c>
      <c r="M479">
        <f t="shared" si="105"/>
        <v>1695.2485100583895</v>
      </c>
      <c r="N479">
        <f t="shared" si="97"/>
        <v>4.7090236390510816</v>
      </c>
      <c r="O479">
        <f t="shared" si="98"/>
        <v>53.651793879789999</v>
      </c>
      <c r="P479">
        <f t="shared" si="99"/>
        <v>427</v>
      </c>
      <c r="Q479">
        <f t="shared" si="106"/>
        <v>102.49481139938399</v>
      </c>
      <c r="R479">
        <f t="shared" si="100"/>
        <v>102.49481139938399</v>
      </c>
      <c r="S479">
        <f t="shared" si="95"/>
        <v>105.53672952805752</v>
      </c>
      <c r="T479">
        <f t="shared" si="101"/>
        <v>105.53672952805752</v>
      </c>
      <c r="U479" s="3">
        <f t="shared" si="102"/>
        <v>206.43418274626001</v>
      </c>
      <c r="V479">
        <f t="shared" si="94"/>
        <v>375</v>
      </c>
      <c r="W479" s="8">
        <f t="shared" si="96"/>
        <v>50.738447283829998</v>
      </c>
      <c r="X479" s="1">
        <f t="shared" si="103"/>
        <v>50.738447283829998</v>
      </c>
      <c r="Y479" s="18"/>
      <c r="Z479" s="7"/>
      <c r="AA479" s="1"/>
      <c r="AB479" s="1"/>
      <c r="AC479" s="1"/>
    </row>
    <row r="480" spans="1:29" x14ac:dyDescent="0.3">
      <c r="A480">
        <v>479</v>
      </c>
      <c r="E480">
        <v>-299.18494768660003</v>
      </c>
      <c r="F480">
        <v>80.609946262144007</v>
      </c>
      <c r="G480">
        <v>335.50505111788999</v>
      </c>
      <c r="H480">
        <v>53.696032974056003</v>
      </c>
      <c r="I480">
        <v>-101.4805618818</v>
      </c>
      <c r="J480">
        <v>206.92245197806</v>
      </c>
      <c r="L480" s="1">
        <f t="shared" si="104"/>
        <v>3.3140922778000004</v>
      </c>
      <c r="M480">
        <f t="shared" si="105"/>
        <v>1698.5626023361895</v>
      </c>
      <c r="N480">
        <f t="shared" si="97"/>
        <v>4.71822945093386</v>
      </c>
      <c r="O480">
        <f t="shared" si="98"/>
        <v>53.696032974056003</v>
      </c>
      <c r="P480">
        <f t="shared" si="99"/>
        <v>428</v>
      </c>
      <c r="Q480">
        <f t="shared" si="106"/>
        <v>102.502449580527</v>
      </c>
      <c r="R480">
        <f t="shared" si="100"/>
        <v>102.502449580527</v>
      </c>
      <c r="S480">
        <f t="shared" si="95"/>
        <v>105.54641066371056</v>
      </c>
      <c r="T480">
        <f t="shared" si="101"/>
        <v>105.54641066371056</v>
      </c>
      <c r="U480" s="3">
        <f t="shared" si="102"/>
        <v>206.92245197806</v>
      </c>
      <c r="V480">
        <f t="shared" si="94"/>
        <v>376</v>
      </c>
      <c r="W480" s="8">
        <f t="shared" si="96"/>
        <v>50.744920306709986</v>
      </c>
      <c r="X480" s="1">
        <f t="shared" si="103"/>
        <v>50.744920306709986</v>
      </c>
      <c r="Y480" s="18"/>
      <c r="Z480" s="7"/>
      <c r="AA480" s="1"/>
      <c r="AB480" s="1"/>
      <c r="AC480" s="1"/>
    </row>
    <row r="481" spans="1:29" x14ac:dyDescent="0.3">
      <c r="A481">
        <v>480</v>
      </c>
      <c r="E481">
        <v>-298.89355166820002</v>
      </c>
      <c r="F481">
        <v>83.577662053002996</v>
      </c>
      <c r="G481">
        <v>334.51330319149002</v>
      </c>
      <c r="H481">
        <v>53.729825834316998</v>
      </c>
      <c r="I481">
        <v>-98.169008706010004</v>
      </c>
      <c r="J481">
        <v>207.41194081606</v>
      </c>
      <c r="L481" s="1">
        <f t="shared" si="104"/>
        <v>3.3115531757899959</v>
      </c>
      <c r="M481">
        <f t="shared" si="105"/>
        <v>1701.8741555119796</v>
      </c>
      <c r="N481">
        <f t="shared" si="97"/>
        <v>4.7274282097554989</v>
      </c>
      <c r="O481">
        <f t="shared" si="98"/>
        <v>53.729825834316998</v>
      </c>
      <c r="P481">
        <f t="shared" si="99"/>
        <v>429</v>
      </c>
      <c r="Q481">
        <f t="shared" si="106"/>
        <v>102.498131434355</v>
      </c>
      <c r="R481">
        <f t="shared" si="100"/>
        <v>102.498131434355</v>
      </c>
      <c r="S481">
        <f t="shared" si="95"/>
        <v>105.54611577769242</v>
      </c>
      <c r="T481">
        <f t="shared" si="101"/>
        <v>105.54611577769242</v>
      </c>
      <c r="U481" s="3">
        <f t="shared" si="102"/>
        <v>207.41194081606</v>
      </c>
      <c r="V481">
        <f t="shared" si="94"/>
        <v>377</v>
      </c>
      <c r="W481" s="8">
        <f t="shared" si="96"/>
        <v>50.743367092239993</v>
      </c>
      <c r="X481" s="1">
        <f t="shared" si="103"/>
        <v>50.743367092239993</v>
      </c>
      <c r="Y481" s="18"/>
      <c r="Z481" s="7"/>
      <c r="AA481" s="1"/>
      <c r="AB481" s="1"/>
      <c r="AC481" s="1"/>
    </row>
    <row r="482" spans="1:29" x14ac:dyDescent="0.3">
      <c r="A482">
        <v>481</v>
      </c>
      <c r="E482">
        <v>-298.59239836770001</v>
      </c>
      <c r="F482">
        <v>86.598483565427003</v>
      </c>
      <c r="G482">
        <v>333.70119400284</v>
      </c>
      <c r="H482">
        <v>53.755420160592003</v>
      </c>
      <c r="I482">
        <v>-94.858816582719996</v>
      </c>
      <c r="J482">
        <v>207.89889005552999</v>
      </c>
      <c r="L482" s="1">
        <f t="shared" si="104"/>
        <v>3.3101921232900082</v>
      </c>
      <c r="M482">
        <f t="shared" si="105"/>
        <v>1705.1843476352697</v>
      </c>
      <c r="N482">
        <f t="shared" si="97"/>
        <v>4.7366231878757494</v>
      </c>
      <c r="O482">
        <f t="shared" si="98"/>
        <v>53.755420160592003</v>
      </c>
      <c r="P482">
        <f t="shared" si="99"/>
        <v>430</v>
      </c>
      <c r="Q482">
        <f t="shared" si="106"/>
        <v>102.49512635518001</v>
      </c>
      <c r="R482">
        <f t="shared" si="100"/>
        <v>102.49512635518001</v>
      </c>
      <c r="S482">
        <f t="shared" si="95"/>
        <v>105.54570666396305</v>
      </c>
      <c r="T482">
        <f t="shared" si="101"/>
        <v>105.54570666396305</v>
      </c>
      <c r="U482" s="3">
        <f t="shared" si="102"/>
        <v>207.89889005552999</v>
      </c>
      <c r="V482">
        <f t="shared" si="94"/>
        <v>378</v>
      </c>
      <c r="W482" s="8">
        <f t="shared" si="96"/>
        <v>50.743097192470003</v>
      </c>
      <c r="X482" s="1">
        <f t="shared" si="103"/>
        <v>50.743097192470003</v>
      </c>
      <c r="Y482" s="18"/>
      <c r="Z482" s="7"/>
      <c r="AA482" s="1"/>
      <c r="AB482" s="1"/>
      <c r="AC482" s="1"/>
    </row>
    <row r="483" spans="1:29" x14ac:dyDescent="0.3">
      <c r="A483">
        <v>482</v>
      </c>
      <c r="E483">
        <v>-298.26923435190002</v>
      </c>
      <c r="F483">
        <v>89.662163000378001</v>
      </c>
      <c r="G483">
        <v>333.07976461054</v>
      </c>
      <c r="H483">
        <v>53.763749753806003</v>
      </c>
      <c r="I483">
        <v>-91.550780100439994</v>
      </c>
      <c r="J483">
        <v>208.39420501590999</v>
      </c>
      <c r="L483" s="1">
        <f t="shared" si="104"/>
        <v>3.3080364822800021</v>
      </c>
      <c r="M483">
        <f t="shared" si="105"/>
        <v>1708.4923841175496</v>
      </c>
      <c r="N483">
        <f t="shared" si="97"/>
        <v>4.7458121781043046</v>
      </c>
      <c r="O483">
        <f t="shared" si="98"/>
        <v>53.763749753806003</v>
      </c>
      <c r="P483">
        <f t="shared" si="99"/>
        <v>431</v>
      </c>
      <c r="Q483">
        <f t="shared" si="106"/>
        <v>102.488131544056</v>
      </c>
      <c r="R483">
        <f t="shared" si="100"/>
        <v>102.488131544056</v>
      </c>
      <c r="S483">
        <f t="shared" si="95"/>
        <v>105.54114485657918</v>
      </c>
      <c r="T483">
        <f t="shared" si="101"/>
        <v>105.54114485657918</v>
      </c>
      <c r="U483" s="3">
        <f t="shared" si="102"/>
        <v>208.39420501590999</v>
      </c>
      <c r="V483">
        <f t="shared" si="94"/>
        <v>379</v>
      </c>
      <c r="W483" s="8">
        <f t="shared" si="96"/>
        <v>50.748903364219984</v>
      </c>
      <c r="X483" s="1">
        <f t="shared" si="103"/>
        <v>50.748903364219984</v>
      </c>
      <c r="Y483" s="18"/>
      <c r="Z483" s="7"/>
      <c r="AA483" s="1"/>
      <c r="AB483" s="1"/>
      <c r="AC483" s="1"/>
    </row>
    <row r="484" spans="1:29" x14ac:dyDescent="0.3">
      <c r="A484">
        <v>483</v>
      </c>
      <c r="E484">
        <v>-297.92987332000001</v>
      </c>
      <c r="F484">
        <v>92.755225119395007</v>
      </c>
      <c r="G484">
        <v>332.64045182512001</v>
      </c>
      <c r="H484">
        <v>53.766021185184997</v>
      </c>
      <c r="I484">
        <v>-88.243788254709997</v>
      </c>
      <c r="J484">
        <v>208.89223811407001</v>
      </c>
      <c r="L484" s="1">
        <f t="shared" si="104"/>
        <v>3.3069918457299963</v>
      </c>
      <c r="M484">
        <f t="shared" si="105"/>
        <v>1711.7993759632795</v>
      </c>
      <c r="N484">
        <f t="shared" si="97"/>
        <v>4.7549982665646651</v>
      </c>
      <c r="O484">
        <f t="shared" si="98"/>
        <v>53.766021185184997</v>
      </c>
      <c r="P484">
        <f t="shared" si="99"/>
        <v>432</v>
      </c>
      <c r="Q484">
        <f t="shared" si="106"/>
        <v>102.473047057446</v>
      </c>
      <c r="R484">
        <f t="shared" si="100"/>
        <v>102.473047057446</v>
      </c>
      <c r="S484">
        <f t="shared" si="95"/>
        <v>105.53133919285078</v>
      </c>
      <c r="T484">
        <f t="shared" si="101"/>
        <v>105.53133919285078</v>
      </c>
      <c r="U484" s="3">
        <f t="shared" si="102"/>
        <v>208.89223811407001</v>
      </c>
      <c r="V484">
        <f t="shared" si="94"/>
        <v>380</v>
      </c>
      <c r="W484" s="8">
        <f t="shared" si="96"/>
        <v>50.760725632330008</v>
      </c>
      <c r="X484" s="1">
        <f t="shared" si="103"/>
        <v>50.760725632330008</v>
      </c>
      <c r="Y484" s="18"/>
      <c r="Z484" s="7"/>
      <c r="AA484" s="1"/>
      <c r="AB484" s="1"/>
      <c r="AC484" s="1"/>
    </row>
    <row r="485" spans="1:29" x14ac:dyDescent="0.3">
      <c r="A485">
        <v>484</v>
      </c>
      <c r="E485">
        <v>-297.58390545219999</v>
      </c>
      <c r="F485">
        <v>95.868786986946006</v>
      </c>
      <c r="G485">
        <v>332.39134282421998</v>
      </c>
      <c r="H485">
        <v>53.756172601289002</v>
      </c>
      <c r="I485">
        <v>-84.935107035469997</v>
      </c>
      <c r="J485">
        <v>209.38243108575</v>
      </c>
      <c r="L485" s="1">
        <f t="shared" si="104"/>
        <v>3.3086812192400004</v>
      </c>
      <c r="M485">
        <f t="shared" si="105"/>
        <v>1715.1080571825196</v>
      </c>
      <c r="N485">
        <f t="shared" si="97"/>
        <v>4.7641890477292215</v>
      </c>
      <c r="O485">
        <f t="shared" si="98"/>
        <v>53.756172601289002</v>
      </c>
      <c r="P485">
        <f t="shared" si="99"/>
        <v>433</v>
      </c>
      <c r="Q485">
        <f t="shared" si="106"/>
        <v>102.46482105991799</v>
      </c>
      <c r="R485">
        <f t="shared" si="100"/>
        <v>102.46482105991799</v>
      </c>
      <c r="S485">
        <f t="shared" si="95"/>
        <v>105.51842345251971</v>
      </c>
      <c r="T485">
        <f t="shared" si="101"/>
        <v>105.51842345251971</v>
      </c>
      <c r="U485" s="3">
        <f t="shared" si="102"/>
        <v>209.38243108575</v>
      </c>
      <c r="V485">
        <f t="shared" si="94"/>
        <v>381</v>
      </c>
      <c r="W485" s="8">
        <f t="shared" si="96"/>
        <v>50.767463274090005</v>
      </c>
      <c r="X485" s="1">
        <f t="shared" si="103"/>
        <v>50.767463274090005</v>
      </c>
      <c r="Y485" s="18"/>
      <c r="Z485" s="7"/>
      <c r="AA485" s="1"/>
      <c r="AB485" s="1"/>
      <c r="AC485" s="1"/>
    </row>
    <row r="486" spans="1:29" x14ac:dyDescent="0.3">
      <c r="A486">
        <v>485</v>
      </c>
      <c r="E486">
        <v>-297.2280077863</v>
      </c>
      <c r="F486">
        <v>98.990570209210006</v>
      </c>
      <c r="G486">
        <v>332.32077104811998</v>
      </c>
      <c r="H486">
        <v>53.746663860837998</v>
      </c>
      <c r="I486">
        <v>-81.624944033459997</v>
      </c>
      <c r="J486">
        <v>209.86853321749999</v>
      </c>
      <c r="L486" s="1">
        <f t="shared" si="104"/>
        <v>3.3101630020100004</v>
      </c>
      <c r="M486">
        <f t="shared" si="105"/>
        <v>1718.4182201845297</v>
      </c>
      <c r="N486">
        <f t="shared" si="97"/>
        <v>4.7733839449570272</v>
      </c>
      <c r="O486">
        <f t="shared" si="98"/>
        <v>53.746663860837998</v>
      </c>
      <c r="P486">
        <f t="shared" si="99"/>
        <v>433</v>
      </c>
      <c r="Q486">
        <f t="shared" si="106"/>
        <v>102.455312319467</v>
      </c>
      <c r="R486">
        <f t="shared" si="100"/>
        <v>102.455312319467</v>
      </c>
      <c r="S486">
        <f t="shared" si="95"/>
        <v>105.58245843363515</v>
      </c>
      <c r="T486">
        <f t="shared" si="101"/>
        <v>105.58245843363515</v>
      </c>
      <c r="U486" s="3">
        <f t="shared" si="102"/>
        <v>209.86853321749999</v>
      </c>
      <c r="V486">
        <f t="shared" si="94"/>
        <v>382</v>
      </c>
      <c r="W486" s="8">
        <f t="shared" si="96"/>
        <v>50.773231972109983</v>
      </c>
      <c r="X486" s="1">
        <f t="shared" si="103"/>
        <v>50.773231972109983</v>
      </c>
      <c r="Y486" s="18"/>
      <c r="Z486" s="7"/>
      <c r="AA486" s="1"/>
      <c r="AB486" s="1"/>
      <c r="AC486" s="1"/>
    </row>
    <row r="487" spans="1:29" x14ac:dyDescent="0.3">
      <c r="A487">
        <v>486</v>
      </c>
      <c r="E487">
        <v>-296.83944964559998</v>
      </c>
      <c r="F487">
        <v>102.10701460708</v>
      </c>
      <c r="G487">
        <v>332.43420795149001</v>
      </c>
      <c r="H487">
        <v>53.730259655121003</v>
      </c>
      <c r="I487">
        <v>-78.317190082739998</v>
      </c>
      <c r="J487">
        <v>210.37219759909999</v>
      </c>
      <c r="L487" s="1">
        <f t="shared" si="104"/>
        <v>3.3077539507199987</v>
      </c>
      <c r="M487">
        <f t="shared" si="105"/>
        <v>1721.7259741352498</v>
      </c>
      <c r="N487">
        <f t="shared" si="97"/>
        <v>4.7825721503756942</v>
      </c>
      <c r="O487">
        <f t="shared" si="98"/>
        <v>53.730259655121003</v>
      </c>
      <c r="P487">
        <f t="shared" si="99"/>
        <v>434</v>
      </c>
      <c r="Q487">
        <f t="shared" si="106"/>
        <v>102.453993110883</v>
      </c>
      <c r="R487">
        <f t="shared" si="100"/>
        <v>102.453993110883</v>
      </c>
      <c r="S487">
        <f t="shared" si="95"/>
        <v>105.59648899612269</v>
      </c>
      <c r="T487">
        <f t="shared" si="101"/>
        <v>105.59648899612269</v>
      </c>
      <c r="U487" s="3">
        <f t="shared" si="102"/>
        <v>210.37219759909999</v>
      </c>
      <c r="V487">
        <f t="shared" si="94"/>
        <v>383</v>
      </c>
      <c r="W487" s="8">
        <f t="shared" si="96"/>
        <v>50.77443023959998</v>
      </c>
      <c r="X487" s="1">
        <f t="shared" si="103"/>
        <v>50.77443023959998</v>
      </c>
      <c r="Y487" s="18"/>
      <c r="Z487" s="7"/>
      <c r="AA487" s="1"/>
      <c r="AB487" s="1"/>
      <c r="AC487" s="1"/>
    </row>
    <row r="488" spans="1:29" x14ac:dyDescent="0.3">
      <c r="A488">
        <v>487</v>
      </c>
      <c r="E488">
        <v>-296.4493539929</v>
      </c>
      <c r="F488">
        <v>105.20923622647</v>
      </c>
      <c r="G488">
        <v>332.75068293478</v>
      </c>
      <c r="H488">
        <v>53.690103521357997</v>
      </c>
      <c r="I488">
        <v>-75.005304913730001</v>
      </c>
      <c r="J488">
        <v>210.86054286340001</v>
      </c>
      <c r="L488" s="1">
        <f t="shared" si="104"/>
        <v>3.3118851690099973</v>
      </c>
      <c r="M488">
        <f t="shared" si="105"/>
        <v>1725.0378593042597</v>
      </c>
      <c r="N488">
        <f t="shared" si="97"/>
        <v>4.7917718314007214</v>
      </c>
      <c r="O488">
        <f t="shared" si="98"/>
        <v>53.690103521357997</v>
      </c>
      <c r="P488">
        <f t="shared" si="99"/>
        <v>435</v>
      </c>
      <c r="Q488">
        <f t="shared" si="106"/>
        <v>102.433319217834</v>
      </c>
      <c r="R488">
        <f t="shared" si="100"/>
        <v>102.433319217834</v>
      </c>
      <c r="S488">
        <f t="shared" si="95"/>
        <v>105.58262912410594</v>
      </c>
      <c r="T488">
        <f t="shared" si="101"/>
        <v>105.58262912410594</v>
      </c>
      <c r="U488" s="3">
        <f t="shared" si="102"/>
        <v>210.86054286340001</v>
      </c>
      <c r="V488">
        <f t="shared" si="94"/>
        <v>384</v>
      </c>
      <c r="W488" s="8">
        <f t="shared" si="96"/>
        <v>50.778202333900026</v>
      </c>
      <c r="X488" s="1">
        <f t="shared" si="103"/>
        <v>50.778202333900026</v>
      </c>
      <c r="Y488" s="18"/>
      <c r="Z488" s="7"/>
      <c r="AA488" s="1"/>
      <c r="AB488" s="1"/>
      <c r="AC488" s="1"/>
    </row>
    <row r="489" spans="1:29" x14ac:dyDescent="0.3">
      <c r="A489">
        <v>488</v>
      </c>
      <c r="E489">
        <v>-296.04781531589998</v>
      </c>
      <c r="F489">
        <v>108.28455151065</v>
      </c>
      <c r="G489">
        <v>333.25746457535001</v>
      </c>
      <c r="H489">
        <v>53.636987484057002</v>
      </c>
      <c r="I489">
        <v>-71.690005333130003</v>
      </c>
      <c r="J489">
        <v>211.34394329521001</v>
      </c>
      <c r="L489" s="1">
        <f t="shared" si="104"/>
        <v>3.3152995805999979</v>
      </c>
      <c r="M489">
        <f t="shared" si="105"/>
        <v>1728.3531588848596</v>
      </c>
      <c r="N489">
        <f t="shared" si="97"/>
        <v>4.8009809969023873</v>
      </c>
      <c r="O489">
        <f t="shared" si="98"/>
        <v>53.636987484057002</v>
      </c>
      <c r="P489">
        <f t="shared" si="99"/>
        <v>436</v>
      </c>
      <c r="Q489">
        <f t="shared" si="106"/>
        <v>102.420018277539</v>
      </c>
      <c r="R489">
        <f t="shared" si="100"/>
        <v>102.420018277539</v>
      </c>
      <c r="S489">
        <f t="shared" si="95"/>
        <v>105.57584671665491</v>
      </c>
      <c r="T489">
        <f t="shared" si="101"/>
        <v>105.57584671665491</v>
      </c>
      <c r="U489" s="3">
        <f t="shared" si="102"/>
        <v>211.34394329521001</v>
      </c>
      <c r="V489">
        <f t="shared" si="94"/>
        <v>385</v>
      </c>
      <c r="W489" s="8">
        <f t="shared" si="96"/>
        <v>50.772987693010009</v>
      </c>
      <c r="X489" s="1">
        <f t="shared" si="103"/>
        <v>50.772987693010009</v>
      </c>
      <c r="Y489" s="18"/>
      <c r="Z489" s="7"/>
      <c r="AA489" s="1"/>
      <c r="AB489" s="1"/>
      <c r="AC489" s="1"/>
    </row>
    <row r="490" spans="1:29" x14ac:dyDescent="0.3">
      <c r="A490">
        <v>489</v>
      </c>
      <c r="E490">
        <v>-295.63037685410001</v>
      </c>
      <c r="F490">
        <v>111.32260361149</v>
      </c>
      <c r="G490">
        <v>333.94445678353998</v>
      </c>
      <c r="H490">
        <v>53.578900992506</v>
      </c>
      <c r="I490">
        <v>-68.371282182879995</v>
      </c>
      <c r="J490">
        <v>211.82722905420999</v>
      </c>
      <c r="L490" s="1">
        <f t="shared" si="104"/>
        <v>3.3187231502500083</v>
      </c>
      <c r="M490">
        <f t="shared" si="105"/>
        <v>1731.6718820351095</v>
      </c>
      <c r="N490">
        <f t="shared" si="97"/>
        <v>4.8101996723197491</v>
      </c>
      <c r="O490">
        <f t="shared" si="98"/>
        <v>53.578900992506</v>
      </c>
      <c r="P490">
        <f t="shared" si="99"/>
        <v>437</v>
      </c>
      <c r="Q490">
        <f t="shared" si="106"/>
        <v>102.40416608389799</v>
      </c>
      <c r="R490">
        <f t="shared" si="100"/>
        <v>102.40416608389799</v>
      </c>
      <c r="S490">
        <f t="shared" si="95"/>
        <v>105.56584499912701</v>
      </c>
      <c r="T490">
        <f t="shared" si="101"/>
        <v>105.56584499912701</v>
      </c>
      <c r="U490" s="3">
        <f t="shared" si="102"/>
        <v>211.82722905420999</v>
      </c>
      <c r="V490">
        <f t="shared" si="94"/>
        <v>386</v>
      </c>
      <c r="W490" s="8">
        <f t="shared" si="96"/>
        <v>50.769497973749992</v>
      </c>
      <c r="X490" s="1">
        <f t="shared" si="103"/>
        <v>50.769497973749992</v>
      </c>
      <c r="Y490" s="18"/>
      <c r="Z490" s="7"/>
      <c r="AA490" s="1"/>
      <c r="AB490" s="1"/>
      <c r="AC490" s="1"/>
    </row>
    <row r="491" spans="1:29" x14ac:dyDescent="0.3">
      <c r="A491">
        <v>490</v>
      </c>
      <c r="E491">
        <v>-295.18671484060002</v>
      </c>
      <c r="F491">
        <v>114.31061308648</v>
      </c>
      <c r="G491">
        <v>334.81147063381002</v>
      </c>
      <c r="H491">
        <v>53.512267358533002</v>
      </c>
      <c r="I491">
        <v>-65.050370147620001</v>
      </c>
      <c r="J491">
        <v>212.32018165925999</v>
      </c>
      <c r="L491" s="1">
        <f t="shared" si="104"/>
        <v>3.3209120352599939</v>
      </c>
      <c r="M491">
        <f t="shared" si="105"/>
        <v>1734.9927940703697</v>
      </c>
      <c r="N491">
        <f t="shared" si="97"/>
        <v>4.8194244279732494</v>
      </c>
      <c r="O491">
        <f t="shared" si="98"/>
        <v>53.512267358533002</v>
      </c>
      <c r="P491">
        <f t="shared" si="99"/>
        <v>438</v>
      </c>
      <c r="Q491">
        <f t="shared" si="106"/>
        <v>102.394338383602</v>
      </c>
      <c r="R491">
        <f t="shared" si="100"/>
        <v>102.394338383602</v>
      </c>
      <c r="S491">
        <f t="shared" si="95"/>
        <v>105.5630227601123</v>
      </c>
      <c r="T491">
        <f t="shared" si="101"/>
        <v>105.5630227601123</v>
      </c>
      <c r="U491" s="3">
        <f t="shared" si="102"/>
        <v>212.32018165925999</v>
      </c>
      <c r="V491">
        <f t="shared" si="94"/>
        <v>387</v>
      </c>
      <c r="W491" s="8">
        <f t="shared" si="96"/>
        <v>50.77351565251999</v>
      </c>
      <c r="X491" s="1">
        <f t="shared" si="103"/>
        <v>50.77351565251999</v>
      </c>
      <c r="Y491" s="18"/>
      <c r="Z491" s="7"/>
      <c r="AA491" s="1"/>
      <c r="AB491" s="1"/>
      <c r="AC491" s="1"/>
    </row>
    <row r="492" spans="1:29" x14ac:dyDescent="0.3">
      <c r="A492">
        <v>491</v>
      </c>
      <c r="E492">
        <v>-294.71450125410001</v>
      </c>
      <c r="F492">
        <v>117.23573230597</v>
      </c>
      <c r="G492">
        <v>335.85859697898002</v>
      </c>
      <c r="H492">
        <v>53.432996436182002</v>
      </c>
      <c r="I492">
        <v>-61.727386561049997</v>
      </c>
      <c r="J492">
        <v>212.82459397165999</v>
      </c>
      <c r="L492" s="1">
        <f t="shared" si="104"/>
        <v>3.3229835865700039</v>
      </c>
      <c r="M492">
        <f t="shared" si="105"/>
        <v>1738.3157776569396</v>
      </c>
      <c r="N492">
        <f t="shared" si="97"/>
        <v>4.8286549379359434</v>
      </c>
      <c r="O492">
        <f t="shared" si="98"/>
        <v>53.432996436182002</v>
      </c>
      <c r="P492">
        <f t="shared" si="99"/>
        <v>439</v>
      </c>
      <c r="Q492">
        <f t="shared" si="106"/>
        <v>102.378815038303</v>
      </c>
      <c r="R492">
        <f t="shared" si="100"/>
        <v>102.378815038303</v>
      </c>
      <c r="S492">
        <f t="shared" si="95"/>
        <v>105.55676057820011</v>
      </c>
      <c r="T492">
        <f t="shared" si="101"/>
        <v>105.55676057820011</v>
      </c>
      <c r="U492" s="3">
        <f t="shared" si="102"/>
        <v>212.82459397165999</v>
      </c>
      <c r="V492">
        <f t="shared" si="94"/>
        <v>388</v>
      </c>
      <c r="W492" s="8">
        <f t="shared" si="96"/>
        <v>50.787185154680003</v>
      </c>
      <c r="X492" s="1">
        <f t="shared" si="103"/>
        <v>50.787185154680003</v>
      </c>
      <c r="Y492" s="18"/>
      <c r="Z492" s="7"/>
      <c r="AA492" s="1"/>
      <c r="AB492" s="1"/>
      <c r="AC492" s="1"/>
    </row>
    <row r="493" spans="1:29" x14ac:dyDescent="0.3">
      <c r="A493">
        <v>492</v>
      </c>
      <c r="E493">
        <v>-294.24072723799998</v>
      </c>
      <c r="F493">
        <v>120.08921471961</v>
      </c>
      <c r="G493">
        <v>337.08693792098001</v>
      </c>
      <c r="H493">
        <v>53.339596773799997</v>
      </c>
      <c r="I493">
        <v>-58.396746867189997</v>
      </c>
      <c r="J493">
        <v>213.31314244710001</v>
      </c>
      <c r="L493" s="1">
        <f t="shared" si="104"/>
        <v>3.3306396938600002</v>
      </c>
      <c r="M493">
        <f t="shared" si="105"/>
        <v>1741.6464173507995</v>
      </c>
      <c r="N493">
        <f t="shared" si="97"/>
        <v>4.8379067148633323</v>
      </c>
      <c r="O493">
        <f t="shared" si="98"/>
        <v>53.339596773799997</v>
      </c>
      <c r="P493">
        <f t="shared" si="99"/>
        <v>440</v>
      </c>
      <c r="Q493">
        <f t="shared" si="106"/>
        <v>102.366232929093</v>
      </c>
      <c r="R493">
        <f t="shared" si="100"/>
        <v>102.366232929093</v>
      </c>
      <c r="S493">
        <f t="shared" si="95"/>
        <v>105.54865824217411</v>
      </c>
      <c r="T493">
        <f t="shared" si="101"/>
        <v>105.54865824217411</v>
      </c>
      <c r="U493" s="3">
        <f t="shared" si="102"/>
        <v>213.31314244710001</v>
      </c>
      <c r="V493">
        <f t="shared" si="94"/>
        <v>389</v>
      </c>
      <c r="W493" s="8">
        <f t="shared" si="96"/>
        <v>50.777708248739998</v>
      </c>
      <c r="X493" s="1">
        <f t="shared" si="103"/>
        <v>50.777708248739998</v>
      </c>
      <c r="Y493" s="18"/>
      <c r="Z493" s="7"/>
      <c r="AA493" s="1"/>
      <c r="AB493" s="1"/>
      <c r="AC493" s="1"/>
    </row>
    <row r="494" spans="1:29" x14ac:dyDescent="0.3">
      <c r="A494">
        <v>493</v>
      </c>
      <c r="E494">
        <v>-293.75446742399998</v>
      </c>
      <c r="F494">
        <v>122.86749031380999</v>
      </c>
      <c r="G494">
        <v>338.47309366779001</v>
      </c>
      <c r="H494">
        <v>53.251576606130001</v>
      </c>
      <c r="I494">
        <v>-55.059537890439998</v>
      </c>
      <c r="J494">
        <v>213.79844012352001</v>
      </c>
      <c r="L494" s="1">
        <f t="shared" si="104"/>
        <v>3.3372089767499986</v>
      </c>
      <c r="M494">
        <f t="shared" si="105"/>
        <v>1744.9836263275495</v>
      </c>
      <c r="N494">
        <f t="shared" si="97"/>
        <v>4.8471767397987486</v>
      </c>
      <c r="O494">
        <f t="shared" si="98"/>
        <v>53.251576606130001</v>
      </c>
      <c r="P494">
        <f t="shared" si="99"/>
        <v>441</v>
      </c>
      <c r="Q494">
        <f t="shared" si="106"/>
        <v>102.343205460989</v>
      </c>
      <c r="R494">
        <f t="shared" si="100"/>
        <v>102.343205460989</v>
      </c>
      <c r="S494">
        <f t="shared" si="95"/>
        <v>105.52962447510674</v>
      </c>
      <c r="T494">
        <f t="shared" si="101"/>
        <v>105.52962447510674</v>
      </c>
      <c r="U494" s="3">
        <f t="shared" si="102"/>
        <v>213.79844012352001</v>
      </c>
      <c r="V494">
        <f t="shared" si="94"/>
        <v>390</v>
      </c>
      <c r="W494" s="8">
        <f t="shared" si="96"/>
        <v>50.764770741900008</v>
      </c>
      <c r="X494" s="1">
        <f t="shared" si="103"/>
        <v>50.764770741900008</v>
      </c>
      <c r="Y494" s="18"/>
      <c r="Z494" s="7"/>
      <c r="AA494" s="1"/>
      <c r="AB494" s="1"/>
      <c r="AC494" s="1"/>
    </row>
    <row r="495" spans="1:29" x14ac:dyDescent="0.3">
      <c r="A495">
        <v>494</v>
      </c>
      <c r="E495">
        <v>-293.2458765563</v>
      </c>
      <c r="F495">
        <v>125.55335199072999</v>
      </c>
      <c r="G495">
        <v>340.02335267404999</v>
      </c>
      <c r="H495">
        <v>53.154924994966997</v>
      </c>
      <c r="I495">
        <v>-51.717870561719998</v>
      </c>
      <c r="J495">
        <v>214.28909400066999</v>
      </c>
      <c r="L495" s="1">
        <f t="shared" si="104"/>
        <v>3.3416673287199998</v>
      </c>
      <c r="M495">
        <f t="shared" si="105"/>
        <v>1748.3252936562694</v>
      </c>
      <c r="N495">
        <f t="shared" si="97"/>
        <v>4.8564591490451932</v>
      </c>
      <c r="O495">
        <f t="shared" si="98"/>
        <v>53.154924994966997</v>
      </c>
      <c r="P495">
        <f t="shared" si="99"/>
        <v>442</v>
      </c>
      <c r="Q495">
        <f t="shared" si="106"/>
        <v>102.337919114497</v>
      </c>
      <c r="R495">
        <f t="shared" si="100"/>
        <v>102.337919114497</v>
      </c>
      <c r="S495">
        <f t="shared" si="95"/>
        <v>105.52650721568685</v>
      </c>
      <c r="T495">
        <f t="shared" si="101"/>
        <v>105.52650721568685</v>
      </c>
      <c r="U495" s="3">
        <f t="shared" si="102"/>
        <v>214.28909400066999</v>
      </c>
      <c r="V495">
        <f t="shared" si="94"/>
        <v>391</v>
      </c>
      <c r="W495" s="8">
        <f t="shared" si="96"/>
        <v>50.768043622569991</v>
      </c>
      <c r="X495" s="1">
        <f t="shared" si="103"/>
        <v>50.768043622569991</v>
      </c>
      <c r="Y495" s="18"/>
      <c r="Z495" s="7"/>
      <c r="AA495" s="1"/>
      <c r="AB495" s="1"/>
      <c r="AC495" s="1"/>
    </row>
    <row r="496" spans="1:29" x14ac:dyDescent="0.3">
      <c r="A496">
        <v>495</v>
      </c>
      <c r="E496">
        <v>-292.71660455580002</v>
      </c>
      <c r="F496">
        <v>128.13855685280001</v>
      </c>
      <c r="G496">
        <v>341.72998161474999</v>
      </c>
      <c r="H496">
        <v>53.052362441707999</v>
      </c>
      <c r="I496">
        <v>-48.370793452779999</v>
      </c>
      <c r="J496">
        <v>214.78374810193</v>
      </c>
      <c r="L496" s="1">
        <f t="shared" si="104"/>
        <v>3.3470771089399989</v>
      </c>
      <c r="M496">
        <f t="shared" si="105"/>
        <v>1751.6723707652095</v>
      </c>
      <c r="N496">
        <f t="shared" si="97"/>
        <v>4.8657565854589153</v>
      </c>
      <c r="O496">
        <f t="shared" si="98"/>
        <v>53.052362441707999</v>
      </c>
      <c r="P496">
        <f t="shared" si="99"/>
        <v>443</v>
      </c>
      <c r="Q496">
        <f t="shared" si="106"/>
        <v>102.33132107937101</v>
      </c>
      <c r="R496">
        <f t="shared" si="100"/>
        <v>102.33132107937101</v>
      </c>
      <c r="S496">
        <f t="shared" si="95"/>
        <v>105.52640569861063</v>
      </c>
      <c r="T496">
        <f t="shared" si="101"/>
        <v>105.52640569861063</v>
      </c>
      <c r="U496" s="3">
        <f t="shared" si="102"/>
        <v>214.78374810193</v>
      </c>
      <c r="V496">
        <f t="shared" si="94"/>
        <v>392</v>
      </c>
      <c r="W496" s="8">
        <f t="shared" si="96"/>
        <v>50.778136175960014</v>
      </c>
      <c r="X496" s="1">
        <f t="shared" si="103"/>
        <v>50.778136175960014</v>
      </c>
      <c r="Y496" s="18"/>
      <c r="Z496" s="7"/>
      <c r="AA496" s="1"/>
      <c r="AB496" s="1"/>
      <c r="AC496" s="1"/>
    </row>
    <row r="497" spans="1:29" x14ac:dyDescent="0.3">
      <c r="A497">
        <v>496</v>
      </c>
      <c r="E497">
        <v>-292.17757484100002</v>
      </c>
      <c r="F497">
        <v>130.61233356994001</v>
      </c>
      <c r="G497">
        <v>343.59168127269999</v>
      </c>
      <c r="H497">
        <v>52.940204638003998</v>
      </c>
      <c r="I497">
        <v>-45.016048876589998</v>
      </c>
      <c r="J497">
        <v>215.27119255264</v>
      </c>
      <c r="L497" s="1">
        <f t="shared" si="104"/>
        <v>3.3547445761900008</v>
      </c>
      <c r="M497">
        <f t="shared" si="105"/>
        <v>1755.0271153413996</v>
      </c>
      <c r="N497">
        <f t="shared" si="97"/>
        <v>4.875075320392777</v>
      </c>
      <c r="O497">
        <f t="shared" si="98"/>
        <v>52.940204638003998</v>
      </c>
      <c r="P497">
        <f t="shared" si="99"/>
        <v>444</v>
      </c>
      <c r="Q497">
        <f t="shared" si="106"/>
        <v>102.338765040141</v>
      </c>
      <c r="R497">
        <f t="shared" si="100"/>
        <v>102.338765040141</v>
      </c>
      <c r="S497">
        <f t="shared" si="95"/>
        <v>105.53340137702709</v>
      </c>
      <c r="T497">
        <f t="shared" si="101"/>
        <v>105.53340137702709</v>
      </c>
      <c r="U497" s="3">
        <f t="shared" si="102"/>
        <v>215.27119255264</v>
      </c>
      <c r="V497">
        <f t="shared" ref="V497:V560" si="107">IFERROR(MATCH(N497-1,N:N,1),0)</f>
        <v>393</v>
      </c>
      <c r="W497" s="8">
        <f t="shared" si="96"/>
        <v>50.775608821800006</v>
      </c>
      <c r="X497" s="1">
        <f t="shared" si="103"/>
        <v>50.775608821800006</v>
      </c>
      <c r="Y497" s="18"/>
      <c r="Z497" s="7"/>
      <c r="AA497" s="1"/>
      <c r="AB497" s="1"/>
      <c r="AC497" s="1"/>
    </row>
    <row r="498" spans="1:29" x14ac:dyDescent="0.3">
      <c r="A498">
        <v>497</v>
      </c>
      <c r="E498">
        <v>-291.61189014270002</v>
      </c>
      <c r="F498">
        <v>132.95668866939999</v>
      </c>
      <c r="G498">
        <v>345.60654306762001</v>
      </c>
      <c r="H498">
        <v>52.807876845712997</v>
      </c>
      <c r="I498">
        <v>-41.656029535419997</v>
      </c>
      <c r="J498">
        <v>215.76768328265001</v>
      </c>
      <c r="L498" s="1">
        <f t="shared" si="104"/>
        <v>3.3600193411700019</v>
      </c>
      <c r="M498">
        <f t="shared" si="105"/>
        <v>1758.3871346825697</v>
      </c>
      <c r="N498">
        <f t="shared" si="97"/>
        <v>4.8844087074515823</v>
      </c>
      <c r="O498">
        <f t="shared" si="98"/>
        <v>52.807876845712997</v>
      </c>
      <c r="P498">
        <f t="shared" si="99"/>
        <v>444</v>
      </c>
      <c r="Q498">
        <f t="shared" si="106"/>
        <v>102.20643724785</v>
      </c>
      <c r="R498">
        <f t="shared" si="100"/>
        <v>102.20643724785</v>
      </c>
      <c r="S498">
        <f t="shared" si="95"/>
        <v>105.48382051489334</v>
      </c>
      <c r="T498">
        <f t="shared" si="101"/>
        <v>105.48382051489334</v>
      </c>
      <c r="U498" s="3">
        <f t="shared" si="102"/>
        <v>215.76768328265001</v>
      </c>
      <c r="V498">
        <f t="shared" si="107"/>
        <v>394</v>
      </c>
      <c r="W498" s="8">
        <f t="shared" si="96"/>
        <v>50.780011345820014</v>
      </c>
      <c r="X498" s="1">
        <f t="shared" si="103"/>
        <v>50.780011345820014</v>
      </c>
      <c r="Y498" s="18"/>
      <c r="Z498" s="7"/>
      <c r="AA498" s="1"/>
      <c r="AB498" s="1"/>
      <c r="AC498" s="1"/>
    </row>
    <row r="499" spans="1:29" x14ac:dyDescent="0.3">
      <c r="A499">
        <v>498</v>
      </c>
      <c r="E499">
        <v>-291.04587859510002</v>
      </c>
      <c r="F499">
        <v>135.17535112439</v>
      </c>
      <c r="G499">
        <v>347.75898228996999</v>
      </c>
      <c r="H499">
        <v>52.672100558347999</v>
      </c>
      <c r="I499">
        <v>-38.284900256050001</v>
      </c>
      <c r="J499">
        <v>216.24839823611001</v>
      </c>
      <c r="L499" s="1">
        <f t="shared" si="104"/>
        <v>3.3711292793699954</v>
      </c>
      <c r="M499">
        <f t="shared" si="105"/>
        <v>1761.7582639619397</v>
      </c>
      <c r="N499">
        <f t="shared" si="97"/>
        <v>4.8937729554498324</v>
      </c>
      <c r="O499">
        <f t="shared" si="98"/>
        <v>52.672100558347999</v>
      </c>
      <c r="P499">
        <f t="shared" si="99"/>
        <v>445</v>
      </c>
      <c r="Q499">
        <f t="shared" si="106"/>
        <v>102.189773080885</v>
      </c>
      <c r="R499">
        <f t="shared" si="100"/>
        <v>102.189773080885</v>
      </c>
      <c r="S499">
        <f t="shared" si="95"/>
        <v>105.47351542631576</v>
      </c>
      <c r="T499">
        <f t="shared" si="101"/>
        <v>105.47351542631576</v>
      </c>
      <c r="U499" s="3">
        <f t="shared" si="102"/>
        <v>216.24839823611001</v>
      </c>
      <c r="V499">
        <f t="shared" si="107"/>
        <v>395</v>
      </c>
      <c r="W499" s="8">
        <f t="shared" si="96"/>
        <v>50.766758432050011</v>
      </c>
      <c r="X499" s="1">
        <f t="shared" si="103"/>
        <v>50.766758432050011</v>
      </c>
      <c r="Y499" s="18"/>
      <c r="Z499" s="7"/>
      <c r="AA499" s="1"/>
      <c r="AB499" s="1"/>
      <c r="AC499" s="1"/>
    </row>
    <row r="500" spans="1:29" x14ac:dyDescent="0.3">
      <c r="A500">
        <v>499</v>
      </c>
      <c r="E500">
        <v>-290.47336819840001</v>
      </c>
      <c r="F500">
        <v>137.26212296673</v>
      </c>
      <c r="G500">
        <v>350.03797487385998</v>
      </c>
      <c r="H500">
        <v>52.536605540034003</v>
      </c>
      <c r="I500">
        <v>-34.903494696229998</v>
      </c>
      <c r="J500">
        <v>216.72011811704999</v>
      </c>
      <c r="L500" s="1">
        <f t="shared" si="104"/>
        <v>3.3814055598200028</v>
      </c>
      <c r="M500">
        <f t="shared" si="105"/>
        <v>1765.1396695217597</v>
      </c>
      <c r="N500">
        <f t="shared" si="97"/>
        <v>4.9031657486715545</v>
      </c>
      <c r="O500">
        <f t="shared" si="98"/>
        <v>52.536605540034003</v>
      </c>
      <c r="P500">
        <f t="shared" si="99"/>
        <v>446</v>
      </c>
      <c r="Q500">
        <f t="shared" si="106"/>
        <v>102.16656694237301</v>
      </c>
      <c r="R500">
        <f t="shared" si="100"/>
        <v>102.16656694237301</v>
      </c>
      <c r="S500">
        <f t="shared" si="95"/>
        <v>105.4525605229281</v>
      </c>
      <c r="T500">
        <f t="shared" si="101"/>
        <v>105.4525605229281</v>
      </c>
      <c r="U500" s="3">
        <f t="shared" si="102"/>
        <v>216.72011811704999</v>
      </c>
      <c r="V500">
        <f t="shared" si="107"/>
        <v>396</v>
      </c>
      <c r="W500" s="8">
        <f t="shared" si="96"/>
        <v>50.741824779969988</v>
      </c>
      <c r="X500" s="1">
        <f t="shared" si="103"/>
        <v>50.741824779969988</v>
      </c>
      <c r="Y500" s="18"/>
      <c r="Z500" s="7"/>
      <c r="AA500" s="1"/>
      <c r="AB500" s="1"/>
      <c r="AC500" s="1"/>
    </row>
    <row r="501" spans="1:29" x14ac:dyDescent="0.3">
      <c r="A501">
        <v>500</v>
      </c>
      <c r="E501">
        <v>-289.83703707780001</v>
      </c>
      <c r="F501">
        <v>139.19166062897</v>
      </c>
      <c r="G501">
        <v>352.43537952533001</v>
      </c>
      <c r="H501">
        <v>52.383388164728999</v>
      </c>
      <c r="I501">
        <v>-31.522127309889999</v>
      </c>
      <c r="J501">
        <v>217.23956334261001</v>
      </c>
      <c r="L501" s="1">
        <f t="shared" si="104"/>
        <v>3.3813673863399991</v>
      </c>
      <c r="M501">
        <f t="shared" si="105"/>
        <v>1768.5210369080996</v>
      </c>
      <c r="N501">
        <f t="shared" si="97"/>
        <v>4.9125584358558321</v>
      </c>
      <c r="O501">
        <f t="shared" si="98"/>
        <v>52.383388164728999</v>
      </c>
      <c r="P501">
        <f t="shared" si="99"/>
        <v>447</v>
      </c>
      <c r="Q501">
        <f t="shared" si="106"/>
        <v>102.134300133257</v>
      </c>
      <c r="R501">
        <f t="shared" si="100"/>
        <v>102.134300133257</v>
      </c>
      <c r="S501">
        <f t="shared" si="95"/>
        <v>105.43625347490685</v>
      </c>
      <c r="T501">
        <f t="shared" si="101"/>
        <v>105.43625347490685</v>
      </c>
      <c r="U501" s="3">
        <f t="shared" si="102"/>
        <v>217.23956334261001</v>
      </c>
      <c r="V501">
        <f t="shared" si="107"/>
        <v>397</v>
      </c>
      <c r="W501" s="8">
        <f t="shared" si="96"/>
        <v>50.775855135110021</v>
      </c>
      <c r="X501" s="1">
        <f t="shared" si="103"/>
        <v>50.775855135110021</v>
      </c>
      <c r="Y501" s="18"/>
      <c r="Z501" s="7"/>
      <c r="AA501" s="1"/>
      <c r="AB501" s="1"/>
      <c r="AC501" s="1"/>
    </row>
    <row r="502" spans="1:29" x14ac:dyDescent="0.3">
      <c r="A502">
        <v>501</v>
      </c>
      <c r="E502">
        <v>-289.21059025540001</v>
      </c>
      <c r="F502">
        <v>141.00602930419001</v>
      </c>
      <c r="G502">
        <v>354.92376815401002</v>
      </c>
      <c r="H502">
        <v>52.267954499425997</v>
      </c>
      <c r="I502">
        <v>-28.12621369084</v>
      </c>
      <c r="J502">
        <v>217.73722268838</v>
      </c>
      <c r="L502" s="1">
        <f t="shared" si="104"/>
        <v>3.395913619049999</v>
      </c>
      <c r="M502">
        <f t="shared" si="105"/>
        <v>1771.9169505271495</v>
      </c>
      <c r="N502">
        <f t="shared" si="97"/>
        <v>4.9219915292420824</v>
      </c>
      <c r="O502">
        <f t="shared" si="98"/>
        <v>52.267954499425997</v>
      </c>
      <c r="P502">
        <f t="shared" si="99"/>
        <v>448</v>
      </c>
      <c r="Q502">
        <f t="shared" si="106"/>
        <v>102.14731018663799</v>
      </c>
      <c r="R502">
        <f t="shared" si="100"/>
        <v>102.14731018663799</v>
      </c>
      <c r="S502">
        <f t="shared" si="95"/>
        <v>105.453988442523</v>
      </c>
      <c r="T502">
        <f t="shared" si="101"/>
        <v>105.453988442523</v>
      </c>
      <c r="U502" s="3">
        <f t="shared" si="102"/>
        <v>217.73722268838</v>
      </c>
      <c r="V502">
        <f t="shared" si="107"/>
        <v>398</v>
      </c>
      <c r="W502" s="8">
        <f t="shared" si="96"/>
        <v>50.80431648582001</v>
      </c>
      <c r="X502" s="1">
        <f t="shared" si="103"/>
        <v>50.80431648582001</v>
      </c>
      <c r="Y502" s="18"/>
      <c r="Z502" s="7"/>
      <c r="AA502" s="1"/>
      <c r="AB502" s="1"/>
      <c r="AC502" s="1"/>
    </row>
    <row r="503" spans="1:29" x14ac:dyDescent="0.3">
      <c r="A503">
        <v>502</v>
      </c>
      <c r="E503">
        <v>-288.60444642969998</v>
      </c>
      <c r="F503">
        <v>142.66109873447999</v>
      </c>
      <c r="G503">
        <v>357.52545267073998</v>
      </c>
      <c r="H503">
        <v>52.143539390358001</v>
      </c>
      <c r="I503">
        <v>-24.716992402740001</v>
      </c>
      <c r="J503">
        <v>218.19914994801999</v>
      </c>
      <c r="L503" s="1">
        <f t="shared" si="104"/>
        <v>3.4092212880999995</v>
      </c>
      <c r="M503">
        <f t="shared" si="105"/>
        <v>1775.3261718152496</v>
      </c>
      <c r="N503">
        <f t="shared" si="97"/>
        <v>4.9314615883756936</v>
      </c>
      <c r="O503">
        <f t="shared" si="98"/>
        <v>52.143539390358001</v>
      </c>
      <c r="P503">
        <f t="shared" si="99"/>
        <v>449</v>
      </c>
      <c r="Q503">
        <f t="shared" si="106"/>
        <v>102.178740328323</v>
      </c>
      <c r="R503">
        <f t="shared" si="100"/>
        <v>102.178740328323</v>
      </c>
      <c r="S503">
        <f t="shared" si="95"/>
        <v>105.48571702909892</v>
      </c>
      <c r="T503">
        <f t="shared" si="101"/>
        <v>105.48571702909892</v>
      </c>
      <c r="U503" s="3">
        <f t="shared" si="102"/>
        <v>218.19914994801999</v>
      </c>
      <c r="V503">
        <f t="shared" si="107"/>
        <v>399</v>
      </c>
      <c r="W503" s="8">
        <f t="shared" si="96"/>
        <v>50.77436495952</v>
      </c>
      <c r="X503" s="1">
        <f t="shared" si="103"/>
        <v>50.77436495952</v>
      </c>
      <c r="Y503" s="18"/>
      <c r="Z503" s="7"/>
      <c r="AA503" s="1"/>
      <c r="AB503" s="1"/>
      <c r="AC503" s="1"/>
    </row>
    <row r="504" spans="1:29" x14ac:dyDescent="0.3">
      <c r="A504">
        <v>503</v>
      </c>
      <c r="E504">
        <v>-287.94959599319998</v>
      </c>
      <c r="F504">
        <v>144.14292657698999</v>
      </c>
      <c r="G504">
        <v>360.21838937132998</v>
      </c>
      <c r="H504">
        <v>52.005392729286001</v>
      </c>
      <c r="I504">
        <v>-21.305425591159999</v>
      </c>
      <c r="J504">
        <v>218.69528069424001</v>
      </c>
      <c r="L504" s="1">
        <f t="shared" si="104"/>
        <v>3.411566811580002</v>
      </c>
      <c r="M504">
        <f t="shared" si="105"/>
        <v>1778.7377386268297</v>
      </c>
      <c r="N504">
        <f t="shared" si="97"/>
        <v>4.940938162852305</v>
      </c>
      <c r="O504">
        <f t="shared" si="98"/>
        <v>52.005392729286001</v>
      </c>
      <c r="P504">
        <f t="shared" si="99"/>
        <v>450</v>
      </c>
      <c r="Q504">
        <f t="shared" si="106"/>
        <v>102.20623069381901</v>
      </c>
      <c r="R504">
        <f t="shared" si="100"/>
        <v>102.20623069381901</v>
      </c>
      <c r="S504">
        <f t="shared" si="95"/>
        <v>105.52234583363969</v>
      </c>
      <c r="T504">
        <f t="shared" si="101"/>
        <v>105.52234583363969</v>
      </c>
      <c r="U504" s="3">
        <f t="shared" si="102"/>
        <v>218.69528069424001</v>
      </c>
      <c r="V504">
        <f t="shared" si="107"/>
        <v>400</v>
      </c>
      <c r="W504" s="8">
        <f t="shared" si="96"/>
        <v>50.775380898750001</v>
      </c>
      <c r="X504" s="1">
        <f t="shared" si="103"/>
        <v>50.775380898750001</v>
      </c>
      <c r="Y504" s="18"/>
      <c r="Z504" s="7"/>
      <c r="AA504" s="1"/>
      <c r="AB504" s="1"/>
      <c r="AC504" s="1"/>
    </row>
    <row r="505" spans="1:29" x14ac:dyDescent="0.3">
      <c r="A505">
        <v>504</v>
      </c>
      <c r="E505">
        <v>-287.26817295929999</v>
      </c>
      <c r="F505">
        <v>145.43101544823</v>
      </c>
      <c r="G505">
        <v>363.00253725163998</v>
      </c>
      <c r="H505">
        <v>51.836741814897003</v>
      </c>
      <c r="I505">
        <v>-17.88774704651</v>
      </c>
      <c r="J505">
        <v>219.20274632817001</v>
      </c>
      <c r="L505" s="1">
        <f t="shared" si="104"/>
        <v>3.4176785446499984</v>
      </c>
      <c r="M505">
        <f t="shared" si="105"/>
        <v>1782.1554171714797</v>
      </c>
      <c r="N505">
        <f t="shared" si="97"/>
        <v>4.9504317143652212</v>
      </c>
      <c r="O505">
        <f t="shared" si="98"/>
        <v>51.836741814897003</v>
      </c>
      <c r="P505">
        <f t="shared" si="99"/>
        <v>451</v>
      </c>
      <c r="Q505">
        <f t="shared" si="106"/>
        <v>102.18749274762899</v>
      </c>
      <c r="R505">
        <f t="shared" si="100"/>
        <v>102.18749274762899</v>
      </c>
      <c r="S505">
        <f t="shared" si="95"/>
        <v>105.5114567402418</v>
      </c>
      <c r="T505">
        <f t="shared" si="101"/>
        <v>105.5114567402418</v>
      </c>
      <c r="U505" s="3">
        <f t="shared" si="102"/>
        <v>219.20274632817001</v>
      </c>
      <c r="V505">
        <f t="shared" si="107"/>
        <v>401</v>
      </c>
      <c r="W505" s="8">
        <f t="shared" si="96"/>
        <v>50.802979209900002</v>
      </c>
      <c r="X505" s="1">
        <f t="shared" si="103"/>
        <v>50.802979209900002</v>
      </c>
      <c r="Y505" s="18"/>
      <c r="Z505" s="7"/>
      <c r="AA505" s="1"/>
      <c r="AB505" s="1"/>
      <c r="AC505" s="1"/>
    </row>
    <row r="506" spans="1:29" x14ac:dyDescent="0.3">
      <c r="A506">
        <v>505</v>
      </c>
      <c r="E506">
        <v>-286.602734881</v>
      </c>
      <c r="F506">
        <v>146.58712039141</v>
      </c>
      <c r="G506">
        <v>365.84813878623999</v>
      </c>
      <c r="H506">
        <v>51.709374707583997</v>
      </c>
      <c r="I506">
        <v>-14.45316354126</v>
      </c>
      <c r="J506">
        <v>219.68403874111999</v>
      </c>
      <c r="L506" s="1">
        <f t="shared" si="104"/>
        <v>3.43458350525</v>
      </c>
      <c r="M506">
        <f t="shared" si="105"/>
        <v>1785.5900006767297</v>
      </c>
      <c r="N506">
        <f t="shared" si="97"/>
        <v>4.9599722241020272</v>
      </c>
      <c r="O506">
        <f t="shared" si="98"/>
        <v>51.709374707583997</v>
      </c>
      <c r="P506">
        <f t="shared" si="99"/>
        <v>452</v>
      </c>
      <c r="Q506">
        <f t="shared" si="106"/>
        <v>102.21239209952199</v>
      </c>
      <c r="R506">
        <f t="shared" si="100"/>
        <v>102.21239209952199</v>
      </c>
      <c r="S506">
        <f t="shared" si="95"/>
        <v>105.54050879930935</v>
      </c>
      <c r="T506">
        <f t="shared" si="101"/>
        <v>105.54050879930935</v>
      </c>
      <c r="U506" s="3">
        <f t="shared" si="102"/>
        <v>219.68403874111999</v>
      </c>
      <c r="V506">
        <f t="shared" si="107"/>
        <v>402</v>
      </c>
      <c r="W506" s="8">
        <f t="shared" si="96"/>
        <v>50.802533312310004</v>
      </c>
      <c r="X506" s="1">
        <f t="shared" si="103"/>
        <v>50.802533312310004</v>
      </c>
      <c r="Y506" s="18"/>
      <c r="Z506" s="7"/>
      <c r="AA506" s="1"/>
      <c r="AB506" s="1"/>
      <c r="AC506" s="1"/>
    </row>
    <row r="507" spans="1:29" x14ac:dyDescent="0.3">
      <c r="A507">
        <v>506</v>
      </c>
      <c r="E507">
        <v>-285.93003377589997</v>
      </c>
      <c r="F507">
        <v>147.58286177383999</v>
      </c>
      <c r="G507">
        <v>368.75175783185</v>
      </c>
      <c r="H507">
        <v>51.597744453429002</v>
      </c>
      <c r="I507">
        <v>-11.0096158739</v>
      </c>
      <c r="J507">
        <v>220.16144225711</v>
      </c>
      <c r="L507" s="1">
        <f t="shared" si="104"/>
        <v>3.4435476673600007</v>
      </c>
      <c r="M507">
        <f t="shared" si="105"/>
        <v>1789.0335483440897</v>
      </c>
      <c r="N507">
        <f t="shared" si="97"/>
        <v>4.9695376342891384</v>
      </c>
      <c r="O507">
        <f t="shared" si="98"/>
        <v>51.597744453429002</v>
      </c>
      <c r="P507">
        <f t="shared" si="99"/>
        <v>453</v>
      </c>
      <c r="Q507">
        <f t="shared" si="106"/>
        <v>102.247700451726</v>
      </c>
      <c r="R507">
        <f t="shared" si="100"/>
        <v>102.247700451726</v>
      </c>
      <c r="S507">
        <f t="shared" si="95"/>
        <v>105.57825959997166</v>
      </c>
      <c r="T507">
        <f t="shared" si="101"/>
        <v>105.57825959997166</v>
      </c>
      <c r="U507" s="3">
        <f t="shared" si="102"/>
        <v>220.16144225711</v>
      </c>
      <c r="V507">
        <f t="shared" si="107"/>
        <v>403</v>
      </c>
      <c r="W507" s="8">
        <f t="shared" si="96"/>
        <v>50.800768991539996</v>
      </c>
      <c r="X507" s="1">
        <f t="shared" si="103"/>
        <v>50.800768991539996</v>
      </c>
      <c r="Y507" s="18"/>
      <c r="Z507" s="7"/>
      <c r="AA507" s="1"/>
      <c r="AB507" s="1"/>
      <c r="AC507" s="1"/>
    </row>
    <row r="508" spans="1:29" x14ac:dyDescent="0.3">
      <c r="A508">
        <v>507</v>
      </c>
      <c r="E508">
        <v>-285.2435384396</v>
      </c>
      <c r="F508">
        <v>148.37205093413999</v>
      </c>
      <c r="G508">
        <v>371.71528240574003</v>
      </c>
      <c r="H508">
        <v>51.457446021392002</v>
      </c>
      <c r="I508">
        <v>-7.5587672867449998</v>
      </c>
      <c r="J508">
        <v>220.63944637098999</v>
      </c>
      <c r="L508" s="1">
        <f t="shared" si="104"/>
        <v>3.4508485871549999</v>
      </c>
      <c r="M508">
        <f t="shared" si="105"/>
        <v>1792.4843969312446</v>
      </c>
      <c r="N508">
        <f t="shared" si="97"/>
        <v>4.979123324809013</v>
      </c>
      <c r="O508">
        <f t="shared" si="98"/>
        <v>51.457446021392002</v>
      </c>
      <c r="P508">
        <f t="shared" si="99"/>
        <v>454</v>
      </c>
      <c r="Q508">
        <f t="shared" si="106"/>
        <v>102.255211734395</v>
      </c>
      <c r="R508">
        <f t="shared" si="100"/>
        <v>102.255211734395</v>
      </c>
      <c r="S508">
        <f t="shared" si="95"/>
        <v>105.58168336212111</v>
      </c>
      <c r="T508">
        <f t="shared" si="101"/>
        <v>105.58168336212111</v>
      </c>
      <c r="U508" s="3">
        <f t="shared" si="102"/>
        <v>220.63944637098999</v>
      </c>
      <c r="V508">
        <f t="shared" si="107"/>
        <v>404</v>
      </c>
      <c r="W508" s="8">
        <f t="shared" si="96"/>
        <v>50.805990356879988</v>
      </c>
      <c r="X508" s="1">
        <f t="shared" si="103"/>
        <v>50.805990356879988</v>
      </c>
      <c r="Y508" s="18"/>
      <c r="Z508" s="7"/>
      <c r="AA508" s="1"/>
      <c r="AB508" s="1"/>
      <c r="AC508" s="1"/>
    </row>
    <row r="509" spans="1:29" x14ac:dyDescent="0.3">
      <c r="A509">
        <v>508</v>
      </c>
      <c r="E509">
        <v>-284.51288711249998</v>
      </c>
      <c r="F509">
        <v>149.01388635667999</v>
      </c>
      <c r="G509">
        <v>374.70354883375001</v>
      </c>
      <c r="H509">
        <v>51.352879492349999</v>
      </c>
      <c r="I509">
        <v>-4.1047415336339999</v>
      </c>
      <c r="J509">
        <v>221.15349821949999</v>
      </c>
      <c r="L509" s="1">
        <f t="shared" si="104"/>
        <v>3.4540257531109999</v>
      </c>
      <c r="M509">
        <f t="shared" si="105"/>
        <v>1795.9384226843556</v>
      </c>
      <c r="N509">
        <f t="shared" si="97"/>
        <v>4.9887178407898762</v>
      </c>
      <c r="O509">
        <f t="shared" si="98"/>
        <v>51.352879492349999</v>
      </c>
      <c r="P509">
        <f t="shared" si="99"/>
        <v>455</v>
      </c>
      <c r="Q509">
        <f t="shared" si="106"/>
        <v>102.28090122220999</v>
      </c>
      <c r="R509">
        <f t="shared" si="100"/>
        <v>102.28090122220999</v>
      </c>
      <c r="S509">
        <f t="shared" si="95"/>
        <v>105.62006648741571</v>
      </c>
      <c r="T509">
        <f t="shared" si="101"/>
        <v>105.62006648741571</v>
      </c>
      <c r="U509" s="3">
        <f t="shared" si="102"/>
        <v>221.15349821949999</v>
      </c>
      <c r="V509">
        <f t="shared" si="107"/>
        <v>405</v>
      </c>
      <c r="W509" s="8">
        <f t="shared" si="96"/>
        <v>50.821237355009998</v>
      </c>
      <c r="X509" s="1">
        <f t="shared" si="103"/>
        <v>50.821237355009998</v>
      </c>
      <c r="Y509" s="18"/>
      <c r="Z509" s="7"/>
      <c r="AA509" s="1"/>
      <c r="AB509" s="1"/>
      <c r="AC509" s="1"/>
    </row>
    <row r="510" spans="1:29" x14ac:dyDescent="0.3">
      <c r="A510">
        <v>509</v>
      </c>
      <c r="E510">
        <v>-283.84284568819999</v>
      </c>
      <c r="F510">
        <v>149.36249152190001</v>
      </c>
      <c r="G510">
        <v>377.75392876680002</v>
      </c>
      <c r="H510">
        <v>51.139753527377003</v>
      </c>
      <c r="I510">
        <v>-0.63302911158899999</v>
      </c>
      <c r="J510">
        <v>221.59037179975999</v>
      </c>
      <c r="L510" s="1">
        <f t="shared" si="104"/>
        <v>3.471712422045</v>
      </c>
      <c r="M510">
        <f t="shared" si="105"/>
        <v>1799.4101351064005</v>
      </c>
      <c r="N510">
        <f t="shared" si="97"/>
        <v>4.9983614864066679</v>
      </c>
      <c r="O510">
        <f t="shared" si="98"/>
        <v>51.139753527377003</v>
      </c>
      <c r="P510">
        <f t="shared" si="99"/>
        <v>456</v>
      </c>
      <c r="Q510">
        <f t="shared" si="106"/>
        <v>102.159851862471</v>
      </c>
      <c r="R510">
        <f t="shared" si="100"/>
        <v>102.159851862471</v>
      </c>
      <c r="S510">
        <f t="shared" si="95"/>
        <v>105.49820547927777</v>
      </c>
      <c r="T510">
        <f t="shared" si="101"/>
        <v>105.49820547927777</v>
      </c>
      <c r="U510" s="3">
        <f t="shared" si="102"/>
        <v>221.59037179975999</v>
      </c>
      <c r="V510">
        <f t="shared" si="107"/>
        <v>406</v>
      </c>
      <c r="W510" s="8">
        <f t="shared" si="96"/>
        <v>50.74006904046999</v>
      </c>
      <c r="X510" s="1">
        <f t="shared" si="103"/>
        <v>50.74006904046999</v>
      </c>
      <c r="Y510" s="18"/>
      <c r="Z510" s="7"/>
      <c r="AA510" s="1"/>
      <c r="AB510" s="1"/>
      <c r="AC510" s="1"/>
    </row>
    <row r="511" spans="1:29" x14ac:dyDescent="0.3">
      <c r="A511">
        <v>510</v>
      </c>
      <c r="E511">
        <v>-283.10458688189999</v>
      </c>
      <c r="F511">
        <v>149.52227753177999</v>
      </c>
      <c r="G511">
        <v>380.804639495</v>
      </c>
      <c r="H511">
        <v>50.924330267179002</v>
      </c>
      <c r="I511">
        <v>2.843263700449</v>
      </c>
      <c r="J511">
        <v>222.08754091573999</v>
      </c>
      <c r="L511" s="1">
        <f t="shared" si="104"/>
        <v>3.4762928120379999</v>
      </c>
      <c r="M511">
        <f t="shared" si="105"/>
        <v>1802.8864279184386</v>
      </c>
      <c r="N511">
        <f t="shared" si="97"/>
        <v>5.0080178553289958</v>
      </c>
      <c r="O511">
        <f t="shared" si="98"/>
        <v>50.924330267179002</v>
      </c>
      <c r="P511">
        <f t="shared" si="99"/>
        <v>457</v>
      </c>
      <c r="Q511">
        <f t="shared" si="106"/>
        <v>102.02275437774099</v>
      </c>
      <c r="R511">
        <f t="shared" si="100"/>
        <v>102.02275437774099</v>
      </c>
      <c r="S511">
        <f t="shared" si="95"/>
        <v>105.36347837548331</v>
      </c>
      <c r="T511">
        <f t="shared" si="101"/>
        <v>105.36347837548331</v>
      </c>
      <c r="U511" s="3">
        <f t="shared" si="102"/>
        <v>222.08754091573999</v>
      </c>
      <c r="V511">
        <f t="shared" si="107"/>
        <v>407</v>
      </c>
      <c r="W511" s="8">
        <f t="shared" si="96"/>
        <v>50.728930113249987</v>
      </c>
      <c r="X511" s="1">
        <f t="shared" si="103"/>
        <v>50.728930113249987</v>
      </c>
      <c r="Y511" s="18"/>
      <c r="Z511" s="7"/>
      <c r="AA511" s="1"/>
      <c r="AB511" s="1"/>
      <c r="AC511" s="1"/>
    </row>
    <row r="512" spans="1:29" x14ac:dyDescent="0.3">
      <c r="A512">
        <v>511</v>
      </c>
      <c r="E512">
        <v>-282.40290441899998</v>
      </c>
      <c r="F512">
        <v>149.58075902378999</v>
      </c>
      <c r="G512">
        <v>383.86750995121997</v>
      </c>
      <c r="H512">
        <v>50.797655441620002</v>
      </c>
      <c r="I512">
        <v>6.3438662926570997</v>
      </c>
      <c r="J512">
        <v>222.54321825034</v>
      </c>
      <c r="L512" s="1">
        <f t="shared" si="104"/>
        <v>3.5006025922080997</v>
      </c>
      <c r="M512">
        <f t="shared" si="105"/>
        <v>1806.3870305106466</v>
      </c>
      <c r="N512">
        <f t="shared" si="97"/>
        <v>5.0177417514184626</v>
      </c>
      <c r="O512">
        <f t="shared" si="98"/>
        <v>50.797655441620002</v>
      </c>
      <c r="P512">
        <f t="shared" si="99"/>
        <v>458</v>
      </c>
      <c r="Q512">
        <f t="shared" si="106"/>
        <v>102.030197206023</v>
      </c>
      <c r="R512">
        <f t="shared" si="100"/>
        <v>102.030197206023</v>
      </c>
      <c r="S512">
        <f t="shared" si="95"/>
        <v>105.35224556753838</v>
      </c>
      <c r="T512">
        <f t="shared" si="101"/>
        <v>105.35224556753838</v>
      </c>
      <c r="U512" s="3">
        <f t="shared" si="102"/>
        <v>222.54321825034</v>
      </c>
      <c r="V512">
        <f t="shared" si="107"/>
        <v>408</v>
      </c>
      <c r="W512" s="8">
        <f t="shared" si="96"/>
        <v>50.680640563230014</v>
      </c>
      <c r="X512" s="1">
        <f t="shared" si="103"/>
        <v>50.680640563230014</v>
      </c>
      <c r="Y512" s="18"/>
      <c r="Z512" s="7"/>
      <c r="AA512" s="1"/>
      <c r="AB512" s="1"/>
      <c r="AC512" s="1"/>
    </row>
    <row r="513" spans="1:29" x14ac:dyDescent="0.3">
      <c r="A513">
        <v>512</v>
      </c>
      <c r="E513">
        <v>-281.69006136979999</v>
      </c>
      <c r="F513">
        <v>149.49282737013999</v>
      </c>
      <c r="G513">
        <v>386.92652942314999</v>
      </c>
      <c r="H513">
        <v>50.714371727588997</v>
      </c>
      <c r="I513">
        <v>9.8518147725004006</v>
      </c>
      <c r="J513">
        <v>223.00441116168</v>
      </c>
      <c r="L513" s="1">
        <f t="shared" si="104"/>
        <v>3.5079484798433009</v>
      </c>
      <c r="M513">
        <f t="shared" si="105"/>
        <v>1809.8949789904898</v>
      </c>
      <c r="N513">
        <f t="shared" si="97"/>
        <v>5.0274860527513603</v>
      </c>
      <c r="O513">
        <f t="shared" si="98"/>
        <v>50.714371727588997</v>
      </c>
      <c r="P513">
        <f t="shared" si="99"/>
        <v>459</v>
      </c>
      <c r="Q513">
        <f t="shared" si="106"/>
        <v>102.124334709325</v>
      </c>
      <c r="R513">
        <f t="shared" si="100"/>
        <v>102.124334709325</v>
      </c>
      <c r="S513">
        <f t="shared" si="95"/>
        <v>105.43477375803124</v>
      </c>
      <c r="T513">
        <f t="shared" si="101"/>
        <v>105.43477375803124</v>
      </c>
      <c r="U513" s="3">
        <f t="shared" si="102"/>
        <v>223.00441116168</v>
      </c>
      <c r="V513">
        <f t="shared" si="107"/>
        <v>409</v>
      </c>
      <c r="W513" s="8">
        <f t="shared" si="96"/>
        <v>50.66166366022</v>
      </c>
      <c r="X513" s="1">
        <f t="shared" si="103"/>
        <v>50.66166366022</v>
      </c>
      <c r="Y513" s="18"/>
      <c r="Z513" s="7"/>
      <c r="AA513" s="1"/>
      <c r="AB513" s="1"/>
      <c r="AC513" s="1"/>
    </row>
    <row r="514" spans="1:29" x14ac:dyDescent="0.3">
      <c r="A514">
        <v>513</v>
      </c>
      <c r="E514">
        <v>-280.89922503150001</v>
      </c>
      <c r="F514">
        <v>149.1865841151</v>
      </c>
      <c r="G514">
        <v>389.95276059647</v>
      </c>
      <c r="H514">
        <v>50.598494166376</v>
      </c>
      <c r="I514">
        <v>13.353207526792</v>
      </c>
      <c r="J514">
        <v>223.53710083582001</v>
      </c>
      <c r="L514" s="1">
        <f t="shared" si="104"/>
        <v>3.501392754291599</v>
      </c>
      <c r="M514">
        <f t="shared" si="105"/>
        <v>1813.3963717447814</v>
      </c>
      <c r="N514">
        <f t="shared" si="97"/>
        <v>5.0372121437355037</v>
      </c>
      <c r="O514">
        <f t="shared" si="98"/>
        <v>50.598494166376</v>
      </c>
      <c r="P514">
        <f t="shared" si="99"/>
        <v>460</v>
      </c>
      <c r="Q514">
        <f t="shared" si="106"/>
        <v>102.15272885067199</v>
      </c>
      <c r="R514">
        <f t="shared" si="100"/>
        <v>102.15272885067199</v>
      </c>
      <c r="S514">
        <f t="shared" ref="S514:S577" si="108">IF(P514=0,0,SQRT((E514-INDEX(E:E,P514))^2+(F514-INDEX(F:F,P514))^2+(G514-INDEX(G:G,P514))^2))</f>
        <v>105.47489057352026</v>
      </c>
      <c r="T514">
        <f t="shared" si="101"/>
        <v>105.47489057352026</v>
      </c>
      <c r="U514" s="3">
        <f t="shared" si="102"/>
        <v>223.53710083582001</v>
      </c>
      <c r="V514">
        <f t="shared" si="107"/>
        <v>410</v>
      </c>
      <c r="W514" s="8">
        <f t="shared" ref="W514:W577" si="109">IF(V514=0,0,U514-INDEX(U:U,V514))</f>
        <v>50.677927360600023</v>
      </c>
      <c r="X514" s="1">
        <f t="shared" si="103"/>
        <v>50.677927360600023</v>
      </c>
      <c r="Y514" s="18"/>
      <c r="Z514" s="7"/>
      <c r="AA514" s="1"/>
      <c r="AB514" s="1"/>
      <c r="AC514" s="1"/>
    </row>
    <row r="515" spans="1:29" x14ac:dyDescent="0.3">
      <c r="A515">
        <v>514</v>
      </c>
      <c r="E515">
        <v>-280.09854886009998</v>
      </c>
      <c r="F515">
        <v>148.70807742285999</v>
      </c>
      <c r="G515">
        <v>392.95361354722002</v>
      </c>
      <c r="H515">
        <v>50.49773203574</v>
      </c>
      <c r="I515">
        <v>16.861360681629002</v>
      </c>
      <c r="J515">
        <v>224.07467316365</v>
      </c>
      <c r="L515" s="1">
        <f t="shared" si="104"/>
        <v>3.508153154837002</v>
      </c>
      <c r="M515">
        <f t="shared" si="105"/>
        <v>1816.9045248996183</v>
      </c>
      <c r="N515">
        <f t="shared" ref="N515:N578" si="110">M515/360</f>
        <v>5.0469570136100508</v>
      </c>
      <c r="O515">
        <f t="shared" ref="O515:O578" si="111">H515</f>
        <v>50.49773203574</v>
      </c>
      <c r="P515">
        <f t="shared" ref="P515:P578" si="112">IFERROR(MATCH(N515-0.5,N:N,1),0)</f>
        <v>461</v>
      </c>
      <c r="Q515">
        <f t="shared" si="106"/>
        <v>102.286019203203</v>
      </c>
      <c r="R515">
        <f t="shared" ref="R515:R578" si="113">IF(Q515=0,MAX(Q:Q),Q515)</f>
        <v>102.286019203203</v>
      </c>
      <c r="S515">
        <f t="shared" si="108"/>
        <v>105.63217857374617</v>
      </c>
      <c r="T515">
        <f t="shared" ref="T515:T578" si="114">IF(S515=0,MAX(S:S),S515)</f>
        <v>105.63217857374617</v>
      </c>
      <c r="U515" s="3">
        <f t="shared" ref="U515:U578" si="115">J515</f>
        <v>224.07467316365</v>
      </c>
      <c r="V515">
        <f t="shared" si="107"/>
        <v>411</v>
      </c>
      <c r="W515" s="8">
        <f t="shared" si="109"/>
        <v>50.771357144770008</v>
      </c>
      <c r="X515" s="1">
        <f t="shared" ref="X515:X578" si="116">IF(W515=0,MAX(W:W),W515)</f>
        <v>50.771357144770008</v>
      </c>
      <c r="Y515" s="18"/>
      <c r="Z515" s="7"/>
      <c r="AA515" s="1"/>
      <c r="AB515" s="1"/>
      <c r="AC515" s="1"/>
    </row>
    <row r="516" spans="1:29" x14ac:dyDescent="0.3">
      <c r="A516">
        <v>515</v>
      </c>
      <c r="E516">
        <v>-279.34523666379999</v>
      </c>
      <c r="F516">
        <v>147.96296773080999</v>
      </c>
      <c r="G516">
        <v>395.91206465437</v>
      </c>
      <c r="H516">
        <v>50.318356649894</v>
      </c>
      <c r="I516">
        <v>20.385430786152</v>
      </c>
      <c r="J516">
        <v>224.55771269208</v>
      </c>
      <c r="L516" s="1">
        <f t="shared" ref="L516:L579" si="117">I516-I515</f>
        <v>3.5240701045229983</v>
      </c>
      <c r="M516">
        <f t="shared" ref="M516:M579" si="118">IF(L516&gt;0,M515+L516,M515+L515)</f>
        <v>1820.4285950041412</v>
      </c>
      <c r="N516">
        <f t="shared" si="110"/>
        <v>5.0567460972337255</v>
      </c>
      <c r="O516">
        <f t="shared" si="111"/>
        <v>50.318356649894</v>
      </c>
      <c r="P516">
        <f t="shared" si="112"/>
        <v>462</v>
      </c>
      <c r="Q516">
        <f t="shared" si="106"/>
        <v>102.374440450069</v>
      </c>
      <c r="R516">
        <f t="shared" si="113"/>
        <v>102.374440450069</v>
      </c>
      <c r="S516">
        <f t="shared" si="108"/>
        <v>105.72226082903936</v>
      </c>
      <c r="T516">
        <f t="shared" si="114"/>
        <v>105.72226082903936</v>
      </c>
      <c r="U516" s="3">
        <f t="shared" si="115"/>
        <v>224.55771269208</v>
      </c>
      <c r="V516">
        <f t="shared" si="107"/>
        <v>412</v>
      </c>
      <c r="W516" s="8">
        <f t="shared" si="109"/>
        <v>50.784405971580014</v>
      </c>
      <c r="X516" s="1">
        <f t="shared" si="116"/>
        <v>50.784405971580014</v>
      </c>
      <c r="Y516" s="18"/>
      <c r="Z516" s="7"/>
      <c r="AA516" s="1"/>
      <c r="AB516" s="1"/>
      <c r="AC516" s="1"/>
    </row>
    <row r="517" spans="1:29" x14ac:dyDescent="0.3">
      <c r="A517">
        <v>516</v>
      </c>
      <c r="E517">
        <v>-278.58399888960002</v>
      </c>
      <c r="F517">
        <v>147.08307100239</v>
      </c>
      <c r="G517">
        <v>398.83170963754998</v>
      </c>
      <c r="H517">
        <v>50.189905982199001</v>
      </c>
      <c r="I517">
        <v>23.922721769519999</v>
      </c>
      <c r="J517">
        <v>225.04631719141</v>
      </c>
      <c r="L517" s="1">
        <f t="shared" si="117"/>
        <v>3.5372909833679991</v>
      </c>
      <c r="M517">
        <f t="shared" si="118"/>
        <v>1823.9658859875092</v>
      </c>
      <c r="N517">
        <f t="shared" si="110"/>
        <v>5.0665719055208589</v>
      </c>
      <c r="O517">
        <f t="shared" si="111"/>
        <v>50.189905982199001</v>
      </c>
      <c r="P517">
        <f t="shared" si="112"/>
        <v>463</v>
      </c>
      <c r="Q517">
        <f t="shared" si="106"/>
        <v>102.392095243543</v>
      </c>
      <c r="R517">
        <f t="shared" si="113"/>
        <v>102.392095243543</v>
      </c>
      <c r="S517">
        <f t="shared" si="108"/>
        <v>105.73446597205587</v>
      </c>
      <c r="T517">
        <f t="shared" si="114"/>
        <v>105.73446597205587</v>
      </c>
      <c r="U517" s="3">
        <f t="shared" si="115"/>
        <v>225.04631719141</v>
      </c>
      <c r="V517">
        <f t="shared" si="107"/>
        <v>413</v>
      </c>
      <c r="W517" s="8">
        <f t="shared" si="109"/>
        <v>50.76001135044001</v>
      </c>
      <c r="X517" s="1">
        <f t="shared" si="116"/>
        <v>50.76001135044001</v>
      </c>
      <c r="Y517" s="18"/>
      <c r="Z517" s="7"/>
      <c r="AA517" s="1"/>
      <c r="AB517" s="1"/>
      <c r="AC517" s="1"/>
    </row>
    <row r="518" spans="1:29" x14ac:dyDescent="0.3">
      <c r="A518">
        <v>517</v>
      </c>
      <c r="E518">
        <v>-277.79064475849998</v>
      </c>
      <c r="F518">
        <v>146.04019788932001</v>
      </c>
      <c r="G518">
        <v>401.68809639176999</v>
      </c>
      <c r="H518">
        <v>50.078196638441</v>
      </c>
      <c r="I518">
        <v>27.463178785322</v>
      </c>
      <c r="J518">
        <v>225.56540239086999</v>
      </c>
      <c r="L518" s="1">
        <f t="shared" si="117"/>
        <v>3.5404570158020015</v>
      </c>
      <c r="M518">
        <f t="shared" si="118"/>
        <v>1827.5063430033113</v>
      </c>
      <c r="N518">
        <f t="shared" si="110"/>
        <v>5.0764065083425312</v>
      </c>
      <c r="O518">
        <f t="shared" si="111"/>
        <v>50.078196638441</v>
      </c>
      <c r="P518">
        <f t="shared" si="112"/>
        <v>464</v>
      </c>
      <c r="Q518">
        <f t="shared" si="106"/>
        <v>102.37761048548199</v>
      </c>
      <c r="R518">
        <f t="shared" si="113"/>
        <v>102.37761048548199</v>
      </c>
      <c r="S518">
        <f t="shared" si="108"/>
        <v>105.72924215344838</v>
      </c>
      <c r="T518">
        <f t="shared" si="114"/>
        <v>105.72924215344838</v>
      </c>
      <c r="U518" s="3">
        <f t="shared" si="115"/>
        <v>225.56540239086999</v>
      </c>
      <c r="V518">
        <f t="shared" si="107"/>
        <v>414</v>
      </c>
      <c r="W518" s="8">
        <f t="shared" si="109"/>
        <v>50.774189041549988</v>
      </c>
      <c r="X518" s="1">
        <f t="shared" si="116"/>
        <v>50.774189041549988</v>
      </c>
      <c r="Y518" s="18"/>
      <c r="Z518" s="7"/>
      <c r="AA518" s="1"/>
      <c r="AB518" s="1"/>
      <c r="AC518" s="1"/>
    </row>
    <row r="519" spans="1:29" x14ac:dyDescent="0.3">
      <c r="A519">
        <v>518</v>
      </c>
      <c r="E519">
        <v>-276.99456070240001</v>
      </c>
      <c r="F519">
        <v>144.76534456914999</v>
      </c>
      <c r="G519">
        <v>404.44771518466001</v>
      </c>
      <c r="H519">
        <v>49.906788743561997</v>
      </c>
      <c r="I519">
        <v>31.010055300384</v>
      </c>
      <c r="J519">
        <v>226.08560200849001</v>
      </c>
      <c r="L519" s="1">
        <f t="shared" si="117"/>
        <v>3.5468765150619994</v>
      </c>
      <c r="M519">
        <f t="shared" si="118"/>
        <v>1831.0532195183732</v>
      </c>
      <c r="N519">
        <f t="shared" si="110"/>
        <v>5.0862589431065919</v>
      </c>
      <c r="O519">
        <f t="shared" si="111"/>
        <v>49.906788743561997</v>
      </c>
      <c r="P519">
        <f t="shared" si="112"/>
        <v>465</v>
      </c>
      <c r="Q519">
        <f t="shared" si="106"/>
        <v>102.334066991838</v>
      </c>
      <c r="R519">
        <f t="shared" si="113"/>
        <v>102.334066991838</v>
      </c>
      <c r="S519">
        <f t="shared" si="108"/>
        <v>105.69184065160822</v>
      </c>
      <c r="T519">
        <f t="shared" si="114"/>
        <v>105.69184065160822</v>
      </c>
      <c r="U519" s="3">
        <f t="shared" si="115"/>
        <v>226.08560200849001</v>
      </c>
      <c r="V519">
        <f t="shared" si="107"/>
        <v>415</v>
      </c>
      <c r="W519" s="8">
        <f t="shared" si="109"/>
        <v>50.772852991800022</v>
      </c>
      <c r="X519" s="1">
        <f t="shared" si="116"/>
        <v>50.772852991800022</v>
      </c>
      <c r="Y519" s="18"/>
      <c r="Z519" s="7"/>
      <c r="AA519" s="1"/>
      <c r="AB519" s="1"/>
      <c r="AC519" s="1"/>
    </row>
    <row r="520" spans="1:29" x14ac:dyDescent="0.3">
      <c r="A520">
        <v>519</v>
      </c>
      <c r="E520">
        <v>-276.19453010339998</v>
      </c>
      <c r="F520">
        <v>143.33875683269</v>
      </c>
      <c r="G520">
        <v>407.13137982919</v>
      </c>
      <c r="H520">
        <v>49.757841474014</v>
      </c>
      <c r="I520">
        <v>34.569429267429001</v>
      </c>
      <c r="J520">
        <v>226.60969764071999</v>
      </c>
      <c r="L520" s="1">
        <f t="shared" si="117"/>
        <v>3.5593739670450013</v>
      </c>
      <c r="M520">
        <f t="shared" si="118"/>
        <v>1834.6125934854183</v>
      </c>
      <c r="N520">
        <f t="shared" si="110"/>
        <v>5.0961460930150508</v>
      </c>
      <c r="O520">
        <f t="shared" si="111"/>
        <v>49.757841474014</v>
      </c>
      <c r="P520">
        <f t="shared" si="112"/>
        <v>466</v>
      </c>
      <c r="Q520">
        <f t="shared" si="106"/>
        <v>102.37723361458501</v>
      </c>
      <c r="R520">
        <f t="shared" si="113"/>
        <v>102.37723361458501</v>
      </c>
      <c r="S520">
        <f t="shared" si="108"/>
        <v>105.74000508082216</v>
      </c>
      <c r="T520">
        <f t="shared" si="114"/>
        <v>105.74000508082216</v>
      </c>
      <c r="U520" s="3">
        <f t="shared" si="115"/>
        <v>226.60969764071999</v>
      </c>
      <c r="V520">
        <f t="shared" si="107"/>
        <v>416</v>
      </c>
      <c r="W520" s="8">
        <f t="shared" si="109"/>
        <v>50.775836477169975</v>
      </c>
      <c r="X520" s="1">
        <f t="shared" si="116"/>
        <v>50.775836477169975</v>
      </c>
      <c r="Y520" s="18"/>
      <c r="Z520" s="7"/>
      <c r="AA520" s="1"/>
      <c r="AB520" s="1"/>
      <c r="AC520" s="1"/>
    </row>
    <row r="521" spans="1:29" x14ac:dyDescent="0.3">
      <c r="A521">
        <v>520</v>
      </c>
      <c r="E521">
        <v>-275.43411823500003</v>
      </c>
      <c r="F521">
        <v>141.74226426601001</v>
      </c>
      <c r="G521">
        <v>409.72924223106003</v>
      </c>
      <c r="H521">
        <v>49.611471651332998</v>
      </c>
      <c r="I521">
        <v>38.146681319469003</v>
      </c>
      <c r="J521">
        <v>227.09435600547999</v>
      </c>
      <c r="L521" s="1">
        <f t="shared" si="117"/>
        <v>3.5772520520400022</v>
      </c>
      <c r="M521">
        <f t="shared" si="118"/>
        <v>1838.1898455374583</v>
      </c>
      <c r="N521">
        <f t="shared" si="110"/>
        <v>5.1060829042707176</v>
      </c>
      <c r="O521">
        <f t="shared" si="111"/>
        <v>49.611471651332998</v>
      </c>
      <c r="P521">
        <f t="shared" si="112"/>
        <v>467</v>
      </c>
      <c r="Q521">
        <f t="shared" si="106"/>
        <v>102.32533433773</v>
      </c>
      <c r="R521">
        <f t="shared" si="113"/>
        <v>102.32533433773</v>
      </c>
      <c r="S521">
        <f t="shared" si="108"/>
        <v>105.68022448951014</v>
      </c>
      <c r="T521">
        <f t="shared" si="114"/>
        <v>105.68022448951014</v>
      </c>
      <c r="U521" s="3">
        <f t="shared" si="115"/>
        <v>227.09435600547999</v>
      </c>
      <c r="V521">
        <f t="shared" si="107"/>
        <v>417</v>
      </c>
      <c r="W521" s="8">
        <f t="shared" si="109"/>
        <v>50.765095569240003</v>
      </c>
      <c r="X521" s="1">
        <f t="shared" si="116"/>
        <v>50.765095569240003</v>
      </c>
      <c r="Y521" s="18"/>
      <c r="Z521" s="7"/>
      <c r="AA521" s="1"/>
      <c r="AB521" s="1"/>
      <c r="AC521" s="1"/>
    </row>
    <row r="522" spans="1:29" x14ac:dyDescent="0.3">
      <c r="A522">
        <v>521</v>
      </c>
      <c r="E522">
        <v>-274.6570183142</v>
      </c>
      <c r="F522">
        <v>139.99962686086999</v>
      </c>
      <c r="G522">
        <v>412.22639798302998</v>
      </c>
      <c r="H522">
        <v>49.481921519372001</v>
      </c>
      <c r="I522">
        <v>41.731400176984003</v>
      </c>
      <c r="J522">
        <v>227.59781032058001</v>
      </c>
      <c r="L522" s="1">
        <f t="shared" si="117"/>
        <v>3.584718857515</v>
      </c>
      <c r="M522">
        <f t="shared" si="118"/>
        <v>1841.7745643949734</v>
      </c>
      <c r="N522">
        <f t="shared" si="110"/>
        <v>5.116040456652704</v>
      </c>
      <c r="O522">
        <f t="shared" si="111"/>
        <v>49.481921519372001</v>
      </c>
      <c r="P522">
        <f t="shared" si="112"/>
        <v>468</v>
      </c>
      <c r="Q522">
        <f t="shared" si="106"/>
        <v>102.250486387341</v>
      </c>
      <c r="R522">
        <f t="shared" si="113"/>
        <v>102.250486387341</v>
      </c>
      <c r="S522">
        <f t="shared" si="108"/>
        <v>105.60113061596377</v>
      </c>
      <c r="T522">
        <f t="shared" si="114"/>
        <v>105.60113061596377</v>
      </c>
      <c r="U522" s="3">
        <f t="shared" si="115"/>
        <v>227.59781032058001</v>
      </c>
      <c r="V522">
        <f t="shared" si="107"/>
        <v>418</v>
      </c>
      <c r="W522" s="8">
        <f t="shared" si="109"/>
        <v>50.77528959512</v>
      </c>
      <c r="X522" s="1">
        <f t="shared" si="116"/>
        <v>50.77528959512</v>
      </c>
      <c r="Y522" s="18"/>
      <c r="Z522" s="7"/>
      <c r="AA522" s="1"/>
      <c r="AB522" s="1"/>
      <c r="AC522" s="1"/>
    </row>
    <row r="523" spans="1:29" x14ac:dyDescent="0.3">
      <c r="A523">
        <v>522</v>
      </c>
      <c r="E523">
        <v>-273.87467757759998</v>
      </c>
      <c r="F523">
        <v>138.12759217396001</v>
      </c>
      <c r="G523">
        <v>414.62645687265001</v>
      </c>
      <c r="H523">
        <v>49.384988847862999</v>
      </c>
      <c r="I523">
        <v>45.324311413060002</v>
      </c>
      <c r="J523">
        <v>228.10904603745001</v>
      </c>
      <c r="L523" s="1">
        <f t="shared" si="117"/>
        <v>3.5929112360759987</v>
      </c>
      <c r="M523">
        <f t="shared" si="118"/>
        <v>1845.3674756310493</v>
      </c>
      <c r="N523">
        <f t="shared" si="110"/>
        <v>5.1260207656418038</v>
      </c>
      <c r="O523">
        <f t="shared" si="111"/>
        <v>49.384988847862999</v>
      </c>
      <c r="P523">
        <f t="shared" si="112"/>
        <v>470</v>
      </c>
      <c r="Q523">
        <f t="shared" si="106"/>
        <v>102.39971918937499</v>
      </c>
      <c r="R523">
        <f t="shared" si="113"/>
        <v>102.39971918937499</v>
      </c>
      <c r="S523">
        <f t="shared" si="108"/>
        <v>105.67289971461902</v>
      </c>
      <c r="T523">
        <f t="shared" si="114"/>
        <v>105.67289971461902</v>
      </c>
      <c r="U523" s="3">
        <f t="shared" si="115"/>
        <v>228.10904603745001</v>
      </c>
      <c r="V523">
        <f t="shared" si="107"/>
        <v>419</v>
      </c>
      <c r="W523" s="8">
        <f t="shared" si="109"/>
        <v>50.798844526880004</v>
      </c>
      <c r="X523" s="1">
        <f t="shared" si="116"/>
        <v>50.798844526880004</v>
      </c>
      <c r="Y523" s="18"/>
      <c r="Z523" s="7"/>
      <c r="AA523" s="1"/>
      <c r="AB523" s="1"/>
      <c r="AC523" s="1"/>
    </row>
    <row r="524" spans="1:29" x14ac:dyDescent="0.3">
      <c r="A524">
        <v>523</v>
      </c>
      <c r="E524">
        <v>-273.11198176149998</v>
      </c>
      <c r="F524">
        <v>136.12419444094999</v>
      </c>
      <c r="G524">
        <v>416.92443112746997</v>
      </c>
      <c r="H524">
        <v>49.316101041557999</v>
      </c>
      <c r="I524">
        <v>48.927112450506002</v>
      </c>
      <c r="J524">
        <v>228.60359836091001</v>
      </c>
      <c r="L524" s="1">
        <f t="shared" si="117"/>
        <v>3.6028010374459996</v>
      </c>
      <c r="M524">
        <f t="shared" si="118"/>
        <v>1848.9702766684952</v>
      </c>
      <c r="N524">
        <f t="shared" si="110"/>
        <v>5.1360285463013753</v>
      </c>
      <c r="O524">
        <f t="shared" si="111"/>
        <v>49.316101041557999</v>
      </c>
      <c r="P524">
        <f t="shared" si="112"/>
        <v>471</v>
      </c>
      <c r="Q524">
        <f t="shared" si="106"/>
        <v>102.421133764023</v>
      </c>
      <c r="R524">
        <f t="shared" si="113"/>
        <v>102.421133764023</v>
      </c>
      <c r="S524">
        <f t="shared" si="108"/>
        <v>105.69176187666787</v>
      </c>
      <c r="T524">
        <f t="shared" si="114"/>
        <v>105.69176187666787</v>
      </c>
      <c r="U524" s="3">
        <f t="shared" si="115"/>
        <v>228.60359836091001</v>
      </c>
      <c r="V524">
        <f t="shared" si="107"/>
        <v>420</v>
      </c>
      <c r="W524" s="8">
        <f t="shared" si="109"/>
        <v>50.805196587320012</v>
      </c>
      <c r="X524" s="1">
        <f t="shared" si="116"/>
        <v>50.805196587320012</v>
      </c>
      <c r="Y524" s="18"/>
      <c r="Z524" s="7"/>
      <c r="AA524" s="1"/>
      <c r="AB524" s="1"/>
      <c r="AC524" s="1"/>
    </row>
    <row r="525" spans="1:29" x14ac:dyDescent="0.3">
      <c r="A525">
        <v>524</v>
      </c>
      <c r="E525">
        <v>-272.36609880380001</v>
      </c>
      <c r="F525">
        <v>133.94582847109001</v>
      </c>
      <c r="G525">
        <v>419.06312473243997</v>
      </c>
      <c r="H525">
        <v>49.205553511048002</v>
      </c>
      <c r="I525">
        <v>52.537033246269999</v>
      </c>
      <c r="J525">
        <v>229.08711327310999</v>
      </c>
      <c r="L525" s="1">
        <f t="shared" si="117"/>
        <v>3.6099207957639976</v>
      </c>
      <c r="M525">
        <f t="shared" si="118"/>
        <v>1852.5801974642593</v>
      </c>
      <c r="N525">
        <f t="shared" si="110"/>
        <v>5.1460561040673873</v>
      </c>
      <c r="O525">
        <f t="shared" si="111"/>
        <v>49.205553511048002</v>
      </c>
      <c r="P525">
        <f t="shared" si="112"/>
        <v>472</v>
      </c>
      <c r="Q525">
        <f t="shared" si="106"/>
        <v>102.40506459116901</v>
      </c>
      <c r="R525">
        <f t="shared" si="113"/>
        <v>102.40506459116901</v>
      </c>
      <c r="S525">
        <f t="shared" si="108"/>
        <v>105.67054857260493</v>
      </c>
      <c r="T525">
        <f t="shared" si="114"/>
        <v>105.67054857260493</v>
      </c>
      <c r="U525" s="3">
        <f t="shared" si="115"/>
        <v>229.08711327310999</v>
      </c>
      <c r="V525">
        <f t="shared" si="107"/>
        <v>421</v>
      </c>
      <c r="W525" s="8">
        <f t="shared" si="109"/>
        <v>50.785888052350003</v>
      </c>
      <c r="X525" s="1">
        <f t="shared" si="116"/>
        <v>50.785888052350003</v>
      </c>
      <c r="Y525" s="18"/>
      <c r="Z525" s="7"/>
      <c r="AA525" s="1"/>
      <c r="AB525" s="1"/>
      <c r="AC525" s="1"/>
    </row>
    <row r="526" spans="1:29" x14ac:dyDescent="0.3">
      <c r="A526">
        <v>525</v>
      </c>
      <c r="E526">
        <v>-271.62580101259999</v>
      </c>
      <c r="F526">
        <v>131.63157088962001</v>
      </c>
      <c r="G526">
        <v>421.05630145172</v>
      </c>
      <c r="H526">
        <v>49.091652494424999</v>
      </c>
      <c r="I526">
        <v>56.155124741656998</v>
      </c>
      <c r="J526">
        <v>229.57124677504001</v>
      </c>
      <c r="L526" s="1">
        <f t="shared" si="117"/>
        <v>3.6180914953869987</v>
      </c>
      <c r="M526">
        <f t="shared" si="118"/>
        <v>1856.1982889596463</v>
      </c>
      <c r="N526">
        <f t="shared" si="110"/>
        <v>5.1561063582212396</v>
      </c>
      <c r="O526">
        <f t="shared" si="111"/>
        <v>49.091652494424999</v>
      </c>
      <c r="P526">
        <f t="shared" si="112"/>
        <v>473</v>
      </c>
      <c r="Q526">
        <f t="shared" si="106"/>
        <v>102.37952676513399</v>
      </c>
      <c r="R526">
        <f t="shared" si="113"/>
        <v>102.37952676513399</v>
      </c>
      <c r="S526">
        <f t="shared" si="108"/>
        <v>105.64380333235889</v>
      </c>
      <c r="T526">
        <f t="shared" si="114"/>
        <v>105.64380333235889</v>
      </c>
      <c r="U526" s="3">
        <f t="shared" si="115"/>
        <v>229.57124677504001</v>
      </c>
      <c r="V526">
        <f t="shared" si="107"/>
        <v>422</v>
      </c>
      <c r="W526" s="8">
        <f t="shared" si="109"/>
        <v>50.790441212490009</v>
      </c>
      <c r="X526" s="1">
        <f t="shared" si="116"/>
        <v>50.790441212490009</v>
      </c>
      <c r="Y526" s="18"/>
      <c r="Z526" s="7"/>
      <c r="AA526" s="1"/>
      <c r="AB526" s="1"/>
      <c r="AC526" s="1"/>
    </row>
    <row r="527" spans="1:29" x14ac:dyDescent="0.3">
      <c r="A527">
        <v>526</v>
      </c>
      <c r="E527">
        <v>-270.89231689870002</v>
      </c>
      <c r="F527">
        <v>129.21700107429001</v>
      </c>
      <c r="G527">
        <v>422.92934036165002</v>
      </c>
      <c r="H527">
        <v>49.017398314334997</v>
      </c>
      <c r="I527">
        <v>59.781749060838003</v>
      </c>
      <c r="J527">
        <v>230.05417666203999</v>
      </c>
      <c r="L527" s="1">
        <f t="shared" si="117"/>
        <v>3.6266243191810048</v>
      </c>
      <c r="M527">
        <f t="shared" si="118"/>
        <v>1859.8249132788274</v>
      </c>
      <c r="N527">
        <f t="shared" si="110"/>
        <v>5.1661803146634089</v>
      </c>
      <c r="O527">
        <f t="shared" si="111"/>
        <v>49.017398314334997</v>
      </c>
      <c r="P527">
        <f t="shared" si="112"/>
        <v>474</v>
      </c>
      <c r="Q527">
        <f t="shared" si="106"/>
        <v>102.388118282637</v>
      </c>
      <c r="R527">
        <f t="shared" si="113"/>
        <v>102.388118282637</v>
      </c>
      <c r="S527">
        <f t="shared" si="108"/>
        <v>105.64847225963094</v>
      </c>
      <c r="T527">
        <f t="shared" si="114"/>
        <v>105.64847225963094</v>
      </c>
      <c r="U527" s="3">
        <f t="shared" si="115"/>
        <v>230.05417666203999</v>
      </c>
      <c r="V527">
        <f t="shared" si="107"/>
        <v>423</v>
      </c>
      <c r="W527" s="8">
        <f t="shared" si="109"/>
        <v>50.794344614739998</v>
      </c>
      <c r="X527" s="1">
        <f t="shared" si="116"/>
        <v>50.794344614739998</v>
      </c>
      <c r="Y527" s="18"/>
      <c r="Z527" s="7"/>
      <c r="AA527" s="1"/>
      <c r="AB527" s="1"/>
      <c r="AC527" s="1"/>
    </row>
    <row r="528" spans="1:29" x14ac:dyDescent="0.3">
      <c r="A528">
        <v>527</v>
      </c>
      <c r="E528">
        <v>-270.18806053499998</v>
      </c>
      <c r="F528">
        <v>126.67129597483</v>
      </c>
      <c r="G528">
        <v>424.63222655189003</v>
      </c>
      <c r="H528">
        <v>48.924141303226001</v>
      </c>
      <c r="I528">
        <v>63.417675108125003</v>
      </c>
      <c r="J528">
        <v>230.51634483445</v>
      </c>
      <c r="L528" s="1">
        <f t="shared" si="117"/>
        <v>3.6359260472870005</v>
      </c>
      <c r="M528">
        <f t="shared" si="118"/>
        <v>1863.4608393261144</v>
      </c>
      <c r="N528">
        <f t="shared" si="110"/>
        <v>5.1762801092392063</v>
      </c>
      <c r="O528">
        <f t="shared" si="111"/>
        <v>48.924141303226001</v>
      </c>
      <c r="P528">
        <f t="shared" si="112"/>
        <v>475</v>
      </c>
      <c r="Q528">
        <f t="shared" si="106"/>
        <v>102.37099407556701</v>
      </c>
      <c r="R528">
        <f t="shared" si="113"/>
        <v>102.37099407556701</v>
      </c>
      <c r="S528">
        <f t="shared" si="108"/>
        <v>105.62243101942239</v>
      </c>
      <c r="T528">
        <f t="shared" si="114"/>
        <v>105.62243101942239</v>
      </c>
      <c r="U528" s="3">
        <f t="shared" si="115"/>
        <v>230.51634483445</v>
      </c>
      <c r="V528">
        <f t="shared" si="107"/>
        <v>424</v>
      </c>
      <c r="W528" s="8">
        <f t="shared" si="109"/>
        <v>50.769547620479983</v>
      </c>
      <c r="X528" s="1">
        <f t="shared" si="116"/>
        <v>50.769547620479983</v>
      </c>
      <c r="Y528" s="18"/>
      <c r="Z528" s="7"/>
      <c r="AA528" s="1"/>
      <c r="AB528" s="1"/>
      <c r="AC528" s="1"/>
    </row>
    <row r="529" spans="1:29" x14ac:dyDescent="0.3">
      <c r="A529">
        <v>528</v>
      </c>
      <c r="E529">
        <v>-269.47974759340002</v>
      </c>
      <c r="F529">
        <v>124.03333932917</v>
      </c>
      <c r="G529">
        <v>426.18633419357002</v>
      </c>
      <c r="H529">
        <v>48.853573049341001</v>
      </c>
      <c r="I529">
        <v>67.058110941785003</v>
      </c>
      <c r="J529">
        <v>230.99075704824</v>
      </c>
      <c r="L529" s="1">
        <f t="shared" si="117"/>
        <v>3.6404358336599998</v>
      </c>
      <c r="M529">
        <f t="shared" si="118"/>
        <v>1867.1012751597743</v>
      </c>
      <c r="N529">
        <f t="shared" si="110"/>
        <v>5.1863924309993727</v>
      </c>
      <c r="O529">
        <f t="shared" si="111"/>
        <v>48.853573049341001</v>
      </c>
      <c r="P529">
        <f t="shared" si="112"/>
        <v>476</v>
      </c>
      <c r="Q529">
        <f t="shared" si="106"/>
        <v>102.36088070967</v>
      </c>
      <c r="R529">
        <f t="shared" si="113"/>
        <v>102.36088070967</v>
      </c>
      <c r="S529">
        <f t="shared" si="108"/>
        <v>105.60620798234353</v>
      </c>
      <c r="T529">
        <f t="shared" si="114"/>
        <v>105.60620798234353</v>
      </c>
      <c r="U529" s="3">
        <f t="shared" si="115"/>
        <v>230.99075704824</v>
      </c>
      <c r="V529">
        <f t="shared" si="107"/>
        <v>425</v>
      </c>
      <c r="W529" s="8">
        <f t="shared" si="109"/>
        <v>50.759307485670007</v>
      </c>
      <c r="X529" s="1">
        <f t="shared" si="116"/>
        <v>50.759307485670007</v>
      </c>
      <c r="Y529" s="18"/>
      <c r="Z529" s="7"/>
      <c r="AA529" s="1"/>
      <c r="AB529" s="1"/>
      <c r="AC529" s="1"/>
    </row>
    <row r="530" spans="1:29" x14ac:dyDescent="0.3">
      <c r="A530">
        <v>529</v>
      </c>
      <c r="E530">
        <v>-268.78708386350002</v>
      </c>
      <c r="F530">
        <v>121.29536311075999</v>
      </c>
      <c r="G530">
        <v>427.56475764753998</v>
      </c>
      <c r="H530">
        <v>48.777844839156998</v>
      </c>
      <c r="I530">
        <v>70.704957413635995</v>
      </c>
      <c r="J530">
        <v>231.45963042819</v>
      </c>
      <c r="L530" s="1">
        <f t="shared" si="117"/>
        <v>3.6468464718509921</v>
      </c>
      <c r="M530">
        <f t="shared" si="118"/>
        <v>1870.7481216316253</v>
      </c>
      <c r="N530">
        <f t="shared" si="110"/>
        <v>5.196522560087848</v>
      </c>
      <c r="O530">
        <f t="shared" si="111"/>
        <v>48.777844839156998</v>
      </c>
      <c r="P530">
        <f t="shared" si="112"/>
        <v>477</v>
      </c>
      <c r="Q530">
        <f t="shared" ref="Q530:Q593" si="119">IF(P530=0,0,O530+INDEX(O:O,P530))</f>
        <v>102.33682026533999</v>
      </c>
      <c r="R530">
        <f t="shared" si="113"/>
        <v>102.33682026533999</v>
      </c>
      <c r="S530">
        <f t="shared" si="108"/>
        <v>105.57340240172502</v>
      </c>
      <c r="T530">
        <f t="shared" si="114"/>
        <v>105.57340240172502</v>
      </c>
      <c r="U530" s="3">
        <f t="shared" si="115"/>
        <v>231.45963042819</v>
      </c>
      <c r="V530">
        <f t="shared" si="107"/>
        <v>426</v>
      </c>
      <c r="W530" s="8">
        <f t="shared" si="109"/>
        <v>50.74450781038999</v>
      </c>
      <c r="X530" s="1">
        <f t="shared" si="116"/>
        <v>50.74450781038999</v>
      </c>
      <c r="Y530" s="18"/>
      <c r="Z530" s="7"/>
      <c r="AA530" s="1"/>
      <c r="AB530" s="1"/>
      <c r="AC530" s="1"/>
    </row>
    <row r="531" spans="1:29" x14ac:dyDescent="0.3">
      <c r="A531">
        <v>530</v>
      </c>
      <c r="E531">
        <v>-268.08109387109999</v>
      </c>
      <c r="F531">
        <v>118.49440054516</v>
      </c>
      <c r="G531">
        <v>428.80259339295998</v>
      </c>
      <c r="H531">
        <v>48.746863444840997</v>
      </c>
      <c r="I531">
        <v>74.352645214231003</v>
      </c>
      <c r="J531">
        <v>231.9505045434</v>
      </c>
      <c r="L531" s="1">
        <f t="shared" si="117"/>
        <v>3.6476878005950084</v>
      </c>
      <c r="M531">
        <f t="shared" si="118"/>
        <v>1874.3958094322202</v>
      </c>
      <c r="N531">
        <f t="shared" si="110"/>
        <v>5.2066550262006119</v>
      </c>
      <c r="O531">
        <f t="shared" si="111"/>
        <v>48.746863444840997</v>
      </c>
      <c r="P531">
        <f t="shared" si="112"/>
        <v>478</v>
      </c>
      <c r="Q531">
        <f t="shared" si="119"/>
        <v>102.350028132297</v>
      </c>
      <c r="R531">
        <f t="shared" si="113"/>
        <v>102.350028132297</v>
      </c>
      <c r="S531">
        <f t="shared" si="108"/>
        <v>105.58034808827693</v>
      </c>
      <c r="T531">
        <f t="shared" si="114"/>
        <v>105.58034808827693</v>
      </c>
      <c r="U531" s="3">
        <f t="shared" si="115"/>
        <v>231.9505045434</v>
      </c>
      <c r="V531">
        <f t="shared" si="107"/>
        <v>427</v>
      </c>
      <c r="W531" s="8">
        <f t="shared" si="109"/>
        <v>50.743773599529987</v>
      </c>
      <c r="X531" s="1">
        <f t="shared" si="116"/>
        <v>50.743773599529987</v>
      </c>
      <c r="Y531" s="18"/>
      <c r="Z531" s="7"/>
      <c r="AA531" s="1"/>
      <c r="AB531" s="1"/>
      <c r="AC531" s="1"/>
    </row>
    <row r="532" spans="1:29" x14ac:dyDescent="0.3">
      <c r="A532">
        <v>531</v>
      </c>
      <c r="E532">
        <v>-267.36304409130003</v>
      </c>
      <c r="F532">
        <v>115.62357505285</v>
      </c>
      <c r="G532">
        <v>429.86060713209997</v>
      </c>
      <c r="H532">
        <v>48.721515613080001</v>
      </c>
      <c r="I532">
        <v>77.998111541873996</v>
      </c>
      <c r="J532">
        <v>232.46498571518001</v>
      </c>
      <c r="L532" s="1">
        <f t="shared" si="117"/>
        <v>3.6454663276429926</v>
      </c>
      <c r="M532">
        <f t="shared" si="118"/>
        <v>1878.0412757598631</v>
      </c>
      <c r="N532">
        <f t="shared" si="110"/>
        <v>5.2167813215551755</v>
      </c>
      <c r="O532">
        <f t="shared" si="111"/>
        <v>48.721515613080001</v>
      </c>
      <c r="P532">
        <f t="shared" si="112"/>
        <v>479</v>
      </c>
      <c r="Q532">
        <f t="shared" si="119"/>
        <v>102.37330949286999</v>
      </c>
      <c r="R532">
        <f t="shared" si="113"/>
        <v>102.37330949286999</v>
      </c>
      <c r="S532">
        <f t="shared" si="108"/>
        <v>105.60155253422433</v>
      </c>
      <c r="T532">
        <f t="shared" si="114"/>
        <v>105.60155253422433</v>
      </c>
      <c r="U532" s="3">
        <f t="shared" si="115"/>
        <v>232.46498571518001</v>
      </c>
      <c r="V532">
        <f t="shared" si="107"/>
        <v>428</v>
      </c>
      <c r="W532" s="8">
        <f t="shared" si="109"/>
        <v>50.759128717250007</v>
      </c>
      <c r="X532" s="1">
        <f t="shared" si="116"/>
        <v>50.759128717250007</v>
      </c>
      <c r="Y532" s="18"/>
      <c r="Z532" s="7"/>
      <c r="AA532" s="1"/>
      <c r="AB532" s="1"/>
      <c r="AC532" s="1"/>
    </row>
    <row r="533" spans="1:29" x14ac:dyDescent="0.3">
      <c r="A533">
        <v>532</v>
      </c>
      <c r="E533">
        <v>-266.69976474190003</v>
      </c>
      <c r="F533">
        <v>112.67646485378</v>
      </c>
      <c r="G533">
        <v>430.72712787556998</v>
      </c>
      <c r="H533">
        <v>48.684855900194997</v>
      </c>
      <c r="I533">
        <v>81.653606251129005</v>
      </c>
      <c r="J533">
        <v>232.93718986787999</v>
      </c>
      <c r="L533" s="1">
        <f t="shared" si="117"/>
        <v>3.6554947092550094</v>
      </c>
      <c r="M533">
        <f t="shared" si="118"/>
        <v>1881.6967704691181</v>
      </c>
      <c r="N533">
        <f t="shared" si="110"/>
        <v>5.2269354735253284</v>
      </c>
      <c r="O533">
        <f t="shared" si="111"/>
        <v>48.684855900194997</v>
      </c>
      <c r="P533">
        <f t="shared" si="112"/>
        <v>480</v>
      </c>
      <c r="Q533">
        <f t="shared" si="119"/>
        <v>102.380888874251</v>
      </c>
      <c r="R533">
        <f t="shared" si="113"/>
        <v>102.380888874251</v>
      </c>
      <c r="S533">
        <f t="shared" si="108"/>
        <v>105.59731354340347</v>
      </c>
      <c r="T533">
        <f t="shared" si="114"/>
        <v>105.59731354340347</v>
      </c>
      <c r="U533" s="3">
        <f t="shared" si="115"/>
        <v>232.93718986787999</v>
      </c>
      <c r="V533">
        <f t="shared" si="107"/>
        <v>429</v>
      </c>
      <c r="W533" s="8">
        <f t="shared" si="109"/>
        <v>50.740889723519984</v>
      </c>
      <c r="X533" s="1">
        <f t="shared" si="116"/>
        <v>50.740889723519984</v>
      </c>
      <c r="Y533" s="18"/>
      <c r="Z533" s="7"/>
      <c r="AA533" s="1"/>
      <c r="AB533" s="1"/>
      <c r="AC533" s="1"/>
    </row>
    <row r="534" spans="1:29" x14ac:dyDescent="0.3">
      <c r="A534">
        <v>533</v>
      </c>
      <c r="E534">
        <v>-266.05040472140001</v>
      </c>
      <c r="F534">
        <v>109.68103298795</v>
      </c>
      <c r="G534">
        <v>431.42114429456001</v>
      </c>
      <c r="H534">
        <v>48.666807476202003</v>
      </c>
      <c r="I534">
        <v>85.311643081534001</v>
      </c>
      <c r="J534">
        <v>233.40740950847999</v>
      </c>
      <c r="L534" s="1">
        <f t="shared" si="117"/>
        <v>3.6580368304049955</v>
      </c>
      <c r="M534">
        <f t="shared" si="118"/>
        <v>1885.3548072995231</v>
      </c>
      <c r="N534">
        <f t="shared" si="110"/>
        <v>5.2370966869431195</v>
      </c>
      <c r="O534">
        <f t="shared" si="111"/>
        <v>48.666807476202003</v>
      </c>
      <c r="P534">
        <f t="shared" si="112"/>
        <v>482</v>
      </c>
      <c r="Q534">
        <f t="shared" si="119"/>
        <v>102.42222763679401</v>
      </c>
      <c r="R534">
        <f t="shared" si="113"/>
        <v>102.42222763679401</v>
      </c>
      <c r="S534">
        <f t="shared" si="108"/>
        <v>105.550812992299</v>
      </c>
      <c r="T534">
        <f t="shared" si="114"/>
        <v>105.550812992299</v>
      </c>
      <c r="U534" s="3">
        <f t="shared" si="115"/>
        <v>233.40740950847999</v>
      </c>
      <c r="V534">
        <f t="shared" si="107"/>
        <v>430</v>
      </c>
      <c r="W534" s="8">
        <f t="shared" si="109"/>
        <v>50.720785878219999</v>
      </c>
      <c r="X534" s="1">
        <f t="shared" si="116"/>
        <v>50.720785878219999</v>
      </c>
      <c r="Y534" s="18"/>
      <c r="Z534" s="7"/>
      <c r="AA534" s="1"/>
      <c r="AB534" s="1"/>
      <c r="AC534" s="1"/>
    </row>
    <row r="535" spans="1:29" x14ac:dyDescent="0.3">
      <c r="A535">
        <v>534</v>
      </c>
      <c r="E535">
        <v>-265.36877822790001</v>
      </c>
      <c r="F535">
        <v>106.65811952036</v>
      </c>
      <c r="G535">
        <v>431.94479307233001</v>
      </c>
      <c r="H535">
        <v>48.677069971042997</v>
      </c>
      <c r="I535">
        <v>88.961830874585004</v>
      </c>
      <c r="J535">
        <v>233.92231379018</v>
      </c>
      <c r="L535" s="1">
        <f t="shared" si="117"/>
        <v>3.6501877930510034</v>
      </c>
      <c r="M535">
        <f t="shared" si="118"/>
        <v>1889.0049950925741</v>
      </c>
      <c r="N535">
        <f t="shared" si="110"/>
        <v>5.2472360974793721</v>
      </c>
      <c r="O535">
        <f t="shared" si="111"/>
        <v>48.677069971042997</v>
      </c>
      <c r="P535">
        <f t="shared" si="112"/>
        <v>483</v>
      </c>
      <c r="Q535">
        <f t="shared" si="119"/>
        <v>102.44081972484901</v>
      </c>
      <c r="R535">
        <f t="shared" si="113"/>
        <v>102.44081972484901</v>
      </c>
      <c r="S535">
        <f t="shared" si="108"/>
        <v>105.57270671886232</v>
      </c>
      <c r="T535">
        <f t="shared" si="114"/>
        <v>105.57270671886232</v>
      </c>
      <c r="U535" s="3">
        <f t="shared" si="115"/>
        <v>233.92231379018</v>
      </c>
      <c r="V535">
        <f t="shared" si="107"/>
        <v>431</v>
      </c>
      <c r="W535" s="8">
        <f t="shared" si="109"/>
        <v>50.739393240629994</v>
      </c>
      <c r="X535" s="1">
        <f t="shared" si="116"/>
        <v>50.739393240629994</v>
      </c>
      <c r="Y535" s="18"/>
      <c r="Z535" s="7"/>
      <c r="AA535" s="1"/>
      <c r="AB535" s="1"/>
      <c r="AC535" s="1"/>
    </row>
    <row r="536" spans="1:29" x14ac:dyDescent="0.3">
      <c r="A536">
        <v>535</v>
      </c>
      <c r="E536">
        <v>-264.70854505810001</v>
      </c>
      <c r="F536">
        <v>103.60200913019</v>
      </c>
      <c r="G536">
        <v>432.26001185646999</v>
      </c>
      <c r="H536">
        <v>48.672780689273999</v>
      </c>
      <c r="I536">
        <v>92.612633947144005</v>
      </c>
      <c r="J536">
        <v>234.43128006831</v>
      </c>
      <c r="L536" s="1">
        <f t="shared" si="117"/>
        <v>3.6508030725590004</v>
      </c>
      <c r="M536">
        <f t="shared" si="118"/>
        <v>1892.6557981651331</v>
      </c>
      <c r="N536">
        <f t="shared" si="110"/>
        <v>5.2573772171253701</v>
      </c>
      <c r="O536">
        <f t="shared" si="111"/>
        <v>48.672780689273999</v>
      </c>
      <c r="P536">
        <f t="shared" si="112"/>
        <v>484</v>
      </c>
      <c r="Q536">
        <f t="shared" si="119"/>
        <v>102.43880187445899</v>
      </c>
      <c r="R536">
        <f t="shared" si="113"/>
        <v>102.43880187445899</v>
      </c>
      <c r="S536">
        <f t="shared" si="108"/>
        <v>105.57161605138711</v>
      </c>
      <c r="T536">
        <f t="shared" si="114"/>
        <v>105.57161605138711</v>
      </c>
      <c r="U536" s="3">
        <f t="shared" si="115"/>
        <v>234.43128006831</v>
      </c>
      <c r="V536">
        <f t="shared" si="107"/>
        <v>432</v>
      </c>
      <c r="W536" s="8">
        <f t="shared" si="109"/>
        <v>50.763888611470009</v>
      </c>
      <c r="X536" s="1">
        <f t="shared" si="116"/>
        <v>50.763888611470009</v>
      </c>
      <c r="Y536" s="18"/>
      <c r="Z536" s="7"/>
      <c r="AA536" s="1"/>
      <c r="AB536" s="1"/>
      <c r="AC536" s="1"/>
    </row>
    <row r="537" spans="1:29" x14ac:dyDescent="0.3">
      <c r="A537">
        <v>536</v>
      </c>
      <c r="E537">
        <v>-264.10712079109999</v>
      </c>
      <c r="F537">
        <v>100.51968999890001</v>
      </c>
      <c r="G537">
        <v>432.37835935663998</v>
      </c>
      <c r="H537">
        <v>48.664179484104999</v>
      </c>
      <c r="I537">
        <v>96.272264231479994</v>
      </c>
      <c r="J537">
        <v>234.89639917744</v>
      </c>
      <c r="L537" s="1">
        <f t="shared" si="117"/>
        <v>3.6596302843359894</v>
      </c>
      <c r="M537">
        <f t="shared" si="118"/>
        <v>1896.315428449469</v>
      </c>
      <c r="N537">
        <f t="shared" si="110"/>
        <v>5.2675428568040807</v>
      </c>
      <c r="O537">
        <f t="shared" si="111"/>
        <v>48.664179484104999</v>
      </c>
      <c r="P537">
        <f t="shared" si="112"/>
        <v>485</v>
      </c>
      <c r="Q537">
        <f t="shared" si="119"/>
        <v>102.420352085394</v>
      </c>
      <c r="R537">
        <f t="shared" si="113"/>
        <v>102.420352085394</v>
      </c>
      <c r="S537">
        <f t="shared" si="108"/>
        <v>105.54491690804771</v>
      </c>
      <c r="T537">
        <f t="shared" si="114"/>
        <v>105.54491690804771</v>
      </c>
      <c r="U537" s="3">
        <f t="shared" si="115"/>
        <v>234.89639917744</v>
      </c>
      <c r="V537">
        <f t="shared" si="107"/>
        <v>433</v>
      </c>
      <c r="W537" s="8">
        <f t="shared" si="109"/>
        <v>50.715284312990008</v>
      </c>
      <c r="X537" s="1">
        <f t="shared" si="116"/>
        <v>50.715284312990008</v>
      </c>
      <c r="Y537" s="18"/>
      <c r="Z537" s="7"/>
      <c r="AA537" s="1"/>
      <c r="AB537" s="1"/>
      <c r="AC537" s="1"/>
    </row>
    <row r="538" spans="1:29" x14ac:dyDescent="0.3">
      <c r="A538">
        <v>537</v>
      </c>
      <c r="E538">
        <v>-263.52126557930001</v>
      </c>
      <c r="F538">
        <v>97.432747577116999</v>
      </c>
      <c r="G538">
        <v>432.31637612650002</v>
      </c>
      <c r="H538">
        <v>48.673035704778997</v>
      </c>
      <c r="I538">
        <v>99.932077757030996</v>
      </c>
      <c r="J538">
        <v>235.36028160736001</v>
      </c>
      <c r="L538" s="1">
        <f t="shared" si="117"/>
        <v>3.6598135255510016</v>
      </c>
      <c r="M538">
        <f t="shared" si="118"/>
        <v>1899.97524197502</v>
      </c>
      <c r="N538">
        <f t="shared" si="110"/>
        <v>5.2777090054861668</v>
      </c>
      <c r="O538">
        <f t="shared" si="111"/>
        <v>48.673035704778997</v>
      </c>
      <c r="P538">
        <f t="shared" si="112"/>
        <v>486</v>
      </c>
      <c r="Q538">
        <f t="shared" si="119"/>
        <v>102.41969956561699</v>
      </c>
      <c r="R538">
        <f t="shared" si="113"/>
        <v>102.41969956561699</v>
      </c>
      <c r="S538">
        <f t="shared" si="108"/>
        <v>105.5352657482491</v>
      </c>
      <c r="T538">
        <f t="shared" si="114"/>
        <v>105.5352657482491</v>
      </c>
      <c r="U538" s="3">
        <f t="shared" si="115"/>
        <v>235.36028160736001</v>
      </c>
      <c r="V538">
        <f t="shared" si="107"/>
        <v>434</v>
      </c>
      <c r="W538" s="8">
        <f t="shared" si="109"/>
        <v>50.70362601889002</v>
      </c>
      <c r="X538" s="1">
        <f t="shared" si="116"/>
        <v>50.70362601889002</v>
      </c>
      <c r="Y538" s="18"/>
      <c r="Z538" s="7"/>
      <c r="AA538" s="1"/>
      <c r="AB538" s="1"/>
      <c r="AC538" s="1"/>
    </row>
    <row r="539" spans="1:29" x14ac:dyDescent="0.3">
      <c r="A539">
        <v>538</v>
      </c>
      <c r="E539">
        <v>-262.93256344169998</v>
      </c>
      <c r="F539">
        <v>94.354669867915007</v>
      </c>
      <c r="G539">
        <v>432.08416089789</v>
      </c>
      <c r="H539">
        <v>48.710544143878998</v>
      </c>
      <c r="I539">
        <v>103.5866506529</v>
      </c>
      <c r="J539">
        <v>235.84100378392</v>
      </c>
      <c r="L539" s="1">
        <f t="shared" si="117"/>
        <v>3.6545728958690091</v>
      </c>
      <c r="M539">
        <f t="shared" si="118"/>
        <v>1903.629814870889</v>
      </c>
      <c r="N539">
        <f t="shared" si="110"/>
        <v>5.287860596863581</v>
      </c>
      <c r="O539">
        <f t="shared" si="111"/>
        <v>48.710544143878998</v>
      </c>
      <c r="P539">
        <f t="shared" si="112"/>
        <v>487</v>
      </c>
      <c r="Q539">
        <f t="shared" si="119"/>
        <v>102.44080379900001</v>
      </c>
      <c r="R539">
        <f t="shared" si="113"/>
        <v>102.44080379900001</v>
      </c>
      <c r="S539">
        <f t="shared" si="108"/>
        <v>105.54567211979284</v>
      </c>
      <c r="T539">
        <f t="shared" si="114"/>
        <v>105.54567211979284</v>
      </c>
      <c r="U539" s="3">
        <f t="shared" si="115"/>
        <v>235.84100378392</v>
      </c>
      <c r="V539">
        <f t="shared" si="107"/>
        <v>435</v>
      </c>
      <c r="W539" s="8">
        <f t="shared" si="109"/>
        <v>50.691091052009995</v>
      </c>
      <c r="X539" s="1">
        <f t="shared" si="116"/>
        <v>50.691091052009995</v>
      </c>
      <c r="Y539" s="18"/>
      <c r="Z539" s="7"/>
      <c r="AA539" s="1"/>
      <c r="AB539" s="1"/>
      <c r="AC539" s="1"/>
    </row>
    <row r="540" spans="1:29" x14ac:dyDescent="0.3">
      <c r="A540">
        <v>539</v>
      </c>
      <c r="E540">
        <v>-262.34693206909998</v>
      </c>
      <c r="F540">
        <v>91.295609767781997</v>
      </c>
      <c r="G540">
        <v>431.66525150301999</v>
      </c>
      <c r="H540">
        <v>48.758630319274999</v>
      </c>
      <c r="I540">
        <v>107.23573764191001</v>
      </c>
      <c r="J540">
        <v>236.33440131201999</v>
      </c>
      <c r="L540" s="1">
        <f t="shared" si="117"/>
        <v>3.6490869890100015</v>
      </c>
      <c r="M540">
        <f t="shared" si="118"/>
        <v>1907.278901859899</v>
      </c>
      <c r="N540">
        <f t="shared" si="110"/>
        <v>5.2979969496108303</v>
      </c>
      <c r="O540">
        <f t="shared" si="111"/>
        <v>48.758630319274999</v>
      </c>
      <c r="P540">
        <f t="shared" si="112"/>
        <v>488</v>
      </c>
      <c r="Q540">
        <f t="shared" si="119"/>
        <v>102.448733840633</v>
      </c>
      <c r="R540">
        <f t="shared" si="113"/>
        <v>102.448733840633</v>
      </c>
      <c r="S540">
        <f t="shared" si="108"/>
        <v>105.54930628545992</v>
      </c>
      <c r="T540">
        <f t="shared" si="114"/>
        <v>105.54930628545992</v>
      </c>
      <c r="U540" s="3">
        <f t="shared" si="115"/>
        <v>236.33440131201999</v>
      </c>
      <c r="V540">
        <f t="shared" si="107"/>
        <v>436</v>
      </c>
      <c r="W540" s="8">
        <f t="shared" si="109"/>
        <v>50.699761336790004</v>
      </c>
      <c r="X540" s="1">
        <f t="shared" si="116"/>
        <v>50.699761336790004</v>
      </c>
      <c r="Y540" s="18"/>
      <c r="Z540" s="7"/>
      <c r="AA540" s="1"/>
      <c r="AB540" s="1"/>
      <c r="AC540" s="1"/>
    </row>
    <row r="541" spans="1:29" x14ac:dyDescent="0.3">
      <c r="A541">
        <v>540</v>
      </c>
      <c r="E541">
        <v>-261.78151725269998</v>
      </c>
      <c r="F541">
        <v>88.260651181287002</v>
      </c>
      <c r="G541">
        <v>431.07733855501999</v>
      </c>
      <c r="H541">
        <v>48.832493818289997</v>
      </c>
      <c r="I541">
        <v>110.88071356755999</v>
      </c>
      <c r="J541">
        <v>236.82218460249999</v>
      </c>
      <c r="L541" s="1">
        <f t="shared" si="117"/>
        <v>3.6449759256499874</v>
      </c>
      <c r="M541">
        <f t="shared" si="118"/>
        <v>1910.9238777855489</v>
      </c>
      <c r="N541">
        <f t="shared" si="110"/>
        <v>5.3081218827376357</v>
      </c>
      <c r="O541">
        <f t="shared" si="111"/>
        <v>48.832493818289997</v>
      </c>
      <c r="P541">
        <f t="shared" si="112"/>
        <v>489</v>
      </c>
      <c r="Q541">
        <f t="shared" si="119"/>
        <v>102.46948130234699</v>
      </c>
      <c r="R541">
        <f t="shared" si="113"/>
        <v>102.46948130234699</v>
      </c>
      <c r="S541">
        <f t="shared" si="108"/>
        <v>105.56449930139792</v>
      </c>
      <c r="T541">
        <f t="shared" si="114"/>
        <v>105.56449930139792</v>
      </c>
      <c r="U541" s="3">
        <f t="shared" si="115"/>
        <v>236.82218460249999</v>
      </c>
      <c r="V541">
        <f t="shared" si="107"/>
        <v>437</v>
      </c>
      <c r="W541" s="8">
        <f t="shared" si="109"/>
        <v>50.70370194877998</v>
      </c>
      <c r="X541" s="1">
        <f t="shared" si="116"/>
        <v>50.70370194877998</v>
      </c>
      <c r="Y541" s="18"/>
      <c r="Z541" s="7"/>
      <c r="AA541" s="1"/>
      <c r="AB541" s="1"/>
      <c r="AC541" s="1"/>
    </row>
    <row r="542" spans="1:29" x14ac:dyDescent="0.3">
      <c r="A542">
        <v>541</v>
      </c>
      <c r="E542">
        <v>-261.24272085259997</v>
      </c>
      <c r="F542">
        <v>85.267387010866003</v>
      </c>
      <c r="G542">
        <v>430.28623306311999</v>
      </c>
      <c r="H542">
        <v>48.894845598490001</v>
      </c>
      <c r="I542">
        <v>114.52236360019</v>
      </c>
      <c r="J542">
        <v>237.30142835748001</v>
      </c>
      <c r="L542" s="1">
        <f t="shared" si="117"/>
        <v>3.641650032630011</v>
      </c>
      <c r="M542">
        <f t="shared" si="118"/>
        <v>1914.5655278181789</v>
      </c>
      <c r="N542">
        <f t="shared" si="110"/>
        <v>5.3182375772727193</v>
      </c>
      <c r="O542">
        <f t="shared" si="111"/>
        <v>48.894845598490001</v>
      </c>
      <c r="P542">
        <f t="shared" si="112"/>
        <v>490</v>
      </c>
      <c r="Q542">
        <f t="shared" si="119"/>
        <v>102.473746590996</v>
      </c>
      <c r="R542">
        <f t="shared" si="113"/>
        <v>102.473746590996</v>
      </c>
      <c r="S542">
        <f t="shared" si="108"/>
        <v>105.56099210450601</v>
      </c>
      <c r="T542">
        <f t="shared" si="114"/>
        <v>105.56099210450601</v>
      </c>
      <c r="U542" s="3">
        <f t="shared" si="115"/>
        <v>237.30142835748001</v>
      </c>
      <c r="V542">
        <f t="shared" si="107"/>
        <v>438</v>
      </c>
      <c r="W542" s="8">
        <f t="shared" si="109"/>
        <v>50.698590213040006</v>
      </c>
      <c r="X542" s="1">
        <f t="shared" si="116"/>
        <v>50.698590213040006</v>
      </c>
      <c r="Y542" s="18"/>
      <c r="Z542" s="7"/>
      <c r="AA542" s="1"/>
      <c r="AB542" s="1"/>
      <c r="AC542" s="1"/>
    </row>
    <row r="543" spans="1:29" x14ac:dyDescent="0.3">
      <c r="A543">
        <v>542</v>
      </c>
      <c r="E543">
        <v>-260.72585597559998</v>
      </c>
      <c r="F543">
        <v>82.327727857127996</v>
      </c>
      <c r="G543">
        <v>429.30272910284998</v>
      </c>
      <c r="H543">
        <v>48.953620002546003</v>
      </c>
      <c r="I543">
        <v>118.16039825391</v>
      </c>
      <c r="J543">
        <v>237.77641592060999</v>
      </c>
      <c r="L543" s="1">
        <f t="shared" si="117"/>
        <v>3.6380346537199983</v>
      </c>
      <c r="M543">
        <f t="shared" si="118"/>
        <v>1918.203562471899</v>
      </c>
      <c r="N543">
        <f t="shared" si="110"/>
        <v>5.3283432290886079</v>
      </c>
      <c r="O543">
        <f t="shared" si="111"/>
        <v>48.953620002546003</v>
      </c>
      <c r="P543">
        <f t="shared" si="112"/>
        <v>491</v>
      </c>
      <c r="Q543">
        <f t="shared" si="119"/>
        <v>102.46588736107901</v>
      </c>
      <c r="R543">
        <f t="shared" si="113"/>
        <v>102.46588736107901</v>
      </c>
      <c r="S543">
        <f t="shared" si="108"/>
        <v>105.54171529954527</v>
      </c>
      <c r="T543">
        <f t="shared" si="114"/>
        <v>105.54171529954527</v>
      </c>
      <c r="U543" s="3">
        <f t="shared" si="115"/>
        <v>237.77641592060999</v>
      </c>
      <c r="V543">
        <f t="shared" si="107"/>
        <v>439</v>
      </c>
      <c r="W543" s="8">
        <f t="shared" si="109"/>
        <v>50.689779641049995</v>
      </c>
      <c r="X543" s="1">
        <f t="shared" si="116"/>
        <v>50.689779641049995</v>
      </c>
      <c r="Y543" s="18"/>
      <c r="Z543" s="7"/>
      <c r="AA543" s="1"/>
      <c r="AB543" s="1"/>
      <c r="AC543" s="1"/>
    </row>
    <row r="544" spans="1:29" x14ac:dyDescent="0.3">
      <c r="A544">
        <v>543</v>
      </c>
      <c r="E544">
        <v>-260.22377285239997</v>
      </c>
      <c r="F544">
        <v>79.451371574788993</v>
      </c>
      <c r="G544">
        <v>428.14067473349002</v>
      </c>
      <c r="H544">
        <v>49.019454178594998</v>
      </c>
      <c r="I544">
        <v>121.79322700621</v>
      </c>
      <c r="J544">
        <v>238.2535494535</v>
      </c>
      <c r="L544" s="1">
        <f t="shared" si="117"/>
        <v>3.6328287523</v>
      </c>
      <c r="M544">
        <f t="shared" si="118"/>
        <v>1921.8363912241989</v>
      </c>
      <c r="N544">
        <f t="shared" si="110"/>
        <v>5.3384344200672196</v>
      </c>
      <c r="O544">
        <f t="shared" si="111"/>
        <v>49.019454178594998</v>
      </c>
      <c r="P544">
        <f t="shared" si="112"/>
        <v>493</v>
      </c>
      <c r="Q544">
        <f t="shared" si="119"/>
        <v>102.35905095239499</v>
      </c>
      <c r="R544">
        <f t="shared" si="113"/>
        <v>102.35905095239499</v>
      </c>
      <c r="S544">
        <f t="shared" si="108"/>
        <v>105.35354986262639</v>
      </c>
      <c r="T544">
        <f t="shared" si="114"/>
        <v>105.35354986262639</v>
      </c>
      <c r="U544" s="3">
        <f t="shared" si="115"/>
        <v>238.2535494535</v>
      </c>
      <c r="V544">
        <f t="shared" si="107"/>
        <v>440</v>
      </c>
      <c r="W544" s="8">
        <f t="shared" si="109"/>
        <v>50.683246964749998</v>
      </c>
      <c r="X544" s="1">
        <f t="shared" si="116"/>
        <v>50.683246964749998</v>
      </c>
      <c r="Y544" s="18"/>
      <c r="Z544" s="7"/>
      <c r="AA544" s="1"/>
      <c r="AB544" s="1"/>
      <c r="AC544" s="1"/>
    </row>
    <row r="545" spans="1:29" x14ac:dyDescent="0.3">
      <c r="A545">
        <v>544</v>
      </c>
      <c r="E545">
        <v>-259.71120108809998</v>
      </c>
      <c r="F545">
        <v>76.649208241110003</v>
      </c>
      <c r="G545">
        <v>426.81346809471</v>
      </c>
      <c r="H545">
        <v>49.102353684013998</v>
      </c>
      <c r="I545">
        <v>125.41522620022</v>
      </c>
      <c r="J545">
        <v>238.75736279629999</v>
      </c>
      <c r="L545" s="1">
        <f t="shared" si="117"/>
        <v>3.6219991940100016</v>
      </c>
      <c r="M545">
        <f t="shared" si="118"/>
        <v>1925.4583904182089</v>
      </c>
      <c r="N545">
        <f t="shared" si="110"/>
        <v>5.3484955289394689</v>
      </c>
      <c r="O545">
        <f t="shared" si="111"/>
        <v>49.102353684013998</v>
      </c>
      <c r="P545">
        <f t="shared" si="112"/>
        <v>494</v>
      </c>
      <c r="Q545">
        <f t="shared" si="119"/>
        <v>102.35393029014401</v>
      </c>
      <c r="R545">
        <f t="shared" si="113"/>
        <v>102.35393029014401</v>
      </c>
      <c r="S545">
        <f t="shared" si="108"/>
        <v>105.35224408837765</v>
      </c>
      <c r="T545">
        <f t="shared" si="114"/>
        <v>105.35224408837765</v>
      </c>
      <c r="U545" s="3">
        <f t="shared" si="115"/>
        <v>238.75736279629999</v>
      </c>
      <c r="V545">
        <f t="shared" si="107"/>
        <v>441</v>
      </c>
      <c r="W545" s="8">
        <f t="shared" si="109"/>
        <v>50.706440884599999</v>
      </c>
      <c r="X545" s="1">
        <f t="shared" si="116"/>
        <v>50.706440884599999</v>
      </c>
      <c r="Y545" s="18"/>
      <c r="Z545" s="7"/>
      <c r="AA545" s="1"/>
      <c r="AB545" s="1"/>
      <c r="AC545" s="1"/>
    </row>
    <row r="546" spans="1:29" x14ac:dyDescent="0.3">
      <c r="A546">
        <v>545</v>
      </c>
      <c r="E546">
        <v>-259.22359448549997</v>
      </c>
      <c r="F546">
        <v>73.923865352370001</v>
      </c>
      <c r="G546">
        <v>425.32682122454997</v>
      </c>
      <c r="H546">
        <v>49.202743081717003</v>
      </c>
      <c r="I546">
        <v>129.03137520737999</v>
      </c>
      <c r="J546">
        <v>239.25219335765999</v>
      </c>
      <c r="L546" s="1">
        <f t="shared" si="117"/>
        <v>3.61614900715999</v>
      </c>
      <c r="M546">
        <f t="shared" si="118"/>
        <v>1929.0745394253688</v>
      </c>
      <c r="N546">
        <f t="shared" si="110"/>
        <v>5.3585403872926909</v>
      </c>
      <c r="O546">
        <f t="shared" si="111"/>
        <v>49.202743081717003</v>
      </c>
      <c r="P546">
        <f t="shared" si="112"/>
        <v>495</v>
      </c>
      <c r="Q546">
        <f t="shared" si="119"/>
        <v>102.35766807668401</v>
      </c>
      <c r="R546">
        <f t="shared" si="113"/>
        <v>102.35766807668401</v>
      </c>
      <c r="S546">
        <f t="shared" si="108"/>
        <v>105.3555946050888</v>
      </c>
      <c r="T546">
        <f t="shared" si="114"/>
        <v>105.3555946050888</v>
      </c>
      <c r="U546" s="3">
        <f t="shared" si="115"/>
        <v>239.25219335765999</v>
      </c>
      <c r="V546">
        <f t="shared" si="107"/>
        <v>442</v>
      </c>
      <c r="W546" s="8">
        <f t="shared" si="109"/>
        <v>50.712821606259979</v>
      </c>
      <c r="X546" s="1">
        <f t="shared" si="116"/>
        <v>50.712821606259979</v>
      </c>
      <c r="Y546" s="18"/>
      <c r="Z546" s="7"/>
      <c r="AA546" s="1"/>
      <c r="AB546" s="1"/>
      <c r="AC546" s="1"/>
    </row>
    <row r="547" spans="1:29" x14ac:dyDescent="0.3">
      <c r="A547">
        <v>546</v>
      </c>
      <c r="E547">
        <v>-258.7482360953</v>
      </c>
      <c r="F547">
        <v>71.291220999898997</v>
      </c>
      <c r="G547">
        <v>423.67750257168001</v>
      </c>
      <c r="H547">
        <v>49.311129345189997</v>
      </c>
      <c r="I547">
        <v>132.63900194870001</v>
      </c>
      <c r="J547">
        <v>239.75160660156999</v>
      </c>
      <c r="L547" s="1">
        <f t="shared" si="117"/>
        <v>3.6076267413200185</v>
      </c>
      <c r="M547">
        <f t="shared" si="118"/>
        <v>1932.6821661666888</v>
      </c>
      <c r="N547">
        <f t="shared" si="110"/>
        <v>5.3685615726852465</v>
      </c>
      <c r="O547">
        <f t="shared" si="111"/>
        <v>49.311129345189997</v>
      </c>
      <c r="P547">
        <f t="shared" si="112"/>
        <v>496</v>
      </c>
      <c r="Q547">
        <f t="shared" si="119"/>
        <v>102.363491786898</v>
      </c>
      <c r="R547">
        <f t="shared" si="113"/>
        <v>102.363491786898</v>
      </c>
      <c r="S547">
        <f t="shared" si="108"/>
        <v>105.36064654522248</v>
      </c>
      <c r="T547">
        <f t="shared" si="114"/>
        <v>105.36064654522248</v>
      </c>
      <c r="U547" s="3">
        <f t="shared" si="115"/>
        <v>239.75160660156999</v>
      </c>
      <c r="V547">
        <f t="shared" si="107"/>
        <v>443</v>
      </c>
      <c r="W547" s="8">
        <f t="shared" si="109"/>
        <v>50.739808595739987</v>
      </c>
      <c r="X547" s="1">
        <f t="shared" si="116"/>
        <v>50.739808595739987</v>
      </c>
      <c r="Y547" s="18"/>
      <c r="Z547" s="7"/>
      <c r="AA547" s="1"/>
      <c r="AB547" s="1"/>
      <c r="AC547" s="1"/>
    </row>
    <row r="548" spans="1:29" x14ac:dyDescent="0.3">
      <c r="A548">
        <v>547</v>
      </c>
      <c r="E548">
        <v>-258.31654231350001</v>
      </c>
      <c r="F548">
        <v>68.749641300806005</v>
      </c>
      <c r="G548">
        <v>421.88046254464001</v>
      </c>
      <c r="H548">
        <v>49.438318802803998</v>
      </c>
      <c r="I548">
        <v>136.24195548244001</v>
      </c>
      <c r="J548">
        <v>240.22304848751</v>
      </c>
      <c r="L548" s="1">
        <f t="shared" si="117"/>
        <v>3.6029535337399921</v>
      </c>
      <c r="M548">
        <f t="shared" si="118"/>
        <v>1936.2851197004288</v>
      </c>
      <c r="N548">
        <f t="shared" si="110"/>
        <v>5.3785697769456355</v>
      </c>
      <c r="O548">
        <f t="shared" si="111"/>
        <v>49.438318802803998</v>
      </c>
      <c r="P548">
        <f t="shared" si="112"/>
        <v>497</v>
      </c>
      <c r="Q548">
        <f t="shared" si="119"/>
        <v>102.378523440808</v>
      </c>
      <c r="R548">
        <f t="shared" si="113"/>
        <v>102.378523440808</v>
      </c>
      <c r="S548">
        <f t="shared" si="108"/>
        <v>105.36932898932046</v>
      </c>
      <c r="T548">
        <f t="shared" si="114"/>
        <v>105.36932898932046</v>
      </c>
      <c r="U548" s="3">
        <f t="shared" si="115"/>
        <v>240.22304848751</v>
      </c>
      <c r="V548">
        <f t="shared" si="107"/>
        <v>444</v>
      </c>
      <c r="W548" s="8">
        <f t="shared" si="109"/>
        <v>50.721564853860002</v>
      </c>
      <c r="X548" s="1">
        <f t="shared" si="116"/>
        <v>50.721564853860002</v>
      </c>
      <c r="Y548" s="18"/>
      <c r="Z548" s="7"/>
      <c r="AA548" s="1"/>
      <c r="AB548" s="1"/>
      <c r="AC548" s="1"/>
    </row>
    <row r="549" spans="1:29" x14ac:dyDescent="0.3">
      <c r="A549">
        <v>548</v>
      </c>
      <c r="E549">
        <v>-257.8977205983</v>
      </c>
      <c r="F549">
        <v>66.326653367831995</v>
      </c>
      <c r="G549">
        <v>419.92335211189999</v>
      </c>
      <c r="H549">
        <v>49.560982164906001</v>
      </c>
      <c r="I549">
        <v>139.83540380264</v>
      </c>
      <c r="J549">
        <v>240.69928813436999</v>
      </c>
      <c r="L549" s="1">
        <f t="shared" si="117"/>
        <v>3.5934483201999967</v>
      </c>
      <c r="M549">
        <f t="shared" si="118"/>
        <v>1939.8785680206288</v>
      </c>
      <c r="N549">
        <f t="shared" si="110"/>
        <v>5.3885515778350799</v>
      </c>
      <c r="O549">
        <f t="shared" si="111"/>
        <v>49.560982164906001</v>
      </c>
      <c r="P549">
        <f t="shared" si="112"/>
        <v>498</v>
      </c>
      <c r="Q549">
        <f t="shared" si="119"/>
        <v>102.36885901061899</v>
      </c>
      <c r="R549">
        <f t="shared" si="113"/>
        <v>102.36885901061899</v>
      </c>
      <c r="S549">
        <f t="shared" si="108"/>
        <v>105.35271680825664</v>
      </c>
      <c r="T549">
        <f t="shared" si="114"/>
        <v>105.35271680825664</v>
      </c>
      <c r="U549" s="3">
        <f t="shared" si="115"/>
        <v>240.69928813436999</v>
      </c>
      <c r="V549">
        <f t="shared" si="107"/>
        <v>445</v>
      </c>
      <c r="W549" s="8">
        <f t="shared" si="109"/>
        <v>50.71811785333</v>
      </c>
      <c r="X549" s="1">
        <f t="shared" si="116"/>
        <v>50.71811785333</v>
      </c>
      <c r="Y549" s="18"/>
      <c r="Z549" s="7"/>
      <c r="AA549" s="1"/>
      <c r="AB549" s="1"/>
      <c r="AC549" s="1"/>
    </row>
    <row r="550" spans="1:29" x14ac:dyDescent="0.3">
      <c r="A550">
        <v>549</v>
      </c>
      <c r="E550">
        <v>-257.48885554380001</v>
      </c>
      <c r="F550">
        <v>64.024672581420006</v>
      </c>
      <c r="G550">
        <v>417.82351165931999</v>
      </c>
      <c r="H550">
        <v>49.690792024113001</v>
      </c>
      <c r="I550">
        <v>143.41805272577</v>
      </c>
      <c r="J550">
        <v>241.18193657475001</v>
      </c>
      <c r="L550" s="1">
        <f t="shared" si="117"/>
        <v>3.5826489231299945</v>
      </c>
      <c r="M550">
        <f t="shared" si="118"/>
        <v>1943.4612169437587</v>
      </c>
      <c r="N550">
        <f t="shared" si="110"/>
        <v>5.3985033803993296</v>
      </c>
      <c r="O550">
        <f t="shared" si="111"/>
        <v>49.690792024113001</v>
      </c>
      <c r="P550">
        <f t="shared" si="112"/>
        <v>499</v>
      </c>
      <c r="Q550">
        <f t="shared" si="119"/>
        <v>102.362892582461</v>
      </c>
      <c r="R550">
        <f t="shared" si="113"/>
        <v>102.362892582461</v>
      </c>
      <c r="S550">
        <f t="shared" si="108"/>
        <v>105.34482013340305</v>
      </c>
      <c r="T550">
        <f t="shared" si="114"/>
        <v>105.34482013340305</v>
      </c>
      <c r="U550" s="3">
        <f t="shared" si="115"/>
        <v>241.18193657475001</v>
      </c>
      <c r="V550">
        <f t="shared" si="107"/>
        <v>446</v>
      </c>
      <c r="W550" s="8">
        <f t="shared" si="109"/>
        <v>50.715986744450021</v>
      </c>
      <c r="X550" s="1">
        <f t="shared" si="116"/>
        <v>50.715986744450021</v>
      </c>
      <c r="Y550" s="18"/>
      <c r="Z550" s="7"/>
      <c r="AA550" s="1"/>
      <c r="AB550" s="1"/>
      <c r="AC550" s="1"/>
    </row>
    <row r="551" spans="1:29" x14ac:dyDescent="0.3">
      <c r="A551">
        <v>550</v>
      </c>
      <c r="E551">
        <v>-257.09313096950001</v>
      </c>
      <c r="F551">
        <v>61.860072241144998</v>
      </c>
      <c r="G551">
        <v>415.57970114419999</v>
      </c>
      <c r="H551">
        <v>49.815060046554997</v>
      </c>
      <c r="I551">
        <v>146.99130814998</v>
      </c>
      <c r="J551">
        <v>241.66858300980999</v>
      </c>
      <c r="L551" s="1">
        <f t="shared" si="117"/>
        <v>3.5732554242100036</v>
      </c>
      <c r="M551">
        <f t="shared" si="118"/>
        <v>1947.0344723679686</v>
      </c>
      <c r="N551">
        <f t="shared" si="110"/>
        <v>5.4084290899110243</v>
      </c>
      <c r="O551">
        <f t="shared" si="111"/>
        <v>49.815060046554997</v>
      </c>
      <c r="P551">
        <f t="shared" si="112"/>
        <v>500</v>
      </c>
      <c r="Q551">
        <f t="shared" si="119"/>
        <v>102.35166558658901</v>
      </c>
      <c r="R551">
        <f t="shared" si="113"/>
        <v>102.35166558658901</v>
      </c>
      <c r="S551">
        <f t="shared" si="108"/>
        <v>105.33483456852018</v>
      </c>
      <c r="T551">
        <f t="shared" si="114"/>
        <v>105.33483456852018</v>
      </c>
      <c r="U551" s="3">
        <f t="shared" si="115"/>
        <v>241.66858300980999</v>
      </c>
      <c r="V551">
        <f t="shared" si="107"/>
        <v>447</v>
      </c>
      <c r="W551" s="8">
        <f t="shared" si="109"/>
        <v>50.725896726830001</v>
      </c>
      <c r="X551" s="1">
        <f t="shared" si="116"/>
        <v>50.725896726830001</v>
      </c>
      <c r="Y551" s="18"/>
      <c r="Z551" s="7"/>
      <c r="AA551" s="1"/>
      <c r="AB551" s="1"/>
      <c r="AC551" s="1"/>
    </row>
    <row r="552" spans="1:29" x14ac:dyDescent="0.3">
      <c r="A552">
        <v>551</v>
      </c>
      <c r="E552">
        <v>-256.70472284530001</v>
      </c>
      <c r="F552">
        <v>59.826999713916003</v>
      </c>
      <c r="G552">
        <v>413.21517712475003</v>
      </c>
      <c r="H552">
        <v>49.953997884445002</v>
      </c>
      <c r="I552">
        <v>150.55273107874001</v>
      </c>
      <c r="J552">
        <v>242.16292742547</v>
      </c>
      <c r="L552" s="1">
        <f t="shared" si="117"/>
        <v>3.5614229287600097</v>
      </c>
      <c r="M552">
        <f t="shared" si="118"/>
        <v>1950.5958952967287</v>
      </c>
      <c r="N552">
        <f t="shared" si="110"/>
        <v>5.4183219313798023</v>
      </c>
      <c r="O552">
        <f t="shared" si="111"/>
        <v>49.953997884445002</v>
      </c>
      <c r="P552">
        <f t="shared" si="112"/>
        <v>501</v>
      </c>
      <c r="Q552">
        <f t="shared" si="119"/>
        <v>102.337386049174</v>
      </c>
      <c r="R552">
        <f t="shared" si="113"/>
        <v>102.337386049174</v>
      </c>
      <c r="S552">
        <f t="shared" si="108"/>
        <v>105.31231383266197</v>
      </c>
      <c r="T552">
        <f t="shared" si="114"/>
        <v>105.31231383266197</v>
      </c>
      <c r="U552" s="3">
        <f t="shared" si="115"/>
        <v>242.16292742547</v>
      </c>
      <c r="V552">
        <f t="shared" si="107"/>
        <v>448</v>
      </c>
      <c r="W552" s="8">
        <f t="shared" si="109"/>
        <v>50.729233974710013</v>
      </c>
      <c r="X552" s="1">
        <f t="shared" si="116"/>
        <v>50.729233974710013</v>
      </c>
      <c r="Y552" s="18"/>
      <c r="Z552" s="7"/>
      <c r="AA552" s="1"/>
      <c r="AB552" s="1"/>
      <c r="AC552" s="1"/>
    </row>
    <row r="553" spans="1:29" x14ac:dyDescent="0.3">
      <c r="A553">
        <v>552</v>
      </c>
      <c r="E553">
        <v>-256.32467601280001</v>
      </c>
      <c r="F553">
        <v>57.954211831473003</v>
      </c>
      <c r="G553">
        <v>410.72021379261997</v>
      </c>
      <c r="H553">
        <v>50.078806325955</v>
      </c>
      <c r="I553">
        <v>154.10412175453999</v>
      </c>
      <c r="J553">
        <v>242.66586937835001</v>
      </c>
      <c r="L553" s="1">
        <f t="shared" si="117"/>
        <v>3.5513906757999791</v>
      </c>
      <c r="M553">
        <f t="shared" si="118"/>
        <v>1954.1472859725286</v>
      </c>
      <c r="N553">
        <f t="shared" si="110"/>
        <v>5.4281869054792464</v>
      </c>
      <c r="O553">
        <f t="shared" si="111"/>
        <v>50.078806325955</v>
      </c>
      <c r="P553">
        <f t="shared" si="112"/>
        <v>502</v>
      </c>
      <c r="Q553">
        <f t="shared" si="119"/>
        <v>102.346760825381</v>
      </c>
      <c r="R553">
        <f t="shared" si="113"/>
        <v>102.346760825381</v>
      </c>
      <c r="S553">
        <f t="shared" si="108"/>
        <v>105.32013618959813</v>
      </c>
      <c r="T553">
        <f t="shared" si="114"/>
        <v>105.32013618959813</v>
      </c>
      <c r="U553" s="3">
        <f t="shared" si="115"/>
        <v>242.66586937835001</v>
      </c>
      <c r="V553">
        <f t="shared" si="107"/>
        <v>449</v>
      </c>
      <c r="W553" s="8">
        <f t="shared" si="109"/>
        <v>50.763928353250009</v>
      </c>
      <c r="X553" s="1">
        <f t="shared" si="116"/>
        <v>50.763928353250009</v>
      </c>
      <c r="Y553" s="18"/>
      <c r="Z553" s="7"/>
      <c r="AA553" s="1"/>
      <c r="AB553" s="1"/>
      <c r="AC553" s="1"/>
    </row>
    <row r="554" spans="1:29" x14ac:dyDescent="0.3">
      <c r="A554">
        <v>553</v>
      </c>
      <c r="E554">
        <v>-255.9857837479</v>
      </c>
      <c r="F554">
        <v>56.206207144415004</v>
      </c>
      <c r="G554">
        <v>408.13061651983998</v>
      </c>
      <c r="H554">
        <v>50.236661385199</v>
      </c>
      <c r="I554">
        <v>157.64884979230001</v>
      </c>
      <c r="J554">
        <v>243.14044490980001</v>
      </c>
      <c r="L554" s="1">
        <f t="shared" si="117"/>
        <v>3.5447280377600237</v>
      </c>
      <c r="M554">
        <f t="shared" si="118"/>
        <v>1957.6920140102886</v>
      </c>
      <c r="N554">
        <f t="shared" si="110"/>
        <v>5.4380333722508016</v>
      </c>
      <c r="O554">
        <f t="shared" si="111"/>
        <v>50.236661385199</v>
      </c>
      <c r="P554">
        <f t="shared" si="112"/>
        <v>503</v>
      </c>
      <c r="Q554">
        <f t="shared" si="119"/>
        <v>102.380200775557</v>
      </c>
      <c r="R554">
        <f t="shared" si="113"/>
        <v>102.380200775557</v>
      </c>
      <c r="S554">
        <f t="shared" si="108"/>
        <v>105.35325359566831</v>
      </c>
      <c r="T554">
        <f t="shared" si="114"/>
        <v>105.35325359566831</v>
      </c>
      <c r="U554" s="3">
        <f t="shared" si="115"/>
        <v>243.14044490980001</v>
      </c>
      <c r="V554">
        <f t="shared" si="107"/>
        <v>450</v>
      </c>
      <c r="W554" s="8">
        <f t="shared" si="109"/>
        <v>50.772651900509999</v>
      </c>
      <c r="X554" s="1">
        <f t="shared" si="116"/>
        <v>50.772651900509999</v>
      </c>
      <c r="Y554" s="18"/>
      <c r="Z554" s="7"/>
      <c r="AA554" s="1"/>
      <c r="AB554" s="1"/>
      <c r="AC554" s="1"/>
    </row>
    <row r="555" spans="1:29" x14ac:dyDescent="0.3">
      <c r="A555">
        <v>554</v>
      </c>
      <c r="E555">
        <v>-255.6643259535</v>
      </c>
      <c r="F555">
        <v>54.602824157678</v>
      </c>
      <c r="G555">
        <v>405.44699752279001</v>
      </c>
      <c r="H555">
        <v>50.413056685710004</v>
      </c>
      <c r="I555">
        <v>161.18128479961001</v>
      </c>
      <c r="J555">
        <v>243.61102992052</v>
      </c>
      <c r="L555" s="1">
        <f t="shared" si="117"/>
        <v>3.5324350073099993</v>
      </c>
      <c r="M555">
        <f t="shared" si="118"/>
        <v>1961.2244490175985</v>
      </c>
      <c r="N555">
        <f t="shared" si="110"/>
        <v>5.4478456917155516</v>
      </c>
      <c r="O555">
        <f t="shared" si="111"/>
        <v>50.413056685710004</v>
      </c>
      <c r="P555">
        <f t="shared" si="112"/>
        <v>504</v>
      </c>
      <c r="Q555">
        <f t="shared" si="119"/>
        <v>102.418449414996</v>
      </c>
      <c r="R555">
        <f t="shared" si="113"/>
        <v>102.418449414996</v>
      </c>
      <c r="S555">
        <f t="shared" si="108"/>
        <v>105.38214079299941</v>
      </c>
      <c r="T555">
        <f t="shared" si="114"/>
        <v>105.38214079299941</v>
      </c>
      <c r="U555" s="3">
        <f t="shared" si="115"/>
        <v>243.61102992052</v>
      </c>
      <c r="V555">
        <f t="shared" si="107"/>
        <v>451</v>
      </c>
      <c r="W555" s="8">
        <f t="shared" si="109"/>
        <v>50.756854045069986</v>
      </c>
      <c r="X555" s="1">
        <f t="shared" si="116"/>
        <v>50.756854045069986</v>
      </c>
      <c r="Y555" s="18"/>
      <c r="Z555" s="7"/>
      <c r="AA555" s="1"/>
      <c r="AB555" s="1"/>
      <c r="AC555" s="1"/>
    </row>
    <row r="556" spans="1:29" x14ac:dyDescent="0.3">
      <c r="A556">
        <v>555</v>
      </c>
      <c r="E556">
        <v>-255.3484318468</v>
      </c>
      <c r="F556">
        <v>53.162704127068999</v>
      </c>
      <c r="G556">
        <v>402.67180947187001</v>
      </c>
      <c r="H556">
        <v>50.593396127074001</v>
      </c>
      <c r="I556">
        <v>164.69941920459999</v>
      </c>
      <c r="J556">
        <v>244.09000296088999</v>
      </c>
      <c r="L556" s="1">
        <f t="shared" si="117"/>
        <v>3.5181344049899792</v>
      </c>
      <c r="M556">
        <f t="shared" si="118"/>
        <v>1964.7425834225885</v>
      </c>
      <c r="N556">
        <f t="shared" si="110"/>
        <v>5.4576182872849683</v>
      </c>
      <c r="O556">
        <f t="shared" si="111"/>
        <v>50.593396127074001</v>
      </c>
      <c r="P556">
        <f t="shared" si="112"/>
        <v>505</v>
      </c>
      <c r="Q556">
        <f t="shared" si="119"/>
        <v>102.430137941971</v>
      </c>
      <c r="R556">
        <f t="shared" si="113"/>
        <v>102.430137941971</v>
      </c>
      <c r="S556">
        <f t="shared" si="108"/>
        <v>105.38482957821977</v>
      </c>
      <c r="T556">
        <f t="shared" si="114"/>
        <v>105.38482957821977</v>
      </c>
      <c r="U556" s="3">
        <f t="shared" si="115"/>
        <v>244.09000296088999</v>
      </c>
      <c r="V556">
        <f t="shared" si="107"/>
        <v>452</v>
      </c>
      <c r="W556" s="8">
        <f t="shared" si="109"/>
        <v>50.768299472129996</v>
      </c>
      <c r="X556" s="1">
        <f t="shared" si="116"/>
        <v>50.768299472129996</v>
      </c>
      <c r="Y556" s="18"/>
      <c r="Z556" s="7"/>
      <c r="AA556" s="1"/>
      <c r="AB556" s="1"/>
      <c r="AC556" s="1"/>
    </row>
    <row r="557" spans="1:29" x14ac:dyDescent="0.3">
      <c r="A557">
        <v>556</v>
      </c>
      <c r="E557">
        <v>-255.04606431350001</v>
      </c>
      <c r="F557">
        <v>51.915550115408998</v>
      </c>
      <c r="G557">
        <v>399.80312141860998</v>
      </c>
      <c r="H557">
        <v>50.749284930799</v>
      </c>
      <c r="I557">
        <v>168.20720228383999</v>
      </c>
      <c r="J557">
        <v>244.57078677736999</v>
      </c>
      <c r="L557" s="1">
        <f t="shared" si="117"/>
        <v>3.5077830792399993</v>
      </c>
      <c r="M557">
        <f t="shared" si="118"/>
        <v>1968.2503665018285</v>
      </c>
      <c r="N557">
        <f t="shared" si="110"/>
        <v>5.4673621291717458</v>
      </c>
      <c r="O557">
        <f t="shared" si="111"/>
        <v>50.749284930799</v>
      </c>
      <c r="P557">
        <f t="shared" si="112"/>
        <v>506</v>
      </c>
      <c r="Q557">
        <f t="shared" si="119"/>
        <v>102.458659638383</v>
      </c>
      <c r="R557">
        <f t="shared" si="113"/>
        <v>102.458659638383</v>
      </c>
      <c r="S557">
        <f t="shared" si="108"/>
        <v>105.4109601578226</v>
      </c>
      <c r="T557">
        <f t="shared" si="114"/>
        <v>105.4109601578226</v>
      </c>
      <c r="U557" s="3">
        <f t="shared" si="115"/>
        <v>244.57078677736999</v>
      </c>
      <c r="V557">
        <f t="shared" si="107"/>
        <v>453</v>
      </c>
      <c r="W557" s="8">
        <f t="shared" si="109"/>
        <v>50.781359899979975</v>
      </c>
      <c r="X557" s="1">
        <f t="shared" si="116"/>
        <v>50.781359899979975</v>
      </c>
      <c r="Y557" s="18"/>
      <c r="Z557" s="7"/>
      <c r="AA557" s="1"/>
      <c r="AB557" s="1"/>
      <c r="AC557" s="1"/>
    </row>
    <row r="558" spans="1:29" x14ac:dyDescent="0.3">
      <c r="A558">
        <v>557</v>
      </c>
      <c r="E558">
        <v>-254.73749817980001</v>
      </c>
      <c r="F558">
        <v>50.834059948229999</v>
      </c>
      <c r="G558">
        <v>396.86850766664998</v>
      </c>
      <c r="H558">
        <v>50.917176979468003</v>
      </c>
      <c r="I558">
        <v>171.69998064239999</v>
      </c>
      <c r="J558">
        <v>245.06971464725001</v>
      </c>
      <c r="L558" s="1">
        <f t="shared" si="117"/>
        <v>3.4927783585600025</v>
      </c>
      <c r="M558">
        <f t="shared" si="118"/>
        <v>1971.7431448603884</v>
      </c>
      <c r="N558">
        <f t="shared" si="110"/>
        <v>5.4770642912788565</v>
      </c>
      <c r="O558">
        <f t="shared" si="111"/>
        <v>50.917176979468003</v>
      </c>
      <c r="P558">
        <f t="shared" si="112"/>
        <v>507</v>
      </c>
      <c r="Q558">
        <f t="shared" si="119"/>
        <v>102.51492143289701</v>
      </c>
      <c r="R558">
        <f t="shared" si="113"/>
        <v>102.51492143289701</v>
      </c>
      <c r="S558">
        <f t="shared" si="108"/>
        <v>105.46969495015071</v>
      </c>
      <c r="T558">
        <f t="shared" si="114"/>
        <v>105.46969495015071</v>
      </c>
      <c r="U558" s="3">
        <f t="shared" si="115"/>
        <v>245.06971464725001</v>
      </c>
      <c r="V558">
        <f t="shared" si="107"/>
        <v>454</v>
      </c>
      <c r="W558" s="8">
        <f t="shared" si="109"/>
        <v>50.783776470890018</v>
      </c>
      <c r="X558" s="1">
        <f t="shared" si="116"/>
        <v>50.783776470890018</v>
      </c>
      <c r="Y558" s="18"/>
      <c r="Z558" s="7"/>
      <c r="AA558" s="1"/>
      <c r="AB558" s="1"/>
      <c r="AC558" s="1"/>
    </row>
    <row r="559" spans="1:29" x14ac:dyDescent="0.3">
      <c r="A559">
        <v>558</v>
      </c>
      <c r="E559">
        <v>-254.445301696</v>
      </c>
      <c r="F559">
        <v>49.918880489876003</v>
      </c>
      <c r="G559">
        <v>393.87627474421998</v>
      </c>
      <c r="H559">
        <v>51.097228971896001</v>
      </c>
      <c r="I559">
        <v>175.18089832538999</v>
      </c>
      <c r="J559">
        <v>245.56366961366999</v>
      </c>
      <c r="L559" s="1">
        <f t="shared" si="117"/>
        <v>3.4809176829899968</v>
      </c>
      <c r="M559">
        <f t="shared" si="118"/>
        <v>1975.2240625433783</v>
      </c>
      <c r="N559">
        <f t="shared" si="110"/>
        <v>5.4867335070649395</v>
      </c>
      <c r="O559">
        <f t="shared" si="111"/>
        <v>51.097228971896001</v>
      </c>
      <c r="P559">
        <f t="shared" si="112"/>
        <v>508</v>
      </c>
      <c r="Q559">
        <f t="shared" si="119"/>
        <v>102.554674993288</v>
      </c>
      <c r="R559">
        <f t="shared" si="113"/>
        <v>102.554674993288</v>
      </c>
      <c r="S559">
        <f t="shared" si="108"/>
        <v>105.51145785396152</v>
      </c>
      <c r="T559">
        <f t="shared" si="114"/>
        <v>105.51145785396152</v>
      </c>
      <c r="U559" s="3">
        <f t="shared" si="115"/>
        <v>245.56366961366999</v>
      </c>
      <c r="V559">
        <f t="shared" si="107"/>
        <v>455</v>
      </c>
      <c r="W559" s="8">
        <f t="shared" si="109"/>
        <v>50.815113176009987</v>
      </c>
      <c r="X559" s="1">
        <f t="shared" si="116"/>
        <v>50.815113176009987</v>
      </c>
      <c r="Y559" s="18"/>
      <c r="Z559" s="7"/>
      <c r="AA559" s="1"/>
      <c r="AB559" s="1"/>
      <c r="AC559" s="1"/>
    </row>
    <row r="560" spans="1:29" x14ac:dyDescent="0.3">
      <c r="A560">
        <v>559</v>
      </c>
      <c r="E560">
        <v>-254.1681688612</v>
      </c>
      <c r="F560">
        <v>49.198674660115998</v>
      </c>
      <c r="G560">
        <v>390.82993965323999</v>
      </c>
      <c r="H560">
        <v>51.262678586143998</v>
      </c>
      <c r="I560">
        <v>178.65133930946001</v>
      </c>
      <c r="J560">
        <v>246.05482719547001</v>
      </c>
      <c r="L560" s="1">
        <f t="shared" si="117"/>
        <v>3.4704409840700237</v>
      </c>
      <c r="M560">
        <f t="shared" si="118"/>
        <v>1978.6945035274484</v>
      </c>
      <c r="N560">
        <f t="shared" si="110"/>
        <v>5.496373620909579</v>
      </c>
      <c r="O560">
        <f t="shared" si="111"/>
        <v>51.262678586143998</v>
      </c>
      <c r="P560">
        <f t="shared" si="112"/>
        <v>509</v>
      </c>
      <c r="Q560">
        <f t="shared" si="119"/>
        <v>102.61555807849399</v>
      </c>
      <c r="R560">
        <f t="shared" si="113"/>
        <v>102.61555807849399</v>
      </c>
      <c r="S560">
        <f t="shared" si="108"/>
        <v>105.56485633317367</v>
      </c>
      <c r="T560">
        <f t="shared" si="114"/>
        <v>105.56485633317367</v>
      </c>
      <c r="U560" s="3">
        <f t="shared" si="115"/>
        <v>246.05482719547001</v>
      </c>
      <c r="V560">
        <f t="shared" si="107"/>
        <v>456</v>
      </c>
      <c r="W560" s="8">
        <f t="shared" si="109"/>
        <v>50.849416065700012</v>
      </c>
      <c r="X560" s="1">
        <f t="shared" si="116"/>
        <v>50.849416065700012</v>
      </c>
      <c r="Y560" s="18"/>
      <c r="Z560" s="7"/>
      <c r="AA560" s="1"/>
      <c r="AB560" s="1"/>
      <c r="AC560" s="1"/>
    </row>
    <row r="561" spans="1:29" x14ac:dyDescent="0.3">
      <c r="A561">
        <v>560</v>
      </c>
      <c r="E561">
        <v>-253.90319380720001</v>
      </c>
      <c r="F561">
        <v>48.661817503169999</v>
      </c>
      <c r="G561">
        <v>387.74462115854999</v>
      </c>
      <c r="H561">
        <v>51.428034714847001</v>
      </c>
      <c r="I561">
        <v>-177.8887642318</v>
      </c>
      <c r="J561">
        <v>246.5444004062</v>
      </c>
      <c r="L561" s="1">
        <f t="shared" si="117"/>
        <v>-356.54010354126001</v>
      </c>
      <c r="M561">
        <f t="shared" si="118"/>
        <v>1982.1649445115186</v>
      </c>
      <c r="N561">
        <f t="shared" si="110"/>
        <v>5.5060137347542186</v>
      </c>
      <c r="O561">
        <f t="shared" si="111"/>
        <v>51.428034714847001</v>
      </c>
      <c r="P561">
        <f t="shared" si="112"/>
        <v>510</v>
      </c>
      <c r="Q561">
        <f t="shared" si="119"/>
        <v>102.567788242224</v>
      </c>
      <c r="R561">
        <f t="shared" si="113"/>
        <v>102.567788242224</v>
      </c>
      <c r="S561">
        <f t="shared" si="108"/>
        <v>105.5311443937218</v>
      </c>
      <c r="T561">
        <f t="shared" si="114"/>
        <v>105.5311443937218</v>
      </c>
      <c r="U561" s="3">
        <f t="shared" si="115"/>
        <v>246.5444004062</v>
      </c>
      <c r="V561">
        <f t="shared" ref="V561:V624" si="120">IFERROR(MATCH(N561-1,N:N,1),0)</f>
        <v>457</v>
      </c>
      <c r="W561" s="8">
        <f t="shared" si="109"/>
        <v>50.833579309899989</v>
      </c>
      <c r="X561" s="1">
        <f t="shared" si="116"/>
        <v>50.833579309899989</v>
      </c>
      <c r="Y561" s="18"/>
      <c r="Z561" s="7"/>
      <c r="AA561" s="1"/>
      <c r="AB561" s="1"/>
      <c r="AC561" s="1"/>
    </row>
    <row r="562" spans="1:29" x14ac:dyDescent="0.3">
      <c r="A562">
        <v>561</v>
      </c>
      <c r="E562">
        <v>-253.67534161610001</v>
      </c>
      <c r="F562">
        <v>48.399901242327999</v>
      </c>
      <c r="G562">
        <v>384.62106862595999</v>
      </c>
      <c r="H562">
        <v>51.501917829733998</v>
      </c>
      <c r="I562">
        <v>-174.42916746610001</v>
      </c>
      <c r="J562">
        <v>247.01116115738</v>
      </c>
      <c r="L562" s="1">
        <f t="shared" si="117"/>
        <v>3.4595967656999846</v>
      </c>
      <c r="M562">
        <f t="shared" si="118"/>
        <v>1985.6245412772187</v>
      </c>
      <c r="N562">
        <f t="shared" si="110"/>
        <v>5.5156237257700518</v>
      </c>
      <c r="O562">
        <f t="shared" si="111"/>
        <v>51.501917829733998</v>
      </c>
      <c r="P562">
        <f t="shared" si="112"/>
        <v>511</v>
      </c>
      <c r="Q562">
        <f t="shared" si="119"/>
        <v>102.426248096913</v>
      </c>
      <c r="R562">
        <f t="shared" si="113"/>
        <v>102.426248096913</v>
      </c>
      <c r="S562">
        <f t="shared" si="108"/>
        <v>105.38681414034572</v>
      </c>
      <c r="T562">
        <f t="shared" si="114"/>
        <v>105.38681414034572</v>
      </c>
      <c r="U562" s="3">
        <f t="shared" si="115"/>
        <v>247.01116115738</v>
      </c>
      <c r="V562">
        <f t="shared" si="120"/>
        <v>458</v>
      </c>
      <c r="W562" s="8">
        <f t="shared" si="109"/>
        <v>50.772896910610001</v>
      </c>
      <c r="X562" s="1">
        <f t="shared" si="116"/>
        <v>50.772896910610001</v>
      </c>
      <c r="Y562" s="18"/>
      <c r="Z562" s="7"/>
      <c r="AA562" s="1"/>
      <c r="AB562" s="1"/>
      <c r="AC562" s="1"/>
    </row>
    <row r="563" spans="1:29" x14ac:dyDescent="0.3">
      <c r="A563">
        <v>562</v>
      </c>
      <c r="E563">
        <v>-253.45488344509999</v>
      </c>
      <c r="F563">
        <v>48.336950086602002</v>
      </c>
      <c r="G563">
        <v>381.48714359318001</v>
      </c>
      <c r="H563">
        <v>51.563884916239999</v>
      </c>
      <c r="I563">
        <v>-170.97463851820001</v>
      </c>
      <c r="J563">
        <v>247.47941871493001</v>
      </c>
      <c r="L563" s="1">
        <f t="shared" si="117"/>
        <v>3.4545289479000019</v>
      </c>
      <c r="M563">
        <f t="shared" si="118"/>
        <v>1989.0790702251186</v>
      </c>
      <c r="N563">
        <f t="shared" si="110"/>
        <v>5.5252196395142184</v>
      </c>
      <c r="O563">
        <f t="shared" si="111"/>
        <v>51.563884916239999</v>
      </c>
      <c r="P563">
        <f t="shared" si="112"/>
        <v>512</v>
      </c>
      <c r="Q563">
        <f t="shared" si="119"/>
        <v>102.36154035786001</v>
      </c>
      <c r="R563">
        <f t="shared" si="113"/>
        <v>102.36154035786001</v>
      </c>
      <c r="S563">
        <f t="shared" si="108"/>
        <v>105.32788287255028</v>
      </c>
      <c r="T563">
        <f t="shared" si="114"/>
        <v>105.32788287255028</v>
      </c>
      <c r="U563" s="3">
        <f t="shared" si="115"/>
        <v>247.47941871493001</v>
      </c>
      <c r="V563">
        <f t="shared" si="120"/>
        <v>459</v>
      </c>
      <c r="W563" s="8">
        <f t="shared" si="109"/>
        <v>50.74826031419002</v>
      </c>
      <c r="X563" s="1">
        <f t="shared" si="116"/>
        <v>50.74826031419002</v>
      </c>
      <c r="Y563" s="18"/>
      <c r="Z563" s="7"/>
      <c r="AA563" s="1"/>
      <c r="AB563" s="1"/>
      <c r="AC563" s="1"/>
    </row>
    <row r="564" spans="1:29" x14ac:dyDescent="0.3">
      <c r="A564">
        <v>563</v>
      </c>
      <c r="E564">
        <v>-253.2261021061</v>
      </c>
      <c r="F564">
        <v>48.400699779934001</v>
      </c>
      <c r="G564">
        <v>378.35349474793998</v>
      </c>
      <c r="H564">
        <v>51.686554781509003</v>
      </c>
      <c r="I564">
        <v>-167.53018678430001</v>
      </c>
      <c r="J564">
        <v>247.96105687868001</v>
      </c>
      <c r="L564" s="1">
        <f t="shared" si="117"/>
        <v>3.4444517338999958</v>
      </c>
      <c r="M564">
        <f t="shared" si="118"/>
        <v>1992.5235219590186</v>
      </c>
      <c r="N564">
        <f t="shared" si="110"/>
        <v>5.5347875609972741</v>
      </c>
      <c r="O564">
        <f t="shared" si="111"/>
        <v>51.686554781509003</v>
      </c>
      <c r="P564">
        <f t="shared" si="112"/>
        <v>513</v>
      </c>
      <c r="Q564">
        <f t="shared" si="119"/>
        <v>102.400926509098</v>
      </c>
      <c r="R564">
        <f t="shared" si="113"/>
        <v>102.400926509098</v>
      </c>
      <c r="S564">
        <f t="shared" si="108"/>
        <v>105.37225517764348</v>
      </c>
      <c r="T564">
        <f t="shared" si="114"/>
        <v>105.37225517764348</v>
      </c>
      <c r="U564" s="3">
        <f t="shared" si="115"/>
        <v>247.96105687868001</v>
      </c>
      <c r="V564">
        <f t="shared" si="120"/>
        <v>460</v>
      </c>
      <c r="W564" s="8">
        <f t="shared" si="109"/>
        <v>50.750757250490011</v>
      </c>
      <c r="X564" s="1">
        <f t="shared" si="116"/>
        <v>50.750757250490011</v>
      </c>
      <c r="Y564" s="18"/>
      <c r="Z564" s="7"/>
      <c r="AA564" s="1"/>
      <c r="AB564" s="1"/>
      <c r="AC564" s="1"/>
    </row>
    <row r="565" spans="1:29" x14ac:dyDescent="0.3">
      <c r="A565">
        <v>564</v>
      </c>
      <c r="E565">
        <v>-253.01981144769999</v>
      </c>
      <c r="F565">
        <v>48.550377263567</v>
      </c>
      <c r="G565">
        <v>375.22110424713998</v>
      </c>
      <c r="H565">
        <v>51.908954949231997</v>
      </c>
      <c r="I565">
        <v>-164.1000198781</v>
      </c>
      <c r="J565">
        <v>248.42366197257999</v>
      </c>
      <c r="L565" s="1">
        <f t="shared" si="117"/>
        <v>3.4301669062000144</v>
      </c>
      <c r="M565">
        <f t="shared" si="118"/>
        <v>1995.9536888652185</v>
      </c>
      <c r="N565">
        <f t="shared" si="110"/>
        <v>5.5443158024033847</v>
      </c>
      <c r="O565">
        <f t="shared" si="111"/>
        <v>51.908954949231997</v>
      </c>
      <c r="P565">
        <f t="shared" si="112"/>
        <v>514</v>
      </c>
      <c r="Q565">
        <f t="shared" si="119"/>
        <v>102.507449115608</v>
      </c>
      <c r="R565">
        <f t="shared" si="113"/>
        <v>102.507449115608</v>
      </c>
      <c r="S565">
        <f t="shared" si="108"/>
        <v>105.46055912062987</v>
      </c>
      <c r="T565">
        <f t="shared" si="114"/>
        <v>105.46055912062987</v>
      </c>
      <c r="U565" s="3">
        <f t="shared" si="115"/>
        <v>248.42366197257999</v>
      </c>
      <c r="V565">
        <f t="shared" si="120"/>
        <v>461</v>
      </c>
      <c r="W565" s="8">
        <f t="shared" si="109"/>
        <v>50.792808368399989</v>
      </c>
      <c r="X565" s="1">
        <f t="shared" si="116"/>
        <v>50.792808368399989</v>
      </c>
      <c r="Y565" s="18"/>
      <c r="Z565" s="7"/>
      <c r="AA565" s="1"/>
      <c r="AB565" s="1"/>
      <c r="AC565" s="1"/>
    </row>
    <row r="566" spans="1:29" x14ac:dyDescent="0.3">
      <c r="A566">
        <v>565</v>
      </c>
      <c r="E566">
        <v>-252.78307613679999</v>
      </c>
      <c r="F566">
        <v>48.907715709108999</v>
      </c>
      <c r="G566">
        <v>372.10802873033998</v>
      </c>
      <c r="H566">
        <v>52.108970663346</v>
      </c>
      <c r="I566">
        <v>-160.68879646120001</v>
      </c>
      <c r="J566">
        <v>248.92342089208</v>
      </c>
      <c r="L566" s="1">
        <f t="shared" si="117"/>
        <v>3.4112234168999862</v>
      </c>
      <c r="M566">
        <f t="shared" si="118"/>
        <v>1999.3649122821184</v>
      </c>
      <c r="N566">
        <f t="shared" si="110"/>
        <v>5.5537914230058849</v>
      </c>
      <c r="O566">
        <f t="shared" si="111"/>
        <v>52.108970663346</v>
      </c>
      <c r="P566">
        <f t="shared" si="112"/>
        <v>515</v>
      </c>
      <c r="Q566">
        <f t="shared" si="119"/>
        <v>102.606702699086</v>
      </c>
      <c r="R566">
        <f t="shared" si="113"/>
        <v>102.606702699086</v>
      </c>
      <c r="S566">
        <f t="shared" si="108"/>
        <v>105.54992020200972</v>
      </c>
      <c r="T566">
        <f t="shared" si="114"/>
        <v>105.54992020200972</v>
      </c>
      <c r="U566" s="3">
        <f t="shared" si="115"/>
        <v>248.92342089208</v>
      </c>
      <c r="V566">
        <f t="shared" si="120"/>
        <v>462</v>
      </c>
      <c r="W566" s="8">
        <f t="shared" si="109"/>
        <v>50.834344205739995</v>
      </c>
      <c r="X566" s="1">
        <f t="shared" si="116"/>
        <v>50.834344205739995</v>
      </c>
      <c r="Y566" s="18"/>
      <c r="Z566" s="7"/>
      <c r="AA566" s="1"/>
      <c r="AB566" s="1"/>
      <c r="AC566" s="1"/>
    </row>
    <row r="567" spans="1:29" x14ac:dyDescent="0.3">
      <c r="A567">
        <v>566</v>
      </c>
      <c r="E567">
        <v>-252.55471107310001</v>
      </c>
      <c r="F567">
        <v>49.561332745803</v>
      </c>
      <c r="G567">
        <v>369.04210298032001</v>
      </c>
      <c r="H567">
        <v>52.193515740146999</v>
      </c>
      <c r="I567">
        <v>-157.28027099030001</v>
      </c>
      <c r="J567">
        <v>249.42302029122001</v>
      </c>
      <c r="L567" s="1">
        <f t="shared" si="117"/>
        <v>3.4085254709000026</v>
      </c>
      <c r="M567">
        <f t="shared" si="118"/>
        <v>2002.7734377530185</v>
      </c>
      <c r="N567">
        <f t="shared" si="110"/>
        <v>5.5632595493139405</v>
      </c>
      <c r="O567">
        <f t="shared" si="111"/>
        <v>52.193515740146999</v>
      </c>
      <c r="P567">
        <f t="shared" si="112"/>
        <v>516</v>
      </c>
      <c r="Q567">
        <f t="shared" si="119"/>
        <v>102.51187239004099</v>
      </c>
      <c r="R567">
        <f t="shared" si="113"/>
        <v>102.51187239004099</v>
      </c>
      <c r="S567">
        <f t="shared" si="108"/>
        <v>105.46377989392101</v>
      </c>
      <c r="T567">
        <f t="shared" si="114"/>
        <v>105.46377989392101</v>
      </c>
      <c r="U567" s="3">
        <f t="shared" si="115"/>
        <v>249.42302029122001</v>
      </c>
      <c r="V567">
        <f t="shared" si="120"/>
        <v>463</v>
      </c>
      <c r="W567" s="8">
        <f t="shared" si="109"/>
        <v>50.834782033340019</v>
      </c>
      <c r="X567" s="1">
        <f t="shared" si="116"/>
        <v>50.834782033340019</v>
      </c>
      <c r="Y567" s="18"/>
      <c r="Z567" s="7"/>
      <c r="AA567" s="1"/>
      <c r="AB567" s="1"/>
      <c r="AC567" s="1"/>
    </row>
    <row r="568" spans="1:29" x14ac:dyDescent="0.3">
      <c r="A568">
        <v>567</v>
      </c>
      <c r="E568">
        <v>-252.3533514854</v>
      </c>
      <c r="F568">
        <v>50.334650301457003</v>
      </c>
      <c r="G568">
        <v>366.00290687047999</v>
      </c>
      <c r="H568">
        <v>52.339486943356</v>
      </c>
      <c r="I568">
        <v>-153.87829774529999</v>
      </c>
      <c r="J568">
        <v>249.89841109125001</v>
      </c>
      <c r="L568" s="1">
        <f t="shared" si="117"/>
        <v>3.401973245000022</v>
      </c>
      <c r="M568">
        <f t="shared" si="118"/>
        <v>2006.1754109980184</v>
      </c>
      <c r="N568">
        <f t="shared" si="110"/>
        <v>5.5727094749944959</v>
      </c>
      <c r="O568">
        <f t="shared" si="111"/>
        <v>52.339486943356</v>
      </c>
      <c r="P568">
        <f t="shared" si="112"/>
        <v>517</v>
      </c>
      <c r="Q568">
        <f t="shared" si="119"/>
        <v>102.529392925555</v>
      </c>
      <c r="R568">
        <f t="shared" si="113"/>
        <v>102.529392925555</v>
      </c>
      <c r="S568">
        <f t="shared" si="108"/>
        <v>105.4800173610498</v>
      </c>
      <c r="T568">
        <f t="shared" si="114"/>
        <v>105.4800173610498</v>
      </c>
      <c r="U568" s="3">
        <f t="shared" si="115"/>
        <v>249.89841109125001</v>
      </c>
      <c r="V568">
        <f t="shared" si="120"/>
        <v>464</v>
      </c>
      <c r="W568" s="8">
        <f t="shared" si="109"/>
        <v>50.836016948690002</v>
      </c>
      <c r="X568" s="1">
        <f t="shared" si="116"/>
        <v>50.836016948690002</v>
      </c>
      <c r="Y568" s="18"/>
      <c r="Z568" s="7"/>
      <c r="AA568" s="1"/>
      <c r="AB568" s="1"/>
      <c r="AC568" s="1"/>
    </row>
    <row r="569" spans="1:29" x14ac:dyDescent="0.3">
      <c r="A569">
        <v>568</v>
      </c>
      <c r="E569">
        <v>-252.1265440862</v>
      </c>
      <c r="F569">
        <v>51.279842781717001</v>
      </c>
      <c r="G569">
        <v>363.01428022903002</v>
      </c>
      <c r="H569">
        <v>52.490455879780001</v>
      </c>
      <c r="I569">
        <v>-150.49084449809999</v>
      </c>
      <c r="J569">
        <v>250.40202935161</v>
      </c>
      <c r="L569" s="1">
        <f t="shared" si="117"/>
        <v>3.3874532471999999</v>
      </c>
      <c r="M569">
        <f t="shared" si="118"/>
        <v>2009.5628642452184</v>
      </c>
      <c r="N569">
        <f t="shared" si="110"/>
        <v>5.5821190673478291</v>
      </c>
      <c r="O569">
        <f t="shared" si="111"/>
        <v>52.490455879780001</v>
      </c>
      <c r="P569">
        <f t="shared" si="112"/>
        <v>518</v>
      </c>
      <c r="Q569">
        <f t="shared" si="119"/>
        <v>102.568652518221</v>
      </c>
      <c r="R569">
        <f t="shared" si="113"/>
        <v>102.568652518221</v>
      </c>
      <c r="S569">
        <f t="shared" si="108"/>
        <v>105.51698924830247</v>
      </c>
      <c r="T569">
        <f t="shared" si="114"/>
        <v>105.51698924830247</v>
      </c>
      <c r="U569" s="3">
        <f t="shared" si="115"/>
        <v>250.40202935161</v>
      </c>
      <c r="V569">
        <f t="shared" si="120"/>
        <v>465</v>
      </c>
      <c r="W569" s="8">
        <f t="shared" si="109"/>
        <v>50.850042448859995</v>
      </c>
      <c r="X569" s="1">
        <f t="shared" si="116"/>
        <v>50.850042448859995</v>
      </c>
      <c r="Y569" s="18"/>
      <c r="Z569" s="7"/>
      <c r="AA569" s="1"/>
      <c r="AB569" s="1"/>
      <c r="AC569" s="1"/>
    </row>
    <row r="570" spans="1:29" x14ac:dyDescent="0.3">
      <c r="A570">
        <v>569</v>
      </c>
      <c r="E570">
        <v>-251.88643631830001</v>
      </c>
      <c r="F570">
        <v>52.420913305436002</v>
      </c>
      <c r="G570">
        <v>360.09618931384</v>
      </c>
      <c r="H570">
        <v>52.616280394949001</v>
      </c>
      <c r="I570">
        <v>-147.1141925817</v>
      </c>
      <c r="J570">
        <v>250.92114474217999</v>
      </c>
      <c r="L570" s="1">
        <f t="shared" si="117"/>
        <v>3.3766519163999931</v>
      </c>
      <c r="M570">
        <f t="shared" si="118"/>
        <v>2012.9395161616185</v>
      </c>
      <c r="N570">
        <f t="shared" si="110"/>
        <v>5.5914986560044957</v>
      </c>
      <c r="O570">
        <f t="shared" si="111"/>
        <v>52.616280394949001</v>
      </c>
      <c r="P570">
        <f t="shared" si="112"/>
        <v>519</v>
      </c>
      <c r="Q570">
        <f t="shared" si="119"/>
        <v>102.523069138511</v>
      </c>
      <c r="R570">
        <f t="shared" si="113"/>
        <v>102.523069138511</v>
      </c>
      <c r="S570">
        <f t="shared" si="108"/>
        <v>105.47497211460286</v>
      </c>
      <c r="T570">
        <f t="shared" si="114"/>
        <v>105.47497211460286</v>
      </c>
      <c r="U570" s="3">
        <f t="shared" si="115"/>
        <v>250.92114474217999</v>
      </c>
      <c r="V570">
        <f t="shared" si="120"/>
        <v>466</v>
      </c>
      <c r="W570" s="8">
        <f t="shared" si="109"/>
        <v>50.88504677857</v>
      </c>
      <c r="X570" s="1">
        <f t="shared" si="116"/>
        <v>50.88504677857</v>
      </c>
      <c r="Y570" s="18"/>
      <c r="Z570" s="7"/>
      <c r="AA570" s="1"/>
      <c r="AB570" s="1"/>
      <c r="AC570" s="1"/>
    </row>
    <row r="571" spans="1:29" x14ac:dyDescent="0.3">
      <c r="A571">
        <v>570</v>
      </c>
      <c r="E571">
        <v>-251.6957623513</v>
      </c>
      <c r="F571">
        <v>53.755772572512001</v>
      </c>
      <c r="G571">
        <v>357.25758628428002</v>
      </c>
      <c r="H571">
        <v>52.715600246416997</v>
      </c>
      <c r="I571">
        <v>-143.7352462003</v>
      </c>
      <c r="J571">
        <v>251.39247430349999</v>
      </c>
      <c r="L571" s="1">
        <f t="shared" si="117"/>
        <v>3.3789463813999987</v>
      </c>
      <c r="M571">
        <f t="shared" si="118"/>
        <v>2016.3184625430185</v>
      </c>
      <c r="N571">
        <f t="shared" si="110"/>
        <v>5.6008846181750513</v>
      </c>
      <c r="O571">
        <f t="shared" si="111"/>
        <v>52.715600246416997</v>
      </c>
      <c r="P571">
        <f t="shared" si="112"/>
        <v>520</v>
      </c>
      <c r="Q571">
        <f t="shared" si="119"/>
        <v>102.473441720431</v>
      </c>
      <c r="R571">
        <f t="shared" si="113"/>
        <v>102.473441720431</v>
      </c>
      <c r="S571">
        <f t="shared" si="108"/>
        <v>105.41677273039113</v>
      </c>
      <c r="T571">
        <f t="shared" si="114"/>
        <v>105.41677273039113</v>
      </c>
      <c r="U571" s="3">
        <f t="shared" si="115"/>
        <v>251.39247430349999</v>
      </c>
      <c r="V571">
        <f t="shared" si="120"/>
        <v>467</v>
      </c>
      <c r="W571" s="8">
        <f t="shared" si="109"/>
        <v>50.851464211109999</v>
      </c>
      <c r="X571" s="1">
        <f t="shared" si="116"/>
        <v>50.851464211109999</v>
      </c>
      <c r="Y571" s="18"/>
      <c r="Z571" s="7"/>
      <c r="AA571" s="1"/>
      <c r="AB571" s="1"/>
      <c r="AC571" s="1"/>
    </row>
    <row r="572" spans="1:29" x14ac:dyDescent="0.3">
      <c r="A572">
        <v>571</v>
      </c>
      <c r="E572">
        <v>-251.4960141768</v>
      </c>
      <c r="F572">
        <v>55.244029054278997</v>
      </c>
      <c r="G572">
        <v>354.49690421436998</v>
      </c>
      <c r="H572">
        <v>52.825761581492003</v>
      </c>
      <c r="I572">
        <v>-140.3648482289</v>
      </c>
      <c r="J572">
        <v>251.87278548954001</v>
      </c>
      <c r="L572" s="1">
        <f t="shared" si="117"/>
        <v>3.3703979713999956</v>
      </c>
      <c r="M572">
        <f t="shared" si="118"/>
        <v>2019.6888605144186</v>
      </c>
      <c r="N572">
        <f t="shared" si="110"/>
        <v>5.6102468347622736</v>
      </c>
      <c r="O572">
        <f t="shared" si="111"/>
        <v>52.825761581492003</v>
      </c>
      <c r="P572">
        <f t="shared" si="112"/>
        <v>521</v>
      </c>
      <c r="Q572">
        <f t="shared" si="119"/>
        <v>102.43723323282501</v>
      </c>
      <c r="R572">
        <f t="shared" si="113"/>
        <v>102.43723323282501</v>
      </c>
      <c r="S572">
        <f t="shared" si="108"/>
        <v>105.38305690876052</v>
      </c>
      <c r="T572">
        <f t="shared" si="114"/>
        <v>105.38305690876052</v>
      </c>
      <c r="U572" s="3">
        <f t="shared" si="115"/>
        <v>251.87278548954001</v>
      </c>
      <c r="V572">
        <f t="shared" si="120"/>
        <v>468</v>
      </c>
      <c r="W572" s="8">
        <f t="shared" si="109"/>
        <v>50.821951681480016</v>
      </c>
      <c r="X572" s="1">
        <f t="shared" si="116"/>
        <v>50.821951681480016</v>
      </c>
      <c r="Y572" s="18"/>
      <c r="Z572" s="7"/>
      <c r="AA572" s="1"/>
      <c r="AB572" s="1"/>
      <c r="AC572" s="1"/>
    </row>
    <row r="573" spans="1:29" x14ac:dyDescent="0.3">
      <c r="A573">
        <v>572</v>
      </c>
      <c r="E573">
        <v>-251.27276723599999</v>
      </c>
      <c r="F573">
        <v>56.892838585443002</v>
      </c>
      <c r="G573">
        <v>351.83084770872</v>
      </c>
      <c r="H573">
        <v>52.931598870827003</v>
      </c>
      <c r="I573">
        <v>-137.0049852475</v>
      </c>
      <c r="J573">
        <v>252.37539431323</v>
      </c>
      <c r="L573" s="1">
        <f t="shared" si="117"/>
        <v>3.3598629813999992</v>
      </c>
      <c r="M573">
        <f t="shared" si="118"/>
        <v>2023.0487234958186</v>
      </c>
      <c r="N573">
        <f t="shared" si="110"/>
        <v>5.6195797874883855</v>
      </c>
      <c r="O573">
        <f t="shared" si="111"/>
        <v>52.931598870827003</v>
      </c>
      <c r="P573">
        <f t="shared" si="112"/>
        <v>522</v>
      </c>
      <c r="Q573">
        <f t="shared" si="119"/>
        <v>102.41352039019901</v>
      </c>
      <c r="R573">
        <f t="shared" si="113"/>
        <v>102.41352039019901</v>
      </c>
      <c r="S573">
        <f t="shared" si="108"/>
        <v>105.36215615144582</v>
      </c>
      <c r="T573">
        <f t="shared" si="114"/>
        <v>105.36215615144582</v>
      </c>
      <c r="U573" s="3">
        <f t="shared" si="115"/>
        <v>252.37539431323</v>
      </c>
      <c r="V573">
        <f t="shared" si="120"/>
        <v>469</v>
      </c>
      <c r="W573" s="8">
        <f t="shared" si="109"/>
        <v>50.85204045962999</v>
      </c>
      <c r="X573" s="1">
        <f t="shared" si="116"/>
        <v>50.85204045962999</v>
      </c>
      <c r="Y573" s="18"/>
      <c r="Z573" s="7"/>
      <c r="AA573" s="1"/>
      <c r="AB573" s="1"/>
      <c r="AC573" s="1"/>
    </row>
    <row r="574" spans="1:29" x14ac:dyDescent="0.3">
      <c r="A574">
        <v>573</v>
      </c>
      <c r="E574">
        <v>-251.0517265613</v>
      </c>
      <c r="F574">
        <v>58.703222440838999</v>
      </c>
      <c r="G574">
        <v>349.27164169239001</v>
      </c>
      <c r="H574">
        <v>53.025542578915001</v>
      </c>
      <c r="I574">
        <v>-133.6503712471</v>
      </c>
      <c r="J574">
        <v>252.87376068770999</v>
      </c>
      <c r="L574" s="1">
        <f t="shared" si="117"/>
        <v>3.3546140004000051</v>
      </c>
      <c r="M574">
        <f t="shared" si="118"/>
        <v>2026.4033374962187</v>
      </c>
      <c r="N574">
        <f t="shared" si="110"/>
        <v>5.6288981597117189</v>
      </c>
      <c r="O574">
        <f t="shared" si="111"/>
        <v>53.025542578915001</v>
      </c>
      <c r="P574">
        <f t="shared" si="112"/>
        <v>523</v>
      </c>
      <c r="Q574">
        <f t="shared" si="119"/>
        <v>102.41053142677799</v>
      </c>
      <c r="R574">
        <f t="shared" si="113"/>
        <v>102.41053142677799</v>
      </c>
      <c r="S574">
        <f t="shared" si="108"/>
        <v>105.35829093071831</v>
      </c>
      <c r="T574">
        <f t="shared" si="114"/>
        <v>105.35829093071831</v>
      </c>
      <c r="U574" s="3">
        <f t="shared" si="115"/>
        <v>252.87376068770999</v>
      </c>
      <c r="V574">
        <f t="shared" si="120"/>
        <v>470</v>
      </c>
      <c r="W574" s="8">
        <f t="shared" si="109"/>
        <v>50.861981931289989</v>
      </c>
      <c r="X574" s="1">
        <f t="shared" si="116"/>
        <v>50.861981931289989</v>
      </c>
      <c r="Y574" s="18"/>
      <c r="Z574" s="7"/>
      <c r="AA574" s="1"/>
      <c r="AB574" s="1"/>
      <c r="AC574" s="1"/>
    </row>
    <row r="575" spans="1:29" x14ac:dyDescent="0.3">
      <c r="A575">
        <v>574</v>
      </c>
      <c r="E575">
        <v>-250.85244814340001</v>
      </c>
      <c r="F575">
        <v>60.649335023166998</v>
      </c>
      <c r="G575">
        <v>346.81207573543003</v>
      </c>
      <c r="H575">
        <v>53.133300188432003</v>
      </c>
      <c r="I575">
        <v>-130.29841207940001</v>
      </c>
      <c r="J575">
        <v>253.34794253288999</v>
      </c>
      <c r="L575" s="1">
        <f t="shared" si="117"/>
        <v>3.351959167699988</v>
      </c>
      <c r="M575">
        <f t="shared" si="118"/>
        <v>2029.7552966639187</v>
      </c>
      <c r="N575">
        <f t="shared" si="110"/>
        <v>5.6382091573997739</v>
      </c>
      <c r="O575">
        <f t="shared" si="111"/>
        <v>53.133300188432003</v>
      </c>
      <c r="P575">
        <f t="shared" si="112"/>
        <v>524</v>
      </c>
      <c r="Q575">
        <f t="shared" si="119"/>
        <v>102.44940122999</v>
      </c>
      <c r="R575">
        <f t="shared" si="113"/>
        <v>102.44940122999</v>
      </c>
      <c r="S575">
        <f t="shared" si="108"/>
        <v>105.39299606543663</v>
      </c>
      <c r="T575">
        <f t="shared" si="114"/>
        <v>105.39299606543663</v>
      </c>
      <c r="U575" s="3">
        <f t="shared" si="115"/>
        <v>253.34794253288999</v>
      </c>
      <c r="V575">
        <f t="shared" si="120"/>
        <v>471</v>
      </c>
      <c r="W575" s="8">
        <f t="shared" si="109"/>
        <v>50.835722573919981</v>
      </c>
      <c r="X575" s="1">
        <f t="shared" si="116"/>
        <v>50.835722573919981</v>
      </c>
      <c r="Y575" s="18"/>
      <c r="Z575" s="7"/>
      <c r="AA575" s="1"/>
      <c r="AB575" s="1"/>
      <c r="AC575" s="1"/>
    </row>
    <row r="576" spans="1:29" x14ac:dyDescent="0.3">
      <c r="A576">
        <v>575</v>
      </c>
      <c r="E576">
        <v>-250.6234856945</v>
      </c>
      <c r="F576">
        <v>62.750722582766997</v>
      </c>
      <c r="G576">
        <v>344.48683454155997</v>
      </c>
      <c r="H576">
        <v>53.216372973357998</v>
      </c>
      <c r="I576">
        <v>-126.956155036</v>
      </c>
      <c r="J576">
        <v>253.84718684930999</v>
      </c>
      <c r="L576" s="1">
        <f t="shared" si="117"/>
        <v>3.3422570434000107</v>
      </c>
      <c r="M576">
        <f t="shared" si="118"/>
        <v>2033.0975537073186</v>
      </c>
      <c r="N576">
        <f t="shared" si="110"/>
        <v>5.6474932047425517</v>
      </c>
      <c r="O576">
        <f t="shared" si="111"/>
        <v>53.216372973357998</v>
      </c>
      <c r="P576">
        <f t="shared" si="112"/>
        <v>525</v>
      </c>
      <c r="Q576">
        <f t="shared" si="119"/>
        <v>102.421926484406</v>
      </c>
      <c r="R576">
        <f t="shared" si="113"/>
        <v>102.421926484406</v>
      </c>
      <c r="S576">
        <f t="shared" si="108"/>
        <v>105.37128349747181</v>
      </c>
      <c r="T576">
        <f t="shared" si="114"/>
        <v>105.37128349747181</v>
      </c>
      <c r="U576" s="3">
        <f t="shared" si="115"/>
        <v>253.84718684930999</v>
      </c>
      <c r="V576">
        <f t="shared" si="120"/>
        <v>472</v>
      </c>
      <c r="W576" s="8">
        <f t="shared" si="109"/>
        <v>50.83257508174998</v>
      </c>
      <c r="X576" s="1">
        <f t="shared" si="116"/>
        <v>50.83257508174998</v>
      </c>
      <c r="Y576" s="18"/>
      <c r="Z576" s="7"/>
      <c r="AA576" s="1"/>
      <c r="AB576" s="1"/>
      <c r="AC576" s="1"/>
    </row>
    <row r="577" spans="1:29" x14ac:dyDescent="0.3">
      <c r="A577">
        <v>576</v>
      </c>
      <c r="E577">
        <v>-250.38629023280001</v>
      </c>
      <c r="F577">
        <v>64.990990393841003</v>
      </c>
      <c r="G577">
        <v>342.29544474276003</v>
      </c>
      <c r="H577">
        <v>53.287227405880003</v>
      </c>
      <c r="I577">
        <v>-123.6185475228</v>
      </c>
      <c r="J577">
        <v>254.34950550510001</v>
      </c>
      <c r="L577" s="1">
        <f t="shared" si="117"/>
        <v>3.3376075131999983</v>
      </c>
      <c r="M577">
        <f t="shared" si="118"/>
        <v>2036.4351612205187</v>
      </c>
      <c r="N577">
        <f t="shared" si="110"/>
        <v>5.6567643367236631</v>
      </c>
      <c r="O577">
        <f t="shared" si="111"/>
        <v>53.287227405880003</v>
      </c>
      <c r="P577">
        <f t="shared" si="112"/>
        <v>526</v>
      </c>
      <c r="Q577">
        <f t="shared" si="119"/>
        <v>102.37887990030501</v>
      </c>
      <c r="R577">
        <f t="shared" si="113"/>
        <v>102.37887990030501</v>
      </c>
      <c r="S577">
        <f t="shared" si="108"/>
        <v>105.33449737151153</v>
      </c>
      <c r="T577">
        <f t="shared" si="114"/>
        <v>105.33449737151153</v>
      </c>
      <c r="U577" s="3">
        <f t="shared" si="115"/>
        <v>254.34950550510001</v>
      </c>
      <c r="V577">
        <f t="shared" si="120"/>
        <v>473</v>
      </c>
      <c r="W577" s="8">
        <f t="shared" si="109"/>
        <v>50.849120888040005</v>
      </c>
      <c r="X577" s="1">
        <f t="shared" si="116"/>
        <v>50.849120888040005</v>
      </c>
      <c r="Y577" s="18"/>
      <c r="Z577" s="7"/>
      <c r="AA577" s="1"/>
      <c r="AB577" s="1"/>
      <c r="AC577" s="1"/>
    </row>
    <row r="578" spans="1:29" x14ac:dyDescent="0.3">
      <c r="A578">
        <v>577</v>
      </c>
      <c r="E578">
        <v>-250.158288938</v>
      </c>
      <c r="F578">
        <v>67.347878101869</v>
      </c>
      <c r="G578">
        <v>340.22902889635998</v>
      </c>
      <c r="H578">
        <v>53.368280753876</v>
      </c>
      <c r="I578">
        <v>-120.2835286235</v>
      </c>
      <c r="J578">
        <v>254.83735496220999</v>
      </c>
      <c r="L578" s="1">
        <f t="shared" si="117"/>
        <v>3.3350188992999961</v>
      </c>
      <c r="M578">
        <f t="shared" si="118"/>
        <v>2039.7701801198186</v>
      </c>
      <c r="N578">
        <f t="shared" si="110"/>
        <v>5.6660282781106073</v>
      </c>
      <c r="O578">
        <f t="shared" si="111"/>
        <v>53.368280753876</v>
      </c>
      <c r="P578">
        <f t="shared" si="112"/>
        <v>526</v>
      </c>
      <c r="Q578">
        <f t="shared" si="119"/>
        <v>102.459933248301</v>
      </c>
      <c r="R578">
        <f t="shared" si="113"/>
        <v>102.459933248301</v>
      </c>
      <c r="S578">
        <f t="shared" ref="S578:S641" si="121">IF(P578=0,0,SQRT((E578-INDEX(E:E,P578))^2+(F578-INDEX(F:F,P578))^2+(G578-INDEX(G:G,P578))^2))</f>
        <v>105.48125531032281</v>
      </c>
      <c r="T578">
        <f t="shared" si="114"/>
        <v>105.48125531032281</v>
      </c>
      <c r="U578" s="3">
        <f t="shared" si="115"/>
        <v>254.83735496220999</v>
      </c>
      <c r="V578">
        <f t="shared" si="120"/>
        <v>474</v>
      </c>
      <c r="W578" s="8">
        <f t="shared" ref="W578:W641" si="122">IF(V578=0,0,U578-INDEX(U:U,V578))</f>
        <v>50.84855330792999</v>
      </c>
      <c r="X578" s="1">
        <f t="shared" si="116"/>
        <v>50.84855330792999</v>
      </c>
      <c r="Y578" s="18"/>
      <c r="Z578" s="7"/>
      <c r="AA578" s="1"/>
      <c r="AB578" s="1"/>
      <c r="AC578" s="1"/>
    </row>
    <row r="579" spans="1:29" x14ac:dyDescent="0.3">
      <c r="A579">
        <v>578</v>
      </c>
      <c r="E579">
        <v>-249.937599758</v>
      </c>
      <c r="F579">
        <v>69.826174152297995</v>
      </c>
      <c r="G579">
        <v>338.30937903765999</v>
      </c>
      <c r="H579">
        <v>53.439980985925999</v>
      </c>
      <c r="I579">
        <v>-116.95090156809999</v>
      </c>
      <c r="J579">
        <v>255.31105597321999</v>
      </c>
      <c r="L579" s="1">
        <f t="shared" si="117"/>
        <v>3.3326270554000104</v>
      </c>
      <c r="M579">
        <f t="shared" si="118"/>
        <v>2043.1028071752187</v>
      </c>
      <c r="N579">
        <f t="shared" ref="N579:N642" si="123">M579/360</f>
        <v>5.6752855754867184</v>
      </c>
      <c r="O579">
        <f t="shared" ref="O579:O642" si="124">H579</f>
        <v>53.439980985925999</v>
      </c>
      <c r="P579">
        <f t="shared" ref="P579:P642" si="125">IFERROR(MATCH(N579-0.5,N:N,1),0)</f>
        <v>527</v>
      </c>
      <c r="Q579">
        <f t="shared" si="119"/>
        <v>102.457379300261</v>
      </c>
      <c r="R579">
        <f t="shared" ref="R579:R642" si="126">IF(Q579=0,MAX(Q:Q),Q579)</f>
        <v>102.457379300261</v>
      </c>
      <c r="S579">
        <f t="shared" si="121"/>
        <v>105.48416159499172</v>
      </c>
      <c r="T579">
        <f t="shared" ref="T579:T642" si="127">IF(S579=0,MAX(S:S),S579)</f>
        <v>105.48416159499172</v>
      </c>
      <c r="U579" s="3">
        <f t="shared" ref="U579:U642" si="128">J579</f>
        <v>255.31105597321999</v>
      </c>
      <c r="V579">
        <f t="shared" si="120"/>
        <v>475</v>
      </c>
      <c r="W579" s="8">
        <f t="shared" si="122"/>
        <v>50.83434521273</v>
      </c>
      <c r="X579" s="1">
        <f t="shared" ref="X579:X642" si="129">IF(W579=0,MAX(W:W),W579)</f>
        <v>50.83434521273</v>
      </c>
      <c r="Y579" s="18"/>
      <c r="Z579" s="7"/>
      <c r="AA579" s="1"/>
      <c r="AB579" s="1"/>
      <c r="AC579" s="1"/>
    </row>
    <row r="580" spans="1:29" x14ac:dyDescent="0.3">
      <c r="A580">
        <v>579</v>
      </c>
      <c r="E580">
        <v>-249.6878597923</v>
      </c>
      <c r="F580">
        <v>72.416157973848001</v>
      </c>
      <c r="G580">
        <v>336.54723959537</v>
      </c>
      <c r="H580">
        <v>53.497863612011997</v>
      </c>
      <c r="I580">
        <v>-113.62551736490001</v>
      </c>
      <c r="J580">
        <v>255.80557108415999</v>
      </c>
      <c r="L580" s="1">
        <f t="shared" ref="L580:L643" si="130">I580-I579</f>
        <v>3.3253842031999881</v>
      </c>
      <c r="M580">
        <f t="shared" ref="M580:M643" si="131">IF(L580&gt;0,M579+L580,M579+L579)</f>
        <v>2046.4281913784187</v>
      </c>
      <c r="N580">
        <f t="shared" si="123"/>
        <v>5.6845227538289409</v>
      </c>
      <c r="O580">
        <f t="shared" si="124"/>
        <v>53.497863612011997</v>
      </c>
      <c r="P580">
        <f t="shared" si="125"/>
        <v>528</v>
      </c>
      <c r="Q580">
        <f t="shared" si="119"/>
        <v>102.42200491523801</v>
      </c>
      <c r="R580">
        <f t="shared" si="126"/>
        <v>102.42200491523801</v>
      </c>
      <c r="S580">
        <f t="shared" si="121"/>
        <v>105.46489063724904</v>
      </c>
      <c r="T580">
        <f t="shared" si="127"/>
        <v>105.46489063724904</v>
      </c>
      <c r="U580" s="3">
        <f t="shared" si="128"/>
        <v>255.80557108415999</v>
      </c>
      <c r="V580">
        <f t="shared" si="120"/>
        <v>476</v>
      </c>
      <c r="W580" s="8">
        <f t="shared" si="122"/>
        <v>50.844269293020005</v>
      </c>
      <c r="X580" s="1">
        <f t="shared" si="129"/>
        <v>50.844269293020005</v>
      </c>
      <c r="Y580" s="18"/>
      <c r="Z580" s="7"/>
      <c r="AA580" s="1"/>
      <c r="AB580" s="1"/>
      <c r="AC580" s="1"/>
    </row>
    <row r="581" spans="1:29" x14ac:dyDescent="0.3">
      <c r="A581">
        <v>580</v>
      </c>
      <c r="E581">
        <v>-249.4294253276</v>
      </c>
      <c r="F581">
        <v>75.105634114401994</v>
      </c>
      <c r="G581">
        <v>334.94238356642001</v>
      </c>
      <c r="H581">
        <v>53.549432470706002</v>
      </c>
      <c r="I581">
        <v>-110.3034070562</v>
      </c>
      <c r="J581">
        <v>256.30015219389998</v>
      </c>
      <c r="L581" s="1">
        <f t="shared" si="130"/>
        <v>3.3221103087000046</v>
      </c>
      <c r="M581">
        <f t="shared" si="131"/>
        <v>2049.7503016871187</v>
      </c>
      <c r="N581">
        <f t="shared" si="123"/>
        <v>5.6937508380197741</v>
      </c>
      <c r="O581">
        <f t="shared" si="124"/>
        <v>53.549432470706002</v>
      </c>
      <c r="P581">
        <f t="shared" si="125"/>
        <v>529</v>
      </c>
      <c r="Q581">
        <f t="shared" si="119"/>
        <v>102.403005520047</v>
      </c>
      <c r="R581">
        <f t="shared" si="126"/>
        <v>102.403005520047</v>
      </c>
      <c r="S581">
        <f t="shared" si="121"/>
        <v>105.45802144263595</v>
      </c>
      <c r="T581">
        <f t="shared" si="127"/>
        <v>105.45802144263595</v>
      </c>
      <c r="U581" s="3">
        <f t="shared" si="128"/>
        <v>256.30015219389998</v>
      </c>
      <c r="V581">
        <f t="shared" si="120"/>
        <v>477</v>
      </c>
      <c r="W581" s="8">
        <f t="shared" si="122"/>
        <v>50.851009005939972</v>
      </c>
      <c r="X581" s="1">
        <f t="shared" si="129"/>
        <v>50.851009005939972</v>
      </c>
      <c r="Y581" s="18"/>
      <c r="Z581" s="7"/>
      <c r="AA581" s="1"/>
      <c r="AB581" s="1"/>
      <c r="AC581" s="1"/>
    </row>
    <row r="582" spans="1:29" x14ac:dyDescent="0.3">
      <c r="A582">
        <v>581</v>
      </c>
      <c r="E582">
        <v>-249.17257885090001</v>
      </c>
      <c r="F582">
        <v>77.882787217754</v>
      </c>
      <c r="G582">
        <v>333.49379105762</v>
      </c>
      <c r="H582">
        <v>53.602104065455002</v>
      </c>
      <c r="I582">
        <v>-106.9825362476</v>
      </c>
      <c r="J582">
        <v>256.78416324790999</v>
      </c>
      <c r="L582" s="1">
        <f t="shared" si="130"/>
        <v>3.3208708086000058</v>
      </c>
      <c r="M582">
        <f t="shared" si="131"/>
        <v>2053.0711724957187</v>
      </c>
      <c r="N582">
        <f t="shared" si="123"/>
        <v>5.702975479154774</v>
      </c>
      <c r="O582">
        <f t="shared" si="124"/>
        <v>53.602104065455002</v>
      </c>
      <c r="P582">
        <f t="shared" si="125"/>
        <v>530</v>
      </c>
      <c r="Q582">
        <f t="shared" si="119"/>
        <v>102.37994890461201</v>
      </c>
      <c r="R582">
        <f t="shared" si="126"/>
        <v>102.37994890461201</v>
      </c>
      <c r="S582">
        <f t="shared" si="121"/>
        <v>105.44537594279399</v>
      </c>
      <c r="T582">
        <f t="shared" si="127"/>
        <v>105.44537594279399</v>
      </c>
      <c r="U582" s="3">
        <f t="shared" si="128"/>
        <v>256.78416324790999</v>
      </c>
      <c r="V582">
        <f t="shared" si="120"/>
        <v>478</v>
      </c>
      <c r="W582" s="8">
        <f t="shared" si="122"/>
        <v>50.843475862619982</v>
      </c>
      <c r="X582" s="1">
        <f t="shared" si="129"/>
        <v>50.843475862619982</v>
      </c>
      <c r="Y582" s="18"/>
      <c r="Z582" s="7"/>
      <c r="AA582" s="1"/>
      <c r="AB582" s="1"/>
      <c r="AC582" s="1"/>
    </row>
    <row r="583" spans="1:29" x14ac:dyDescent="0.3">
      <c r="A583">
        <v>582</v>
      </c>
      <c r="E583">
        <v>-248.89236935229999</v>
      </c>
      <c r="F583">
        <v>80.737456255645995</v>
      </c>
      <c r="G583">
        <v>332.20994276813002</v>
      </c>
      <c r="H583">
        <v>53.651404241953003</v>
      </c>
      <c r="I583">
        <v>-103.6671740009</v>
      </c>
      <c r="J583">
        <v>257.28136465115</v>
      </c>
      <c r="L583" s="1">
        <f t="shared" si="130"/>
        <v>3.3153622466999906</v>
      </c>
      <c r="M583">
        <f t="shared" si="131"/>
        <v>2056.3865347424185</v>
      </c>
      <c r="N583">
        <f t="shared" si="123"/>
        <v>5.7121848187289403</v>
      </c>
      <c r="O583">
        <f t="shared" si="124"/>
        <v>53.651404241953003</v>
      </c>
      <c r="P583">
        <f t="shared" si="125"/>
        <v>531</v>
      </c>
      <c r="Q583">
        <f t="shared" si="119"/>
        <v>102.398267686794</v>
      </c>
      <c r="R583">
        <f t="shared" si="126"/>
        <v>102.398267686794</v>
      </c>
      <c r="S583">
        <f t="shared" si="121"/>
        <v>105.47006279257789</v>
      </c>
      <c r="T583">
        <f t="shared" si="127"/>
        <v>105.47006279257789</v>
      </c>
      <c r="U583" s="3">
        <f t="shared" si="128"/>
        <v>257.28136465115</v>
      </c>
      <c r="V583">
        <f t="shared" si="120"/>
        <v>479</v>
      </c>
      <c r="W583" s="8">
        <f t="shared" si="122"/>
        <v>50.847181904889993</v>
      </c>
      <c r="X583" s="1">
        <f t="shared" si="129"/>
        <v>50.847181904889993</v>
      </c>
      <c r="Y583" s="18"/>
      <c r="Z583" s="7"/>
      <c r="AA583" s="1"/>
      <c r="AB583" s="1"/>
      <c r="AC583" s="1"/>
    </row>
    <row r="584" spans="1:29" x14ac:dyDescent="0.3">
      <c r="A584">
        <v>583</v>
      </c>
      <c r="E584">
        <v>-248.61636073400001</v>
      </c>
      <c r="F584">
        <v>83.666416092483004</v>
      </c>
      <c r="G584">
        <v>331.10521761189</v>
      </c>
      <c r="H584">
        <v>53.687000227475998</v>
      </c>
      <c r="I584">
        <v>-100.3517053596</v>
      </c>
      <c r="J584">
        <v>257.7630209065</v>
      </c>
      <c r="L584" s="1">
        <f t="shared" si="130"/>
        <v>3.3154686413000007</v>
      </c>
      <c r="M584">
        <f t="shared" si="131"/>
        <v>2059.7020033837184</v>
      </c>
      <c r="N584">
        <f t="shared" si="123"/>
        <v>5.7213944538436623</v>
      </c>
      <c r="O584">
        <f t="shared" si="124"/>
        <v>53.687000227475998</v>
      </c>
      <c r="P584">
        <f t="shared" si="125"/>
        <v>532</v>
      </c>
      <c r="Q584">
        <f t="shared" si="119"/>
        <v>102.40851584055599</v>
      </c>
      <c r="R584">
        <f t="shared" si="126"/>
        <v>102.40851584055599</v>
      </c>
      <c r="S584">
        <f t="shared" si="121"/>
        <v>105.47665668291459</v>
      </c>
      <c r="T584">
        <f t="shared" si="127"/>
        <v>105.47665668291459</v>
      </c>
      <c r="U584" s="3">
        <f t="shared" si="128"/>
        <v>257.7630209065</v>
      </c>
      <c r="V584">
        <f t="shared" si="120"/>
        <v>480</v>
      </c>
      <c r="W584" s="8">
        <f t="shared" si="122"/>
        <v>50.840568928440007</v>
      </c>
      <c r="X584" s="1">
        <f t="shared" si="129"/>
        <v>50.840568928440007</v>
      </c>
      <c r="Y584" s="18"/>
      <c r="Z584" s="7"/>
      <c r="AA584" s="1"/>
      <c r="AB584" s="1"/>
      <c r="AC584" s="1"/>
    </row>
    <row r="585" spans="1:29" x14ac:dyDescent="0.3">
      <c r="A585">
        <v>584</v>
      </c>
      <c r="E585">
        <v>-248.3287002241</v>
      </c>
      <c r="F585">
        <v>86.651515887626005</v>
      </c>
      <c r="G585">
        <v>330.16530142583002</v>
      </c>
      <c r="H585">
        <v>53.727719558474</v>
      </c>
      <c r="I585">
        <v>-97.03849290014</v>
      </c>
      <c r="J585">
        <v>258.24533579809003</v>
      </c>
      <c r="L585" s="1">
        <f t="shared" si="130"/>
        <v>3.3132124594600043</v>
      </c>
      <c r="M585">
        <f t="shared" si="131"/>
        <v>2063.0152158431783</v>
      </c>
      <c r="N585">
        <f t="shared" si="123"/>
        <v>5.7305978217866063</v>
      </c>
      <c r="O585">
        <f t="shared" si="124"/>
        <v>53.727719558474</v>
      </c>
      <c r="P585">
        <f t="shared" si="125"/>
        <v>533</v>
      </c>
      <c r="Q585">
        <f t="shared" si="119"/>
        <v>102.412575458669</v>
      </c>
      <c r="R585">
        <f t="shared" si="126"/>
        <v>102.412575458669</v>
      </c>
      <c r="S585">
        <f t="shared" si="121"/>
        <v>105.48684713799967</v>
      </c>
      <c r="T585">
        <f t="shared" si="127"/>
        <v>105.48684713799967</v>
      </c>
      <c r="U585" s="3">
        <f t="shared" si="128"/>
        <v>258.24533579809003</v>
      </c>
      <c r="V585">
        <f t="shared" si="120"/>
        <v>481</v>
      </c>
      <c r="W585" s="8">
        <f t="shared" si="122"/>
        <v>50.833394982030029</v>
      </c>
      <c r="X585" s="1">
        <f t="shared" si="129"/>
        <v>50.833394982030029</v>
      </c>
      <c r="Y585" s="18"/>
      <c r="Z585" s="7"/>
      <c r="AA585" s="1"/>
      <c r="AB585" s="1"/>
      <c r="AC585" s="1"/>
    </row>
    <row r="586" spans="1:29" x14ac:dyDescent="0.3">
      <c r="A586">
        <v>585</v>
      </c>
      <c r="E586">
        <v>-248.0132151672</v>
      </c>
      <c r="F586">
        <v>89.682866450874002</v>
      </c>
      <c r="G586">
        <v>329.39903221553999</v>
      </c>
      <c r="H586">
        <v>53.766593430771998</v>
      </c>
      <c r="I586">
        <v>-93.730556780430007</v>
      </c>
      <c r="J586">
        <v>258.74330912989001</v>
      </c>
      <c r="L586" s="1">
        <f t="shared" si="130"/>
        <v>3.3079361197099928</v>
      </c>
      <c r="M586">
        <f t="shared" si="131"/>
        <v>2066.3231519628885</v>
      </c>
      <c r="N586">
        <f t="shared" si="123"/>
        <v>5.7397865332302453</v>
      </c>
      <c r="O586">
        <f t="shared" si="124"/>
        <v>53.766593430771998</v>
      </c>
      <c r="P586">
        <f t="shared" si="125"/>
        <v>534</v>
      </c>
      <c r="Q586">
        <f t="shared" si="119"/>
        <v>102.433400906974</v>
      </c>
      <c r="R586">
        <f t="shared" si="126"/>
        <v>102.433400906974</v>
      </c>
      <c r="S586">
        <f t="shared" si="121"/>
        <v>105.51672012019181</v>
      </c>
      <c r="T586">
        <f t="shared" si="127"/>
        <v>105.51672012019181</v>
      </c>
      <c r="U586" s="3">
        <f t="shared" si="128"/>
        <v>258.74330912989001</v>
      </c>
      <c r="V586">
        <f t="shared" si="120"/>
        <v>482</v>
      </c>
      <c r="W586" s="8">
        <f t="shared" si="122"/>
        <v>50.844419074360019</v>
      </c>
      <c r="X586" s="1">
        <f t="shared" si="129"/>
        <v>50.844419074360019</v>
      </c>
      <c r="Y586" s="18"/>
      <c r="Z586" s="7"/>
      <c r="AA586" s="1"/>
      <c r="AB586" s="1"/>
      <c r="AC586" s="1"/>
    </row>
    <row r="587" spans="1:29" x14ac:dyDescent="0.3">
      <c r="A587">
        <v>586</v>
      </c>
      <c r="E587">
        <v>-247.69315929269999</v>
      </c>
      <c r="F587">
        <v>92.757855323563007</v>
      </c>
      <c r="G587">
        <v>328.83537018123002</v>
      </c>
      <c r="H587">
        <v>53.777568393639001</v>
      </c>
      <c r="I587">
        <v>-90.422247959420005</v>
      </c>
      <c r="J587">
        <v>259.23135400695998</v>
      </c>
      <c r="L587" s="1">
        <f t="shared" si="130"/>
        <v>3.3083088210100016</v>
      </c>
      <c r="M587">
        <f t="shared" si="131"/>
        <v>2069.6314607838985</v>
      </c>
      <c r="N587">
        <f t="shared" si="123"/>
        <v>5.7489762799552739</v>
      </c>
      <c r="O587">
        <f t="shared" si="124"/>
        <v>53.777568393639001</v>
      </c>
      <c r="P587">
        <f t="shared" si="125"/>
        <v>535</v>
      </c>
      <c r="Q587">
        <f t="shared" si="119"/>
        <v>102.454638364682</v>
      </c>
      <c r="R587">
        <f t="shared" si="126"/>
        <v>102.454638364682</v>
      </c>
      <c r="S587">
        <f t="shared" si="121"/>
        <v>105.53292348086853</v>
      </c>
      <c r="T587">
        <f t="shared" si="127"/>
        <v>105.53292348086853</v>
      </c>
      <c r="U587" s="3">
        <f t="shared" si="128"/>
        <v>259.23135400695998</v>
      </c>
      <c r="V587">
        <f t="shared" si="120"/>
        <v>483</v>
      </c>
      <c r="W587" s="8">
        <f t="shared" si="122"/>
        <v>50.837148991049986</v>
      </c>
      <c r="X587" s="1">
        <f t="shared" si="129"/>
        <v>50.837148991049986</v>
      </c>
      <c r="Y587" s="18"/>
      <c r="Z587" s="7"/>
      <c r="AA587" s="1"/>
      <c r="AB587" s="1"/>
      <c r="AC587" s="1"/>
    </row>
    <row r="588" spans="1:29" x14ac:dyDescent="0.3">
      <c r="A588">
        <v>587</v>
      </c>
      <c r="E588">
        <v>-247.3643039399</v>
      </c>
      <c r="F588">
        <v>95.861829830909002</v>
      </c>
      <c r="G588">
        <v>328.47035467887002</v>
      </c>
      <c r="H588">
        <v>53.766958010659003</v>
      </c>
      <c r="I588">
        <v>-87.112894294019995</v>
      </c>
      <c r="J588">
        <v>259.71340820097998</v>
      </c>
      <c r="L588" s="1">
        <f t="shared" si="130"/>
        <v>3.3093536654000104</v>
      </c>
      <c r="M588">
        <f t="shared" si="131"/>
        <v>2072.9408144492986</v>
      </c>
      <c r="N588">
        <f t="shared" si="123"/>
        <v>5.7581689290258291</v>
      </c>
      <c r="O588">
        <f t="shared" si="124"/>
        <v>53.766958010659003</v>
      </c>
      <c r="P588">
        <f t="shared" si="125"/>
        <v>536</v>
      </c>
      <c r="Q588">
        <f t="shared" si="119"/>
        <v>102.439738699933</v>
      </c>
      <c r="R588">
        <f t="shared" si="126"/>
        <v>102.439738699933</v>
      </c>
      <c r="S588">
        <f t="shared" si="121"/>
        <v>105.51315563755547</v>
      </c>
      <c r="T588">
        <f t="shared" si="127"/>
        <v>105.51315563755547</v>
      </c>
      <c r="U588" s="3">
        <f t="shared" si="128"/>
        <v>259.71340820097998</v>
      </c>
      <c r="V588">
        <f t="shared" si="120"/>
        <v>484</v>
      </c>
      <c r="W588" s="8">
        <f t="shared" si="122"/>
        <v>50.821170086909973</v>
      </c>
      <c r="X588" s="1">
        <f t="shared" si="129"/>
        <v>50.821170086909973</v>
      </c>
      <c r="Y588" s="18"/>
      <c r="Z588" s="7"/>
      <c r="AA588" s="1"/>
      <c r="AB588" s="1"/>
      <c r="AC588" s="1"/>
    </row>
    <row r="589" spans="1:29" x14ac:dyDescent="0.3">
      <c r="A589">
        <v>588</v>
      </c>
      <c r="E589">
        <v>-247.0120890908</v>
      </c>
      <c r="F589">
        <v>98.978921717888994</v>
      </c>
      <c r="G589">
        <v>328.28287954983</v>
      </c>
      <c r="H589">
        <v>53.756332034323997</v>
      </c>
      <c r="I589">
        <v>-83.804584450549996</v>
      </c>
      <c r="J589">
        <v>260.20502455305001</v>
      </c>
      <c r="L589" s="1">
        <f t="shared" si="130"/>
        <v>3.3083098434699991</v>
      </c>
      <c r="M589">
        <f t="shared" si="131"/>
        <v>2076.2491242927686</v>
      </c>
      <c r="N589">
        <f t="shared" si="123"/>
        <v>5.767358678591024</v>
      </c>
      <c r="O589">
        <f t="shared" si="124"/>
        <v>53.756332034323997</v>
      </c>
      <c r="P589">
        <f t="shared" si="125"/>
        <v>536</v>
      </c>
      <c r="Q589">
        <f t="shared" si="119"/>
        <v>102.429112723598</v>
      </c>
      <c r="R589">
        <f t="shared" si="126"/>
        <v>102.429112723598</v>
      </c>
      <c r="S589">
        <f t="shared" si="121"/>
        <v>105.57358350334084</v>
      </c>
      <c r="T589">
        <f t="shared" si="127"/>
        <v>105.57358350334084</v>
      </c>
      <c r="U589" s="3">
        <f t="shared" si="128"/>
        <v>260.20502455305001</v>
      </c>
      <c r="V589">
        <f t="shared" si="120"/>
        <v>485</v>
      </c>
      <c r="W589" s="8">
        <f t="shared" si="122"/>
        <v>50.82259346730001</v>
      </c>
      <c r="X589" s="1">
        <f t="shared" si="129"/>
        <v>50.82259346730001</v>
      </c>
      <c r="Y589" s="18"/>
      <c r="Z589" s="7"/>
      <c r="AA589" s="1"/>
      <c r="AB589" s="1"/>
      <c r="AC589" s="1"/>
    </row>
    <row r="590" spans="1:29" x14ac:dyDescent="0.3">
      <c r="A590">
        <v>589</v>
      </c>
      <c r="E590">
        <v>-246.63521647580001</v>
      </c>
      <c r="F590">
        <v>102.09900535188</v>
      </c>
      <c r="G590">
        <v>328.28348198006</v>
      </c>
      <c r="H590">
        <v>53.735384054192998</v>
      </c>
      <c r="I590">
        <v>-80.496740459329999</v>
      </c>
      <c r="J590">
        <v>260.70624275277999</v>
      </c>
      <c r="L590" s="1">
        <f t="shared" si="130"/>
        <v>3.3078439912199968</v>
      </c>
      <c r="M590">
        <f t="shared" si="131"/>
        <v>2079.5569682839887</v>
      </c>
      <c r="N590">
        <f t="shared" si="123"/>
        <v>5.7765471341221906</v>
      </c>
      <c r="O590">
        <f t="shared" si="124"/>
        <v>53.735384054192998</v>
      </c>
      <c r="P590">
        <f t="shared" si="125"/>
        <v>537</v>
      </c>
      <c r="Q590">
        <f t="shared" si="119"/>
        <v>102.399563538298</v>
      </c>
      <c r="R590">
        <f t="shared" si="126"/>
        <v>102.399563538298</v>
      </c>
      <c r="S590">
        <f t="shared" si="121"/>
        <v>105.56280203477159</v>
      </c>
      <c r="T590">
        <f t="shared" si="127"/>
        <v>105.56280203477159</v>
      </c>
      <c r="U590" s="3">
        <f t="shared" si="128"/>
        <v>260.70624275277999</v>
      </c>
      <c r="V590">
        <f t="shared" si="120"/>
        <v>486</v>
      </c>
      <c r="W590" s="8">
        <f t="shared" si="122"/>
        <v>50.837709535279998</v>
      </c>
      <c r="X590" s="1">
        <f t="shared" si="129"/>
        <v>50.837709535279998</v>
      </c>
      <c r="Y590" s="18"/>
      <c r="Z590" s="7"/>
      <c r="AA590" s="1"/>
      <c r="AB590" s="1"/>
      <c r="AC590" s="1"/>
    </row>
    <row r="591" spans="1:29" x14ac:dyDescent="0.3">
      <c r="A591">
        <v>590</v>
      </c>
      <c r="E591">
        <v>-246.26595605610001</v>
      </c>
      <c r="F591">
        <v>105.21399715622999</v>
      </c>
      <c r="G591">
        <v>328.47268067073998</v>
      </c>
      <c r="H591">
        <v>53.706334903045999</v>
      </c>
      <c r="I591">
        <v>-77.183850618380006</v>
      </c>
      <c r="J591">
        <v>261.18455526461997</v>
      </c>
      <c r="L591" s="1">
        <f t="shared" si="130"/>
        <v>3.3128898409499925</v>
      </c>
      <c r="M591">
        <f t="shared" si="131"/>
        <v>2082.8698581249387</v>
      </c>
      <c r="N591">
        <f t="shared" si="123"/>
        <v>5.7857496059026072</v>
      </c>
      <c r="O591">
        <f t="shared" si="124"/>
        <v>53.706334903045999</v>
      </c>
      <c r="P591">
        <f t="shared" si="125"/>
        <v>538</v>
      </c>
      <c r="Q591">
        <f t="shared" si="119"/>
        <v>102.379370607825</v>
      </c>
      <c r="R591">
        <f t="shared" si="126"/>
        <v>102.379370607825</v>
      </c>
      <c r="S591">
        <f t="shared" si="121"/>
        <v>105.55475658473436</v>
      </c>
      <c r="T591">
        <f t="shared" si="127"/>
        <v>105.55475658473436</v>
      </c>
      <c r="U591" s="3">
        <f t="shared" si="128"/>
        <v>261.18455526461997</v>
      </c>
      <c r="V591">
        <f t="shared" si="120"/>
        <v>487</v>
      </c>
      <c r="W591" s="8">
        <f t="shared" si="122"/>
        <v>50.812357665519983</v>
      </c>
      <c r="X591" s="1">
        <f t="shared" si="129"/>
        <v>50.812357665519983</v>
      </c>
      <c r="Y591" s="18"/>
      <c r="Z591" s="7"/>
      <c r="AA591" s="1"/>
      <c r="AB591" s="1"/>
      <c r="AC591" s="1"/>
    </row>
    <row r="592" spans="1:29" x14ac:dyDescent="0.3">
      <c r="A592">
        <v>591</v>
      </c>
      <c r="E592">
        <v>-245.86948584269999</v>
      </c>
      <c r="F592">
        <v>108.30815198902</v>
      </c>
      <c r="G592">
        <v>328.85363086798998</v>
      </c>
      <c r="H592">
        <v>53.662338143235999</v>
      </c>
      <c r="I592">
        <v>-73.870570525559998</v>
      </c>
      <c r="J592">
        <v>261.67375519557999</v>
      </c>
      <c r="L592" s="1">
        <f t="shared" si="130"/>
        <v>3.3132800928200083</v>
      </c>
      <c r="M592">
        <f t="shared" si="131"/>
        <v>2086.1831382177588</v>
      </c>
      <c r="N592">
        <f t="shared" si="123"/>
        <v>5.7949531617159966</v>
      </c>
      <c r="O592">
        <f t="shared" si="124"/>
        <v>53.662338143235999</v>
      </c>
      <c r="P592">
        <f t="shared" si="125"/>
        <v>539</v>
      </c>
      <c r="Q592">
        <f t="shared" si="119"/>
        <v>102.372882287115</v>
      </c>
      <c r="R592">
        <f t="shared" si="126"/>
        <v>102.372882287115</v>
      </c>
      <c r="S592">
        <f t="shared" si="121"/>
        <v>105.55752275753531</v>
      </c>
      <c r="T592">
        <f t="shared" si="127"/>
        <v>105.55752275753531</v>
      </c>
      <c r="U592" s="3">
        <f t="shared" si="128"/>
        <v>261.67375519557999</v>
      </c>
      <c r="V592">
        <f t="shared" si="120"/>
        <v>488</v>
      </c>
      <c r="W592" s="8">
        <f t="shared" si="122"/>
        <v>50.813212332179972</v>
      </c>
      <c r="X592" s="1">
        <f t="shared" si="129"/>
        <v>50.813212332179972</v>
      </c>
      <c r="Y592" s="18"/>
      <c r="Z592" s="7"/>
      <c r="AA592" s="1"/>
      <c r="AB592" s="1"/>
      <c r="AC592" s="1"/>
    </row>
    <row r="593" spans="1:29" x14ac:dyDescent="0.3">
      <c r="A593">
        <v>592</v>
      </c>
      <c r="E593">
        <v>-245.44915281670001</v>
      </c>
      <c r="F593">
        <v>111.37003544897</v>
      </c>
      <c r="G593">
        <v>329.42302423851999</v>
      </c>
      <c r="H593">
        <v>53.605325613632999</v>
      </c>
      <c r="I593">
        <v>-70.555659620309996</v>
      </c>
      <c r="J593">
        <v>262.17031283350002</v>
      </c>
      <c r="L593" s="1">
        <f t="shared" si="130"/>
        <v>3.3149109052500023</v>
      </c>
      <c r="M593">
        <f t="shared" si="131"/>
        <v>2089.498049123009</v>
      </c>
      <c r="N593">
        <f t="shared" si="123"/>
        <v>5.8041612475639139</v>
      </c>
      <c r="O593">
        <f t="shared" si="124"/>
        <v>53.605325613632999</v>
      </c>
      <c r="P593">
        <f t="shared" si="125"/>
        <v>540</v>
      </c>
      <c r="Q593">
        <f t="shared" si="119"/>
        <v>102.363955932908</v>
      </c>
      <c r="R593">
        <f t="shared" si="126"/>
        <v>102.363955932908</v>
      </c>
      <c r="S593">
        <f t="shared" si="121"/>
        <v>105.55562773295438</v>
      </c>
      <c r="T593">
        <f t="shared" si="127"/>
        <v>105.55562773295438</v>
      </c>
      <c r="U593" s="3">
        <f t="shared" si="128"/>
        <v>262.17031283350002</v>
      </c>
      <c r="V593">
        <f t="shared" si="120"/>
        <v>489</v>
      </c>
      <c r="W593" s="8">
        <f t="shared" si="122"/>
        <v>50.82636953829001</v>
      </c>
      <c r="X593" s="1">
        <f t="shared" si="129"/>
        <v>50.82636953829001</v>
      </c>
      <c r="Y593" s="18"/>
      <c r="Z593" s="7"/>
      <c r="AA593" s="1"/>
      <c r="AB593" s="1"/>
      <c r="AC593" s="1"/>
    </row>
    <row r="594" spans="1:29" x14ac:dyDescent="0.3">
      <c r="A594">
        <v>593</v>
      </c>
      <c r="E594">
        <v>-245.02992817660001</v>
      </c>
      <c r="F594">
        <v>114.39287514679</v>
      </c>
      <c r="G594">
        <v>330.17333278963002</v>
      </c>
      <c r="H594">
        <v>53.543759598172997</v>
      </c>
      <c r="I594">
        <v>-67.234238457710006</v>
      </c>
      <c r="J594">
        <v>262.64968792394001</v>
      </c>
      <c r="L594" s="1">
        <f t="shared" si="130"/>
        <v>3.3214211625999894</v>
      </c>
      <c r="M594">
        <f t="shared" si="131"/>
        <v>2092.819470285609</v>
      </c>
      <c r="N594">
        <f t="shared" si="123"/>
        <v>5.8133874174600253</v>
      </c>
      <c r="O594">
        <f t="shared" si="124"/>
        <v>53.543759598172997</v>
      </c>
      <c r="P594">
        <f t="shared" si="125"/>
        <v>541</v>
      </c>
      <c r="Q594">
        <f t="shared" ref="Q594:Q657" si="132">IF(P594=0,0,O594+INDEX(O:O,P594))</f>
        <v>102.37625341646299</v>
      </c>
      <c r="R594">
        <f t="shared" si="126"/>
        <v>102.37625341646299</v>
      </c>
      <c r="S594">
        <f t="shared" si="121"/>
        <v>105.57048472683817</v>
      </c>
      <c r="T594">
        <f t="shared" si="127"/>
        <v>105.57048472683817</v>
      </c>
      <c r="U594" s="3">
        <f t="shared" si="128"/>
        <v>262.64968792394001</v>
      </c>
      <c r="V594">
        <f t="shared" si="120"/>
        <v>490</v>
      </c>
      <c r="W594" s="8">
        <f t="shared" si="122"/>
        <v>50.822458869730013</v>
      </c>
      <c r="X594" s="1">
        <f t="shared" si="129"/>
        <v>50.822458869730013</v>
      </c>
      <c r="Y594" s="18"/>
      <c r="Z594" s="7"/>
      <c r="AA594" s="1"/>
      <c r="AB594" s="1"/>
      <c r="AC594" s="1"/>
    </row>
    <row r="595" spans="1:29" x14ac:dyDescent="0.3">
      <c r="A595">
        <v>594</v>
      </c>
      <c r="E595">
        <v>-244.57829434440001</v>
      </c>
      <c r="F595">
        <v>117.36013008463</v>
      </c>
      <c r="G595">
        <v>331.10484759927999</v>
      </c>
      <c r="H595">
        <v>53.470576716482</v>
      </c>
      <c r="I595">
        <v>-63.911507267099999</v>
      </c>
      <c r="J595">
        <v>263.14457191424998</v>
      </c>
      <c r="L595" s="1">
        <f t="shared" si="130"/>
        <v>3.322731190610007</v>
      </c>
      <c r="M595">
        <f t="shared" si="131"/>
        <v>2096.1422014762188</v>
      </c>
      <c r="N595">
        <f t="shared" si="123"/>
        <v>5.82261722632283</v>
      </c>
      <c r="O595">
        <f t="shared" si="124"/>
        <v>53.470576716482</v>
      </c>
      <c r="P595">
        <f t="shared" si="125"/>
        <v>542</v>
      </c>
      <c r="Q595">
        <f t="shared" si="132"/>
        <v>102.36542231497199</v>
      </c>
      <c r="R595">
        <f t="shared" si="126"/>
        <v>102.36542231497199</v>
      </c>
      <c r="S595">
        <f t="shared" si="121"/>
        <v>105.56796148156238</v>
      </c>
      <c r="T595">
        <f t="shared" si="127"/>
        <v>105.56796148156238</v>
      </c>
      <c r="U595" s="3">
        <f t="shared" si="128"/>
        <v>263.14457191424998</v>
      </c>
      <c r="V595">
        <f t="shared" si="120"/>
        <v>491</v>
      </c>
      <c r="W595" s="8">
        <f t="shared" si="122"/>
        <v>50.824390254989993</v>
      </c>
      <c r="X595" s="1">
        <f t="shared" si="129"/>
        <v>50.824390254989993</v>
      </c>
      <c r="Y595" s="18"/>
      <c r="Z595" s="7"/>
      <c r="AA595" s="1"/>
      <c r="AB595" s="1"/>
      <c r="AC595" s="1"/>
    </row>
    <row r="596" spans="1:29" x14ac:dyDescent="0.3">
      <c r="A596">
        <v>595</v>
      </c>
      <c r="E596">
        <v>-244.1066702972</v>
      </c>
      <c r="F596">
        <v>120.26216911074999</v>
      </c>
      <c r="G596">
        <v>332.21480938536001</v>
      </c>
      <c r="H596">
        <v>53.386432599357001</v>
      </c>
      <c r="I596">
        <v>-60.584694248940004</v>
      </c>
      <c r="J596">
        <v>263.64242846516998</v>
      </c>
      <c r="L596" s="1">
        <f t="shared" si="130"/>
        <v>3.3268130181599957</v>
      </c>
      <c r="M596">
        <f t="shared" si="131"/>
        <v>2099.4690144943788</v>
      </c>
      <c r="N596">
        <f t="shared" si="123"/>
        <v>5.8318583735954963</v>
      </c>
      <c r="O596">
        <f t="shared" si="124"/>
        <v>53.386432599357001</v>
      </c>
      <c r="P596">
        <f t="shared" si="125"/>
        <v>543</v>
      </c>
      <c r="Q596">
        <f t="shared" si="132"/>
        <v>102.34005260190301</v>
      </c>
      <c r="R596">
        <f t="shared" si="126"/>
        <v>102.34005260190301</v>
      </c>
      <c r="S596">
        <f t="shared" si="121"/>
        <v>105.55227766802292</v>
      </c>
      <c r="T596">
        <f t="shared" si="127"/>
        <v>105.55227766802292</v>
      </c>
      <c r="U596" s="3">
        <f t="shared" si="128"/>
        <v>263.64242846516998</v>
      </c>
      <c r="V596">
        <f t="shared" si="120"/>
        <v>492</v>
      </c>
      <c r="W596" s="8">
        <f t="shared" si="122"/>
        <v>50.817834493509991</v>
      </c>
      <c r="X596" s="1">
        <f t="shared" si="129"/>
        <v>50.817834493509991</v>
      </c>
      <c r="Y596" s="18"/>
      <c r="Z596" s="7"/>
      <c r="AA596" s="1"/>
      <c r="AB596" s="1"/>
      <c r="AC596" s="1"/>
    </row>
    <row r="597" spans="1:29" x14ac:dyDescent="0.3">
      <c r="A597">
        <v>596</v>
      </c>
      <c r="E597">
        <v>-243.63203334950001</v>
      </c>
      <c r="F597">
        <v>123.08166458962999</v>
      </c>
      <c r="G597">
        <v>333.51956638890999</v>
      </c>
      <c r="H597">
        <v>53.271664984090002</v>
      </c>
      <c r="I597">
        <v>-57.249858483419999</v>
      </c>
      <c r="J597">
        <v>264.12433894967</v>
      </c>
      <c r="L597" s="1">
        <f t="shared" si="130"/>
        <v>3.3348357655200047</v>
      </c>
      <c r="M597">
        <f t="shared" si="131"/>
        <v>2102.8038502598988</v>
      </c>
      <c r="N597">
        <f t="shared" si="123"/>
        <v>5.8411218062774966</v>
      </c>
      <c r="O597">
        <f t="shared" si="124"/>
        <v>53.271664984090002</v>
      </c>
      <c r="P597">
        <f t="shared" si="125"/>
        <v>544</v>
      </c>
      <c r="Q597">
        <f t="shared" si="132"/>
        <v>102.29111916268499</v>
      </c>
      <c r="R597">
        <f t="shared" si="126"/>
        <v>102.29111916268499</v>
      </c>
      <c r="S597">
        <f t="shared" si="121"/>
        <v>105.50849459948581</v>
      </c>
      <c r="T597">
        <f t="shared" si="127"/>
        <v>105.50849459948581</v>
      </c>
      <c r="U597" s="3">
        <f t="shared" si="128"/>
        <v>264.12433894967</v>
      </c>
      <c r="V597">
        <f t="shared" si="120"/>
        <v>493</v>
      </c>
      <c r="W597" s="8">
        <f t="shared" si="122"/>
        <v>50.811196502569999</v>
      </c>
      <c r="X597" s="1">
        <f t="shared" si="129"/>
        <v>50.811196502569999</v>
      </c>
      <c r="Y597" s="18"/>
      <c r="Z597" s="7"/>
      <c r="AA597" s="1"/>
      <c r="AB597" s="1"/>
      <c r="AC597" s="1"/>
    </row>
    <row r="598" spans="1:29" x14ac:dyDescent="0.3">
      <c r="A598">
        <v>597</v>
      </c>
      <c r="E598">
        <v>-243.1363739032</v>
      </c>
      <c r="F598">
        <v>125.83136550645</v>
      </c>
      <c r="G598">
        <v>334.9583070031</v>
      </c>
      <c r="H598">
        <v>53.185459611704999</v>
      </c>
      <c r="I598">
        <v>-53.909098391839997</v>
      </c>
      <c r="J598">
        <v>264.61362971906999</v>
      </c>
      <c r="L598" s="1">
        <f t="shared" si="130"/>
        <v>3.3407600915800018</v>
      </c>
      <c r="M598">
        <f t="shared" si="131"/>
        <v>2106.1446103514786</v>
      </c>
      <c r="N598">
        <f t="shared" si="123"/>
        <v>5.850401695420774</v>
      </c>
      <c r="O598">
        <f t="shared" si="124"/>
        <v>53.185459611704999</v>
      </c>
      <c r="P598">
        <f t="shared" si="125"/>
        <v>545</v>
      </c>
      <c r="Q598">
        <f t="shared" si="132"/>
        <v>102.28781329571899</v>
      </c>
      <c r="R598">
        <f t="shared" si="126"/>
        <v>102.28781329571899</v>
      </c>
      <c r="S598">
        <f t="shared" si="121"/>
        <v>105.50346017381402</v>
      </c>
      <c r="T598">
        <f t="shared" si="127"/>
        <v>105.50346017381402</v>
      </c>
      <c r="U598" s="3">
        <f t="shared" si="128"/>
        <v>264.61362971906999</v>
      </c>
      <c r="V598">
        <f t="shared" si="120"/>
        <v>494</v>
      </c>
      <c r="W598" s="8">
        <f t="shared" si="122"/>
        <v>50.815189595549981</v>
      </c>
      <c r="X598" s="1">
        <f t="shared" si="129"/>
        <v>50.815189595549981</v>
      </c>
      <c r="Y598" s="18"/>
      <c r="Z598" s="7"/>
      <c r="AA598" s="1"/>
      <c r="AB598" s="1"/>
      <c r="AC598" s="1"/>
    </row>
    <row r="599" spans="1:29" x14ac:dyDescent="0.3">
      <c r="A599">
        <v>598</v>
      </c>
      <c r="E599">
        <v>-242.6383081651</v>
      </c>
      <c r="F599">
        <v>128.49534500099</v>
      </c>
      <c r="G599">
        <v>336.54912905572002</v>
      </c>
      <c r="H599">
        <v>53.106367334384998</v>
      </c>
      <c r="I599">
        <v>-50.560877448280003</v>
      </c>
      <c r="J599">
        <v>265.08966614334997</v>
      </c>
      <c r="L599" s="1">
        <f t="shared" si="130"/>
        <v>3.3482209435599941</v>
      </c>
      <c r="M599">
        <f t="shared" si="131"/>
        <v>2109.4928312950387</v>
      </c>
      <c r="N599">
        <f t="shared" si="123"/>
        <v>5.859702309152885</v>
      </c>
      <c r="O599">
        <f t="shared" si="124"/>
        <v>53.106367334384998</v>
      </c>
      <c r="P599">
        <f t="shared" si="125"/>
        <v>546</v>
      </c>
      <c r="Q599">
        <f t="shared" si="132"/>
        <v>102.309110416102</v>
      </c>
      <c r="R599">
        <f t="shared" si="126"/>
        <v>102.309110416102</v>
      </c>
      <c r="S599">
        <f t="shared" si="121"/>
        <v>105.52059865349952</v>
      </c>
      <c r="T599">
        <f t="shared" si="127"/>
        <v>105.52059865349952</v>
      </c>
      <c r="U599" s="3">
        <f t="shared" si="128"/>
        <v>265.08966614334997</v>
      </c>
      <c r="V599">
        <f t="shared" si="120"/>
        <v>495</v>
      </c>
      <c r="W599" s="8">
        <f t="shared" si="122"/>
        <v>50.800572142679982</v>
      </c>
      <c r="X599" s="1">
        <f t="shared" si="129"/>
        <v>50.800572142679982</v>
      </c>
      <c r="Y599" s="18"/>
      <c r="Z599" s="7"/>
      <c r="AA599" s="1"/>
      <c r="AB599" s="1"/>
      <c r="AC599" s="1"/>
    </row>
    <row r="600" spans="1:29" x14ac:dyDescent="0.3">
      <c r="A600">
        <v>599</v>
      </c>
      <c r="E600">
        <v>-242.10082790519999</v>
      </c>
      <c r="F600">
        <v>131.04036120698001</v>
      </c>
      <c r="G600">
        <v>338.31265850445999</v>
      </c>
      <c r="H600">
        <v>52.996438469990998</v>
      </c>
      <c r="I600">
        <v>-47.211114024319997</v>
      </c>
      <c r="J600">
        <v>265.58631211515001</v>
      </c>
      <c r="L600" s="1">
        <f t="shared" si="130"/>
        <v>3.349763423960006</v>
      </c>
      <c r="M600">
        <f t="shared" si="131"/>
        <v>2112.842594718999</v>
      </c>
      <c r="N600">
        <f t="shared" si="123"/>
        <v>5.8690072075527748</v>
      </c>
      <c r="O600">
        <f t="shared" si="124"/>
        <v>52.996438469990998</v>
      </c>
      <c r="P600">
        <f t="shared" si="125"/>
        <v>547</v>
      </c>
      <c r="Q600">
        <f t="shared" si="132"/>
        <v>102.30756781518099</v>
      </c>
      <c r="R600">
        <f t="shared" si="126"/>
        <v>102.30756781518099</v>
      </c>
      <c r="S600">
        <f t="shared" si="121"/>
        <v>105.51896776198119</v>
      </c>
      <c r="T600">
        <f t="shared" si="127"/>
        <v>105.51896776198119</v>
      </c>
      <c r="U600" s="3">
        <f t="shared" si="128"/>
        <v>265.58631211515001</v>
      </c>
      <c r="V600">
        <f t="shared" si="120"/>
        <v>496</v>
      </c>
      <c r="W600" s="8">
        <f t="shared" si="122"/>
        <v>50.802564013220007</v>
      </c>
      <c r="X600" s="1">
        <f t="shared" si="129"/>
        <v>50.802564013220007</v>
      </c>
      <c r="Y600" s="18"/>
      <c r="Z600" s="7"/>
      <c r="AA600" s="1"/>
      <c r="AB600" s="1"/>
      <c r="AC600" s="1"/>
    </row>
    <row r="601" spans="1:29" x14ac:dyDescent="0.3">
      <c r="A601">
        <v>600</v>
      </c>
      <c r="E601">
        <v>-241.54620758639999</v>
      </c>
      <c r="F601">
        <v>133.46394823512</v>
      </c>
      <c r="G601">
        <v>340.2347648969</v>
      </c>
      <c r="H601">
        <v>52.867624810502001</v>
      </c>
      <c r="I601">
        <v>-43.854514356259997</v>
      </c>
      <c r="J601">
        <v>266.08241630974999</v>
      </c>
      <c r="L601" s="1">
        <f t="shared" si="130"/>
        <v>3.3565996680599994</v>
      </c>
      <c r="M601">
        <f t="shared" si="131"/>
        <v>2116.1991943870589</v>
      </c>
      <c r="N601">
        <f t="shared" si="123"/>
        <v>5.8783310955196084</v>
      </c>
      <c r="O601">
        <f t="shared" si="124"/>
        <v>52.867624810502001</v>
      </c>
      <c r="P601">
        <f t="shared" si="125"/>
        <v>547</v>
      </c>
      <c r="Q601">
        <f t="shared" si="132"/>
        <v>102.17875415569199</v>
      </c>
      <c r="R601">
        <f t="shared" si="126"/>
        <v>102.17875415569199</v>
      </c>
      <c r="S601">
        <f t="shared" si="121"/>
        <v>105.47060380669275</v>
      </c>
      <c r="T601">
        <f t="shared" si="127"/>
        <v>105.47060380669275</v>
      </c>
      <c r="U601" s="3">
        <f t="shared" si="128"/>
        <v>266.08241630974999</v>
      </c>
      <c r="V601">
        <f t="shared" si="120"/>
        <v>497</v>
      </c>
      <c r="W601" s="8">
        <f t="shared" si="122"/>
        <v>50.811223757109985</v>
      </c>
      <c r="X601" s="1">
        <f t="shared" si="129"/>
        <v>50.811223757109985</v>
      </c>
      <c r="Y601" s="18"/>
      <c r="Z601" s="7"/>
      <c r="AA601" s="1"/>
      <c r="AB601" s="1"/>
      <c r="AC601" s="1"/>
    </row>
    <row r="602" spans="1:29" x14ac:dyDescent="0.3">
      <c r="A602">
        <v>601</v>
      </c>
      <c r="E602">
        <v>-240.97681914489999</v>
      </c>
      <c r="F602">
        <v>135.77704578353001</v>
      </c>
      <c r="G602">
        <v>342.28459374824001</v>
      </c>
      <c r="H602">
        <v>52.751282749738998</v>
      </c>
      <c r="I602">
        <v>-40.489492081709997</v>
      </c>
      <c r="J602">
        <v>266.57853128246001</v>
      </c>
      <c r="L602" s="1">
        <f t="shared" si="130"/>
        <v>3.3650222745500002</v>
      </c>
      <c r="M602">
        <f t="shared" si="131"/>
        <v>2119.564216661609</v>
      </c>
      <c r="N602">
        <f t="shared" si="123"/>
        <v>5.88767837961558</v>
      </c>
      <c r="O602">
        <f t="shared" si="124"/>
        <v>52.751282749738998</v>
      </c>
      <c r="P602">
        <f t="shared" si="125"/>
        <v>548</v>
      </c>
      <c r="Q602">
        <f t="shared" si="132"/>
        <v>102.189601552543</v>
      </c>
      <c r="R602">
        <f t="shared" si="126"/>
        <v>102.189601552543</v>
      </c>
      <c r="S602">
        <f t="shared" si="121"/>
        <v>105.49332339398592</v>
      </c>
      <c r="T602">
        <f t="shared" si="127"/>
        <v>105.49332339398592</v>
      </c>
      <c r="U602" s="3">
        <f t="shared" si="128"/>
        <v>266.57853128246001</v>
      </c>
      <c r="V602">
        <f t="shared" si="120"/>
        <v>498</v>
      </c>
      <c r="W602" s="8">
        <f t="shared" si="122"/>
        <v>50.810847999809994</v>
      </c>
      <c r="X602" s="1">
        <f t="shared" si="129"/>
        <v>50.810847999809994</v>
      </c>
      <c r="Y602" s="18"/>
      <c r="Z602" s="7"/>
      <c r="AA602" s="1"/>
      <c r="AB602" s="1"/>
      <c r="AC602" s="1"/>
    </row>
    <row r="603" spans="1:29" x14ac:dyDescent="0.3">
      <c r="A603">
        <v>602</v>
      </c>
      <c r="E603">
        <v>-240.39069714339999</v>
      </c>
      <c r="F603">
        <v>137.95270817474</v>
      </c>
      <c r="G603">
        <v>344.47515462797003</v>
      </c>
      <c r="H603">
        <v>52.619946509136</v>
      </c>
      <c r="I603">
        <v>-37.117324369450003</v>
      </c>
      <c r="J603">
        <v>267.07448420754997</v>
      </c>
      <c r="L603" s="1">
        <f t="shared" si="130"/>
        <v>3.3721677122599942</v>
      </c>
      <c r="M603">
        <f t="shared" si="131"/>
        <v>2122.9363843738688</v>
      </c>
      <c r="N603">
        <f t="shared" si="123"/>
        <v>5.8970455121496359</v>
      </c>
      <c r="O603">
        <f t="shared" si="124"/>
        <v>52.619946509136</v>
      </c>
      <c r="P603">
        <f t="shared" si="125"/>
        <v>549</v>
      </c>
      <c r="Q603">
        <f t="shared" si="132"/>
        <v>102.18092867404201</v>
      </c>
      <c r="R603">
        <f t="shared" si="126"/>
        <v>102.18092867404201</v>
      </c>
      <c r="S603">
        <f t="shared" si="121"/>
        <v>105.49510937018219</v>
      </c>
      <c r="T603">
        <f t="shared" si="127"/>
        <v>105.49510937018219</v>
      </c>
      <c r="U603" s="3">
        <f t="shared" si="128"/>
        <v>267.07448420754997</v>
      </c>
      <c r="V603">
        <f t="shared" si="120"/>
        <v>499</v>
      </c>
      <c r="W603" s="8">
        <f t="shared" si="122"/>
        <v>50.826085971439966</v>
      </c>
      <c r="X603" s="1">
        <f t="shared" si="129"/>
        <v>50.826085971439966</v>
      </c>
      <c r="Y603" s="18"/>
      <c r="Z603" s="7"/>
      <c r="AA603" s="1"/>
      <c r="AB603" s="1"/>
      <c r="AC603" s="1"/>
    </row>
    <row r="604" spans="1:29" x14ac:dyDescent="0.3">
      <c r="A604">
        <v>603</v>
      </c>
      <c r="E604">
        <v>-239.8125838702</v>
      </c>
      <c r="F604">
        <v>139.98058926877999</v>
      </c>
      <c r="G604">
        <v>346.80545924303999</v>
      </c>
      <c r="H604">
        <v>52.469551930511997</v>
      </c>
      <c r="I604">
        <v>-33.732566018139998</v>
      </c>
      <c r="J604">
        <v>267.54529434207001</v>
      </c>
      <c r="L604" s="1">
        <f t="shared" si="130"/>
        <v>3.3847583513100048</v>
      </c>
      <c r="M604">
        <f t="shared" si="131"/>
        <v>2126.321142725179</v>
      </c>
      <c r="N604">
        <f t="shared" si="123"/>
        <v>5.9064476186810531</v>
      </c>
      <c r="O604">
        <f t="shared" si="124"/>
        <v>52.469551930511997</v>
      </c>
      <c r="P604">
        <f t="shared" si="125"/>
        <v>550</v>
      </c>
      <c r="Q604">
        <f t="shared" si="132"/>
        <v>102.16034395462501</v>
      </c>
      <c r="R604">
        <f t="shared" si="126"/>
        <v>102.16034395462501</v>
      </c>
      <c r="S604">
        <f t="shared" si="121"/>
        <v>105.47661176345009</v>
      </c>
      <c r="T604">
        <f t="shared" si="127"/>
        <v>105.47661176345009</v>
      </c>
      <c r="U604" s="3">
        <f t="shared" si="128"/>
        <v>267.54529434207001</v>
      </c>
      <c r="V604">
        <f t="shared" si="120"/>
        <v>500</v>
      </c>
      <c r="W604" s="8">
        <f t="shared" si="122"/>
        <v>50.825176225020016</v>
      </c>
      <c r="X604" s="1">
        <f t="shared" si="129"/>
        <v>50.825176225020016</v>
      </c>
      <c r="Y604" s="18"/>
      <c r="Z604" s="7"/>
      <c r="AA604" s="1"/>
      <c r="AB604" s="1"/>
      <c r="AC604" s="1"/>
    </row>
    <row r="605" spans="1:29" x14ac:dyDescent="0.3">
      <c r="A605">
        <v>604</v>
      </c>
      <c r="E605">
        <v>-239.19434831219999</v>
      </c>
      <c r="F605">
        <v>141.85150818846</v>
      </c>
      <c r="G605">
        <v>349.25359914757001</v>
      </c>
      <c r="H605">
        <v>52.304093399701003</v>
      </c>
      <c r="I605">
        <v>-30.34271691775</v>
      </c>
      <c r="J605">
        <v>268.04028423445999</v>
      </c>
      <c r="L605" s="1">
        <f t="shared" si="130"/>
        <v>3.3898491003899984</v>
      </c>
      <c r="M605">
        <f t="shared" si="131"/>
        <v>2129.7109918255692</v>
      </c>
      <c r="N605">
        <f t="shared" si="123"/>
        <v>5.9158638661821366</v>
      </c>
      <c r="O605">
        <f t="shared" si="124"/>
        <v>52.304093399701003</v>
      </c>
      <c r="P605">
        <f t="shared" si="125"/>
        <v>551</v>
      </c>
      <c r="Q605">
        <f t="shared" si="132"/>
        <v>102.11915344625601</v>
      </c>
      <c r="R605">
        <f t="shared" si="126"/>
        <v>102.11915344625601</v>
      </c>
      <c r="S605">
        <f t="shared" si="121"/>
        <v>105.44262919518854</v>
      </c>
      <c r="T605">
        <f t="shared" si="127"/>
        <v>105.44262919518854</v>
      </c>
      <c r="U605" s="3">
        <f t="shared" si="128"/>
        <v>268.04028423445999</v>
      </c>
      <c r="V605">
        <f t="shared" si="120"/>
        <v>501</v>
      </c>
      <c r="W605" s="8">
        <f t="shared" si="122"/>
        <v>50.800720891849977</v>
      </c>
      <c r="X605" s="1">
        <f t="shared" si="129"/>
        <v>50.800720891849977</v>
      </c>
      <c r="Y605" s="18"/>
      <c r="Z605" s="7"/>
      <c r="AA605" s="1"/>
      <c r="AB605" s="1"/>
      <c r="AC605" s="1"/>
    </row>
    <row r="606" spans="1:29" x14ac:dyDescent="0.3">
      <c r="A606">
        <v>605</v>
      </c>
      <c r="E606">
        <v>-238.56336361690001</v>
      </c>
      <c r="F606">
        <v>143.59151621544001</v>
      </c>
      <c r="G606">
        <v>351.79313318162002</v>
      </c>
      <c r="H606">
        <v>52.162343614325998</v>
      </c>
      <c r="I606">
        <v>-26.941789615379999</v>
      </c>
      <c r="J606">
        <v>268.53536217888001</v>
      </c>
      <c r="L606" s="1">
        <f t="shared" si="130"/>
        <v>3.4009273023700004</v>
      </c>
      <c r="M606">
        <f t="shared" si="131"/>
        <v>2133.111919127939</v>
      </c>
      <c r="N606">
        <f t="shared" si="123"/>
        <v>5.9253108864664972</v>
      </c>
      <c r="O606">
        <f t="shared" si="124"/>
        <v>52.162343614325998</v>
      </c>
      <c r="P606">
        <f t="shared" si="125"/>
        <v>552</v>
      </c>
      <c r="Q606">
        <f t="shared" si="132"/>
        <v>102.11634149877099</v>
      </c>
      <c r="R606">
        <f t="shared" si="126"/>
        <v>102.11634149877099</v>
      </c>
      <c r="S606">
        <f t="shared" si="121"/>
        <v>105.4432104098682</v>
      </c>
      <c r="T606">
        <f t="shared" si="127"/>
        <v>105.4432104098682</v>
      </c>
      <c r="U606" s="3">
        <f t="shared" si="128"/>
        <v>268.53536217888001</v>
      </c>
      <c r="V606">
        <f t="shared" si="120"/>
        <v>502</v>
      </c>
      <c r="W606" s="8">
        <f t="shared" si="122"/>
        <v>50.798139490500006</v>
      </c>
      <c r="X606" s="1">
        <f t="shared" si="129"/>
        <v>50.798139490500006</v>
      </c>
      <c r="Y606" s="18"/>
      <c r="Z606" s="7"/>
      <c r="AA606" s="1"/>
      <c r="AB606" s="1"/>
      <c r="AC606" s="1"/>
    </row>
    <row r="607" spans="1:29" x14ac:dyDescent="0.3">
      <c r="A607">
        <v>606</v>
      </c>
      <c r="E607">
        <v>-237.9353294702</v>
      </c>
      <c r="F607">
        <v>145.20251655503</v>
      </c>
      <c r="G607">
        <v>354.41735734063002</v>
      </c>
      <c r="H607">
        <v>52.051467695406998</v>
      </c>
      <c r="I607">
        <v>-23.52842100829</v>
      </c>
      <c r="J607">
        <v>269.01550607693002</v>
      </c>
      <c r="L607" s="1">
        <f t="shared" si="130"/>
        <v>3.4133686070899998</v>
      </c>
      <c r="M607">
        <f t="shared" si="131"/>
        <v>2136.525287735029</v>
      </c>
      <c r="N607">
        <f t="shared" si="123"/>
        <v>5.9347924659306361</v>
      </c>
      <c r="O607">
        <f t="shared" si="124"/>
        <v>52.051467695406998</v>
      </c>
      <c r="P607">
        <f t="shared" si="125"/>
        <v>553</v>
      </c>
      <c r="Q607">
        <f t="shared" si="132"/>
        <v>102.130274021362</v>
      </c>
      <c r="R607">
        <f t="shared" si="126"/>
        <v>102.130274021362</v>
      </c>
      <c r="S607">
        <f t="shared" si="121"/>
        <v>105.45352714846422</v>
      </c>
      <c r="T607">
        <f t="shared" si="127"/>
        <v>105.45352714846422</v>
      </c>
      <c r="U607" s="3">
        <f t="shared" si="128"/>
        <v>269.01550607693002</v>
      </c>
      <c r="V607">
        <f t="shared" si="120"/>
        <v>503</v>
      </c>
      <c r="W607" s="8">
        <f t="shared" si="122"/>
        <v>50.81635612891003</v>
      </c>
      <c r="X607" s="1">
        <f t="shared" si="129"/>
        <v>50.81635612891003</v>
      </c>
      <c r="Y607" s="18"/>
      <c r="Z607" s="7"/>
      <c r="AA607" s="1"/>
      <c r="AB607" s="1"/>
      <c r="AC607" s="1"/>
    </row>
    <row r="608" spans="1:29" x14ac:dyDescent="0.3">
      <c r="A608">
        <v>607</v>
      </c>
      <c r="E608">
        <v>-237.29387339420001</v>
      </c>
      <c r="F608">
        <v>146.64278401421001</v>
      </c>
      <c r="G608">
        <v>357.13597033542999</v>
      </c>
      <c r="H608">
        <v>51.930241299488998</v>
      </c>
      <c r="I608">
        <v>-20.10760225296</v>
      </c>
      <c r="J608">
        <v>269.49456096967998</v>
      </c>
      <c r="L608" s="1">
        <f t="shared" si="130"/>
        <v>3.42081875533</v>
      </c>
      <c r="M608">
        <f t="shared" si="131"/>
        <v>2139.9461064903589</v>
      </c>
      <c r="N608">
        <f t="shared" si="123"/>
        <v>5.9442947402509967</v>
      </c>
      <c r="O608">
        <f t="shared" si="124"/>
        <v>51.930241299488998</v>
      </c>
      <c r="P608">
        <f t="shared" si="125"/>
        <v>554</v>
      </c>
      <c r="Q608">
        <f t="shared" si="132"/>
        <v>102.166902684688</v>
      </c>
      <c r="R608">
        <f t="shared" si="126"/>
        <v>102.166902684688</v>
      </c>
      <c r="S608">
        <f t="shared" si="121"/>
        <v>105.49225510941672</v>
      </c>
      <c r="T608">
        <f t="shared" si="127"/>
        <v>105.49225510941672</v>
      </c>
      <c r="U608" s="3">
        <f t="shared" si="128"/>
        <v>269.49456096967998</v>
      </c>
      <c r="V608">
        <f t="shared" si="120"/>
        <v>504</v>
      </c>
      <c r="W608" s="8">
        <f t="shared" si="122"/>
        <v>50.799280275439969</v>
      </c>
      <c r="X608" s="1">
        <f t="shared" si="129"/>
        <v>50.799280275439969</v>
      </c>
      <c r="Y608" s="18"/>
      <c r="Z608" s="7"/>
      <c r="AA608" s="1"/>
      <c r="AB608" s="1"/>
      <c r="AC608" s="1"/>
    </row>
    <row r="609" spans="1:29" x14ac:dyDescent="0.3">
      <c r="A609">
        <v>608</v>
      </c>
      <c r="E609">
        <v>-236.64119866019999</v>
      </c>
      <c r="F609">
        <v>147.90792206703</v>
      </c>
      <c r="G609">
        <v>359.93769803977</v>
      </c>
      <c r="H609">
        <v>51.800489805200002</v>
      </c>
      <c r="I609">
        <v>-16.6785310902</v>
      </c>
      <c r="J609">
        <v>269.97105883493998</v>
      </c>
      <c r="L609" s="1">
        <f t="shared" si="130"/>
        <v>3.4290711627599997</v>
      </c>
      <c r="M609">
        <f t="shared" si="131"/>
        <v>2143.375177653119</v>
      </c>
      <c r="N609">
        <f t="shared" si="123"/>
        <v>5.9538199379253305</v>
      </c>
      <c r="O609">
        <f t="shared" si="124"/>
        <v>51.800489805200002</v>
      </c>
      <c r="P609">
        <f t="shared" si="125"/>
        <v>555</v>
      </c>
      <c r="Q609">
        <f t="shared" si="132"/>
        <v>102.21354649091001</v>
      </c>
      <c r="R609">
        <f t="shared" si="126"/>
        <v>102.21354649091001</v>
      </c>
      <c r="S609">
        <f t="shared" si="121"/>
        <v>105.54059412058501</v>
      </c>
      <c r="T609">
        <f t="shared" si="127"/>
        <v>105.54059412058501</v>
      </c>
      <c r="U609" s="3">
        <f t="shared" si="128"/>
        <v>269.97105883493998</v>
      </c>
      <c r="V609">
        <f t="shared" si="120"/>
        <v>505</v>
      </c>
      <c r="W609" s="8">
        <f t="shared" si="122"/>
        <v>50.768312506769973</v>
      </c>
      <c r="X609" s="1">
        <f t="shared" si="129"/>
        <v>50.768312506769973</v>
      </c>
      <c r="Y609" s="18"/>
      <c r="Z609" s="7"/>
      <c r="AA609" s="1"/>
      <c r="AB609" s="1"/>
      <c r="AC609" s="1"/>
    </row>
    <row r="610" spans="1:29" x14ac:dyDescent="0.3">
      <c r="A610">
        <v>609</v>
      </c>
      <c r="E610">
        <v>-235.9659583012</v>
      </c>
      <c r="F610">
        <v>149.00833342173999</v>
      </c>
      <c r="G610">
        <v>362.80286594176999</v>
      </c>
      <c r="H610">
        <v>51.679197240085998</v>
      </c>
      <c r="I610">
        <v>-13.242642453109999</v>
      </c>
      <c r="J610">
        <v>270.45829785917999</v>
      </c>
      <c r="L610" s="1">
        <f t="shared" si="130"/>
        <v>3.4358886370900006</v>
      </c>
      <c r="M610">
        <f t="shared" si="131"/>
        <v>2146.8110662902091</v>
      </c>
      <c r="N610">
        <f t="shared" si="123"/>
        <v>5.9633640730283588</v>
      </c>
      <c r="O610">
        <f t="shared" si="124"/>
        <v>51.679197240085998</v>
      </c>
      <c r="P610">
        <f t="shared" si="125"/>
        <v>556</v>
      </c>
      <c r="Q610">
        <f t="shared" si="132"/>
        <v>102.27259336716</v>
      </c>
      <c r="R610">
        <f t="shared" si="126"/>
        <v>102.27259336716</v>
      </c>
      <c r="S610">
        <f t="shared" si="121"/>
        <v>105.6011249648586</v>
      </c>
      <c r="T610">
        <f t="shared" si="127"/>
        <v>105.6011249648586</v>
      </c>
      <c r="U610" s="3">
        <f t="shared" si="128"/>
        <v>270.45829785917999</v>
      </c>
      <c r="V610">
        <f t="shared" si="120"/>
        <v>506</v>
      </c>
      <c r="W610" s="8">
        <f t="shared" si="122"/>
        <v>50.774259118060002</v>
      </c>
      <c r="X610" s="1">
        <f t="shared" si="129"/>
        <v>50.774259118060002</v>
      </c>
      <c r="Y610" s="18"/>
      <c r="Z610" s="7"/>
      <c r="AA610" s="1"/>
      <c r="AB610" s="1"/>
      <c r="AC610" s="1"/>
    </row>
    <row r="611" spans="1:29" x14ac:dyDescent="0.3">
      <c r="A611">
        <v>610</v>
      </c>
      <c r="E611">
        <v>-235.21564777660001</v>
      </c>
      <c r="F611">
        <v>149.85664186232</v>
      </c>
      <c r="G611">
        <v>365.7333726581</v>
      </c>
      <c r="H611">
        <v>51.479913874129998</v>
      </c>
      <c r="I611">
        <v>-9.8125775335010008</v>
      </c>
      <c r="J611">
        <v>271.00489231809001</v>
      </c>
      <c r="L611" s="1">
        <f t="shared" si="130"/>
        <v>3.4300649196089985</v>
      </c>
      <c r="M611">
        <f t="shared" si="131"/>
        <v>2150.2411312098179</v>
      </c>
      <c r="N611">
        <f t="shared" si="123"/>
        <v>5.9728920311383833</v>
      </c>
      <c r="O611">
        <f t="shared" si="124"/>
        <v>51.479913874129998</v>
      </c>
      <c r="P611">
        <f t="shared" si="125"/>
        <v>557</v>
      </c>
      <c r="Q611">
        <f t="shared" si="132"/>
        <v>102.229198804929</v>
      </c>
      <c r="R611">
        <f t="shared" si="126"/>
        <v>102.229198804929</v>
      </c>
      <c r="S611">
        <f t="shared" si="121"/>
        <v>105.5767524278336</v>
      </c>
      <c r="T611">
        <f t="shared" si="127"/>
        <v>105.5767524278336</v>
      </c>
      <c r="U611" s="3">
        <f t="shared" si="128"/>
        <v>271.00489231809001</v>
      </c>
      <c r="V611">
        <f t="shared" si="120"/>
        <v>507</v>
      </c>
      <c r="W611" s="8">
        <f t="shared" si="122"/>
        <v>50.843450060980018</v>
      </c>
      <c r="X611" s="1">
        <f t="shared" si="129"/>
        <v>50.843450060980018</v>
      </c>
      <c r="Y611" s="18"/>
      <c r="Z611" s="7"/>
      <c r="AA611" s="1"/>
      <c r="AB611" s="1"/>
      <c r="AC611" s="1"/>
    </row>
    <row r="612" spans="1:29" x14ac:dyDescent="0.3">
      <c r="A612">
        <v>611</v>
      </c>
      <c r="E612">
        <v>-234.47612661880001</v>
      </c>
      <c r="F612">
        <v>150.58589227920999</v>
      </c>
      <c r="G612">
        <v>368.69970291381998</v>
      </c>
      <c r="H612">
        <v>51.342847940230001</v>
      </c>
      <c r="I612">
        <v>-6.3626221855310003</v>
      </c>
      <c r="J612">
        <v>271.53306444336999</v>
      </c>
      <c r="L612" s="1">
        <f t="shared" si="130"/>
        <v>3.4499553479700005</v>
      </c>
      <c r="M612">
        <f t="shared" si="131"/>
        <v>2153.6910865577879</v>
      </c>
      <c r="N612">
        <f t="shared" si="123"/>
        <v>5.9824752404382995</v>
      </c>
      <c r="O612">
        <f t="shared" si="124"/>
        <v>51.342847940230001</v>
      </c>
      <c r="P612">
        <f t="shared" si="125"/>
        <v>558</v>
      </c>
      <c r="Q612">
        <f t="shared" si="132"/>
        <v>102.260024919698</v>
      </c>
      <c r="R612">
        <f t="shared" si="126"/>
        <v>102.260024919698</v>
      </c>
      <c r="S612">
        <f t="shared" si="121"/>
        <v>105.61454820300044</v>
      </c>
      <c r="T612">
        <f t="shared" si="127"/>
        <v>105.61454820300044</v>
      </c>
      <c r="U612" s="3">
        <f t="shared" si="128"/>
        <v>271.53306444336999</v>
      </c>
      <c r="V612">
        <f t="shared" si="120"/>
        <v>508</v>
      </c>
      <c r="W612" s="8">
        <f t="shared" si="122"/>
        <v>50.893618072380008</v>
      </c>
      <c r="X612" s="1">
        <f t="shared" si="129"/>
        <v>50.893618072380008</v>
      </c>
      <c r="Y612" s="18"/>
      <c r="Z612" s="7"/>
      <c r="AA612" s="1"/>
      <c r="AB612" s="1"/>
      <c r="AC612" s="1"/>
    </row>
    <row r="613" spans="1:29" x14ac:dyDescent="0.3">
      <c r="A613">
        <v>612</v>
      </c>
      <c r="E613">
        <v>-233.79162468760001</v>
      </c>
      <c r="F613">
        <v>151.19812769430001</v>
      </c>
      <c r="G613">
        <v>371.70513889047999</v>
      </c>
      <c r="H613">
        <v>51.273555587034998</v>
      </c>
      <c r="I613">
        <v>-2.892318405068</v>
      </c>
      <c r="J613">
        <v>271.99858220497998</v>
      </c>
      <c r="L613" s="1">
        <f t="shared" si="130"/>
        <v>3.4703037804630004</v>
      </c>
      <c r="M613">
        <f t="shared" si="131"/>
        <v>2157.1613903382508</v>
      </c>
      <c r="N613">
        <f t="shared" si="123"/>
        <v>5.992114973161808</v>
      </c>
      <c r="O613">
        <f t="shared" si="124"/>
        <v>51.273555587034998</v>
      </c>
      <c r="P613">
        <f t="shared" si="125"/>
        <v>559</v>
      </c>
      <c r="Q613">
        <f t="shared" si="132"/>
        <v>102.37078455893101</v>
      </c>
      <c r="R613">
        <f t="shared" si="126"/>
        <v>102.37078455893101</v>
      </c>
      <c r="S613">
        <f t="shared" si="121"/>
        <v>105.71480290530334</v>
      </c>
      <c r="T613">
        <f t="shared" si="127"/>
        <v>105.71480290530334</v>
      </c>
      <c r="U613" s="3">
        <f t="shared" si="128"/>
        <v>271.99858220497998</v>
      </c>
      <c r="V613">
        <f t="shared" si="120"/>
        <v>509</v>
      </c>
      <c r="W613" s="8">
        <f t="shared" si="122"/>
        <v>50.845083985479988</v>
      </c>
      <c r="X613" s="1">
        <f t="shared" si="129"/>
        <v>50.845083985479988</v>
      </c>
      <c r="Y613" s="18"/>
      <c r="Z613" s="7"/>
      <c r="AA613" s="1"/>
      <c r="AB613" s="1"/>
      <c r="AC613" s="1"/>
    </row>
    <row r="614" spans="1:29" x14ac:dyDescent="0.3">
      <c r="A614">
        <v>613</v>
      </c>
      <c r="E614">
        <v>-233.1767678114</v>
      </c>
      <c r="F614">
        <v>151.62711127553001</v>
      </c>
      <c r="G614">
        <v>374.75702273626001</v>
      </c>
      <c r="H614">
        <v>51.208671047703</v>
      </c>
      <c r="I614">
        <v>0.59494652240720003</v>
      </c>
      <c r="J614">
        <v>272.38361715056999</v>
      </c>
      <c r="L614" s="1">
        <f t="shared" si="130"/>
        <v>3.4872649274751999</v>
      </c>
      <c r="M614">
        <f t="shared" si="131"/>
        <v>2160.6486552657261</v>
      </c>
      <c r="N614">
        <f t="shared" si="123"/>
        <v>6.0018018201825729</v>
      </c>
      <c r="O614">
        <f t="shared" si="124"/>
        <v>51.208671047703</v>
      </c>
      <c r="P614">
        <f t="shared" si="125"/>
        <v>560</v>
      </c>
      <c r="Q614">
        <f t="shared" si="132"/>
        <v>102.471349633847</v>
      </c>
      <c r="R614">
        <f t="shared" si="126"/>
        <v>102.471349633847</v>
      </c>
      <c r="S614">
        <f t="shared" si="121"/>
        <v>105.78545364903236</v>
      </c>
      <c r="T614">
        <f t="shared" si="127"/>
        <v>105.78545364903236</v>
      </c>
      <c r="U614" s="3">
        <f t="shared" si="128"/>
        <v>272.38361715056999</v>
      </c>
      <c r="V614">
        <f t="shared" si="120"/>
        <v>510</v>
      </c>
      <c r="W614" s="8">
        <f t="shared" si="122"/>
        <v>50.793245350809997</v>
      </c>
      <c r="X614" s="1">
        <f t="shared" si="129"/>
        <v>50.793245350809997</v>
      </c>
      <c r="Y614" s="18"/>
      <c r="Z614" s="7"/>
      <c r="AA614" s="1"/>
      <c r="AB614" s="1"/>
      <c r="AC614" s="1"/>
    </row>
    <row r="615" spans="1:29" x14ac:dyDescent="0.3">
      <c r="A615">
        <v>614</v>
      </c>
      <c r="E615">
        <v>-232.46629183799999</v>
      </c>
      <c r="F615">
        <v>151.8007525635</v>
      </c>
      <c r="G615">
        <v>377.81343964273998</v>
      </c>
      <c r="H615">
        <v>51.074336354743998</v>
      </c>
      <c r="I615">
        <v>4.0735955872196001</v>
      </c>
      <c r="J615">
        <v>272.85321726849998</v>
      </c>
      <c r="L615" s="1">
        <f t="shared" si="130"/>
        <v>3.4786490648124002</v>
      </c>
      <c r="M615">
        <f t="shared" si="131"/>
        <v>2164.1273043305387</v>
      </c>
      <c r="N615">
        <f t="shared" si="123"/>
        <v>6.0114647342514962</v>
      </c>
      <c r="O615">
        <f t="shared" si="124"/>
        <v>51.074336354743998</v>
      </c>
      <c r="P615">
        <f t="shared" si="125"/>
        <v>561</v>
      </c>
      <c r="Q615">
        <f t="shared" si="132"/>
        <v>102.50237106959099</v>
      </c>
      <c r="R615">
        <f t="shared" si="126"/>
        <v>102.50237106959099</v>
      </c>
      <c r="S615">
        <f t="shared" si="121"/>
        <v>105.81025024881109</v>
      </c>
      <c r="T615">
        <f t="shared" si="127"/>
        <v>105.81025024881109</v>
      </c>
      <c r="U615" s="3">
        <f t="shared" si="128"/>
        <v>272.85321726849998</v>
      </c>
      <c r="V615">
        <f t="shared" si="120"/>
        <v>511</v>
      </c>
      <c r="W615" s="8">
        <f t="shared" si="122"/>
        <v>50.765676352759982</v>
      </c>
      <c r="X615" s="1">
        <f t="shared" si="129"/>
        <v>50.765676352759982</v>
      </c>
      <c r="Y615" s="18"/>
      <c r="Z615" s="7"/>
      <c r="AA615" s="1"/>
      <c r="AB615" s="1"/>
      <c r="AC615" s="1"/>
    </row>
    <row r="616" spans="1:29" x14ac:dyDescent="0.3">
      <c r="A616">
        <v>615</v>
      </c>
      <c r="E616">
        <v>-231.7304922898</v>
      </c>
      <c r="F616">
        <v>151.75341832893</v>
      </c>
      <c r="G616">
        <v>380.86853275453001</v>
      </c>
      <c r="H616">
        <v>50.907035967281999</v>
      </c>
      <c r="I616">
        <v>7.5580089562593002</v>
      </c>
      <c r="J616">
        <v>273.33922714825002</v>
      </c>
      <c r="L616" s="1">
        <f t="shared" si="130"/>
        <v>3.4844133690397001</v>
      </c>
      <c r="M616">
        <f t="shared" si="131"/>
        <v>2167.6117176995785</v>
      </c>
      <c r="N616">
        <f t="shared" si="123"/>
        <v>6.0211436602766071</v>
      </c>
      <c r="O616">
        <f t="shared" si="124"/>
        <v>50.907035967281999</v>
      </c>
      <c r="P616">
        <f t="shared" si="125"/>
        <v>562</v>
      </c>
      <c r="Q616">
        <f t="shared" si="132"/>
        <v>102.408953797016</v>
      </c>
      <c r="R616">
        <f t="shared" si="126"/>
        <v>102.408953797016</v>
      </c>
      <c r="S616">
        <f t="shared" si="121"/>
        <v>105.72420456825822</v>
      </c>
      <c r="T616">
        <f t="shared" si="127"/>
        <v>105.72420456825822</v>
      </c>
      <c r="U616" s="3">
        <f t="shared" si="128"/>
        <v>273.33922714825002</v>
      </c>
      <c r="V616">
        <f t="shared" si="120"/>
        <v>512</v>
      </c>
      <c r="W616" s="8">
        <f t="shared" si="122"/>
        <v>50.796008897910014</v>
      </c>
      <c r="X616" s="1">
        <f t="shared" si="129"/>
        <v>50.796008897910014</v>
      </c>
      <c r="Y616" s="18"/>
      <c r="Z616" s="7"/>
      <c r="AA616" s="1"/>
      <c r="AB616" s="1"/>
      <c r="AC616" s="1"/>
    </row>
    <row r="617" spans="1:29" x14ac:dyDescent="0.3">
      <c r="A617">
        <v>616</v>
      </c>
      <c r="E617">
        <v>-230.99994461879999</v>
      </c>
      <c r="F617">
        <v>151.53416064529</v>
      </c>
      <c r="G617">
        <v>383.91705344898003</v>
      </c>
      <c r="H617">
        <v>50.757135433644997</v>
      </c>
      <c r="I617">
        <v>11.055971765481001</v>
      </c>
      <c r="J617">
        <v>273.81359503862001</v>
      </c>
      <c r="L617" s="1">
        <f t="shared" si="130"/>
        <v>3.4979628092217006</v>
      </c>
      <c r="M617">
        <f t="shared" si="131"/>
        <v>2171.1096805088005</v>
      </c>
      <c r="N617">
        <f t="shared" si="123"/>
        <v>6.0308602236355568</v>
      </c>
      <c r="O617">
        <f t="shared" si="124"/>
        <v>50.757135433644997</v>
      </c>
      <c r="P617">
        <f t="shared" si="125"/>
        <v>563</v>
      </c>
      <c r="Q617">
        <f t="shared" si="132"/>
        <v>102.321020349885</v>
      </c>
      <c r="R617">
        <f t="shared" si="126"/>
        <v>102.321020349885</v>
      </c>
      <c r="S617">
        <f t="shared" si="121"/>
        <v>105.6399214629317</v>
      </c>
      <c r="T617">
        <f t="shared" si="127"/>
        <v>105.6399214629317</v>
      </c>
      <c r="U617" s="3">
        <f t="shared" si="128"/>
        <v>273.81359503862001</v>
      </c>
      <c r="V617">
        <f t="shared" si="120"/>
        <v>513</v>
      </c>
      <c r="W617" s="8">
        <f t="shared" si="122"/>
        <v>50.809183876940011</v>
      </c>
      <c r="X617" s="1">
        <f t="shared" si="129"/>
        <v>50.809183876940011</v>
      </c>
      <c r="Y617" s="18"/>
      <c r="Z617" s="7"/>
      <c r="AA617" s="1"/>
      <c r="AB617" s="1"/>
      <c r="AC617" s="1"/>
    </row>
    <row r="618" spans="1:29" x14ac:dyDescent="0.3">
      <c r="A618">
        <v>617</v>
      </c>
      <c r="E618">
        <v>-230.26079835549999</v>
      </c>
      <c r="F618">
        <v>151.13316476006</v>
      </c>
      <c r="G618">
        <v>386.94526174837</v>
      </c>
      <c r="H618">
        <v>50.614090023769002</v>
      </c>
      <c r="I618">
        <v>14.56426766769</v>
      </c>
      <c r="J618">
        <v>274.29082088600001</v>
      </c>
      <c r="L618" s="1">
        <f t="shared" si="130"/>
        <v>3.5082959022089995</v>
      </c>
      <c r="M618">
        <f t="shared" si="131"/>
        <v>2174.6179764110093</v>
      </c>
      <c r="N618">
        <f t="shared" si="123"/>
        <v>6.0406054900305817</v>
      </c>
      <c r="O618">
        <f t="shared" si="124"/>
        <v>50.614090023769002</v>
      </c>
      <c r="P618">
        <f t="shared" si="125"/>
        <v>564</v>
      </c>
      <c r="Q618">
        <f t="shared" si="132"/>
        <v>102.30064480527801</v>
      </c>
      <c r="R618">
        <f t="shared" si="126"/>
        <v>102.30064480527801</v>
      </c>
      <c r="S618">
        <f t="shared" si="121"/>
        <v>105.61809976249249</v>
      </c>
      <c r="T618">
        <f t="shared" si="127"/>
        <v>105.61809976249249</v>
      </c>
      <c r="U618" s="3">
        <f t="shared" si="128"/>
        <v>274.29082088600001</v>
      </c>
      <c r="V618">
        <f t="shared" si="120"/>
        <v>514</v>
      </c>
      <c r="W618" s="8">
        <f t="shared" si="122"/>
        <v>50.753720050179993</v>
      </c>
      <c r="X618" s="1">
        <f t="shared" si="129"/>
        <v>50.753720050179993</v>
      </c>
      <c r="Y618" s="18"/>
      <c r="Z618" s="7"/>
      <c r="AA618" s="1"/>
      <c r="AB618" s="1"/>
      <c r="AC618" s="1"/>
    </row>
    <row r="619" spans="1:29" x14ac:dyDescent="0.3">
      <c r="A619">
        <v>618</v>
      </c>
      <c r="E619">
        <v>-229.44659678389999</v>
      </c>
      <c r="F619">
        <v>150.49391727973</v>
      </c>
      <c r="G619">
        <v>389.91240877514002</v>
      </c>
      <c r="H619">
        <v>50.414255524379001</v>
      </c>
      <c r="I619">
        <v>18.067453935408999</v>
      </c>
      <c r="J619">
        <v>274.83807915783001</v>
      </c>
      <c r="L619" s="1">
        <f t="shared" si="130"/>
        <v>3.5031862677189984</v>
      </c>
      <c r="M619">
        <f t="shared" si="131"/>
        <v>2178.1211626787281</v>
      </c>
      <c r="N619">
        <f t="shared" si="123"/>
        <v>6.0503365629964669</v>
      </c>
      <c r="O619">
        <f t="shared" si="124"/>
        <v>50.414255524379001</v>
      </c>
      <c r="P619">
        <f t="shared" si="125"/>
        <v>565</v>
      </c>
      <c r="Q619">
        <f t="shared" si="132"/>
        <v>102.323210473611</v>
      </c>
      <c r="R619">
        <f t="shared" si="126"/>
        <v>102.323210473611</v>
      </c>
      <c r="S619">
        <f t="shared" si="121"/>
        <v>105.65990833493589</v>
      </c>
      <c r="T619">
        <f t="shared" si="127"/>
        <v>105.65990833493589</v>
      </c>
      <c r="U619" s="3">
        <f t="shared" si="128"/>
        <v>274.83807915783001</v>
      </c>
      <c r="V619">
        <f t="shared" si="120"/>
        <v>515</v>
      </c>
      <c r="W619" s="8">
        <f t="shared" si="122"/>
        <v>50.763405994180005</v>
      </c>
      <c r="X619" s="1">
        <f t="shared" si="129"/>
        <v>50.763405994180005</v>
      </c>
      <c r="Y619" s="18"/>
      <c r="Z619" s="7"/>
      <c r="AA619" s="1"/>
      <c r="AB619" s="1"/>
      <c r="AC619" s="1"/>
    </row>
    <row r="620" spans="1:29" x14ac:dyDescent="0.3">
      <c r="A620">
        <v>619</v>
      </c>
      <c r="E620">
        <v>-228.70653919820001</v>
      </c>
      <c r="F620">
        <v>149.74183013531999</v>
      </c>
      <c r="G620">
        <v>392.87275412474003</v>
      </c>
      <c r="H620">
        <v>50.294347387008997</v>
      </c>
      <c r="I620">
        <v>21.601272959641001</v>
      </c>
      <c r="J620">
        <v>275.30748413171</v>
      </c>
      <c r="L620" s="1">
        <f t="shared" si="130"/>
        <v>3.5338190242320024</v>
      </c>
      <c r="M620">
        <f t="shared" si="131"/>
        <v>2181.65498170296</v>
      </c>
      <c r="N620">
        <f t="shared" si="123"/>
        <v>6.0601527269526665</v>
      </c>
      <c r="O620">
        <f t="shared" si="124"/>
        <v>50.294347387008997</v>
      </c>
      <c r="P620">
        <f t="shared" si="125"/>
        <v>566</v>
      </c>
      <c r="Q620">
        <f t="shared" si="132"/>
        <v>102.403318050355</v>
      </c>
      <c r="R620">
        <f t="shared" si="126"/>
        <v>102.403318050355</v>
      </c>
      <c r="S620">
        <f t="shared" si="121"/>
        <v>105.72782076529725</v>
      </c>
      <c r="T620">
        <f t="shared" si="127"/>
        <v>105.72782076529725</v>
      </c>
      <c r="U620" s="3">
        <f t="shared" si="128"/>
        <v>275.30748413171</v>
      </c>
      <c r="V620">
        <f t="shared" si="120"/>
        <v>516</v>
      </c>
      <c r="W620" s="8">
        <f t="shared" si="122"/>
        <v>50.749771439629995</v>
      </c>
      <c r="X620" s="1">
        <f t="shared" si="129"/>
        <v>50.749771439629995</v>
      </c>
      <c r="Y620" s="18"/>
      <c r="Z620" s="7"/>
      <c r="AA620" s="1"/>
      <c r="AB620" s="1"/>
      <c r="AC620" s="1"/>
    </row>
    <row r="621" spans="1:29" x14ac:dyDescent="0.3">
      <c r="A621">
        <v>620</v>
      </c>
      <c r="E621">
        <v>-227.9293123301</v>
      </c>
      <c r="F621">
        <v>148.83317625255</v>
      </c>
      <c r="G621">
        <v>395.77890936597998</v>
      </c>
      <c r="H621">
        <v>50.200109636924999</v>
      </c>
      <c r="I621">
        <v>25.137085631123</v>
      </c>
      <c r="J621">
        <v>275.81193406718</v>
      </c>
      <c r="L621" s="1">
        <f t="shared" si="130"/>
        <v>3.5358126714819988</v>
      </c>
      <c r="M621">
        <f t="shared" si="131"/>
        <v>2185.1907943744418</v>
      </c>
      <c r="N621">
        <f t="shared" si="123"/>
        <v>6.0699744288178943</v>
      </c>
      <c r="O621">
        <f t="shared" si="124"/>
        <v>50.200109636924999</v>
      </c>
      <c r="P621">
        <f t="shared" si="125"/>
        <v>567</v>
      </c>
      <c r="Q621">
        <f t="shared" si="132"/>
        <v>102.393625377072</v>
      </c>
      <c r="R621">
        <f t="shared" si="126"/>
        <v>102.393625377072</v>
      </c>
      <c r="S621">
        <f t="shared" si="121"/>
        <v>105.71738736926902</v>
      </c>
      <c r="T621">
        <f t="shared" si="127"/>
        <v>105.71738736926902</v>
      </c>
      <c r="U621" s="3">
        <f t="shared" si="128"/>
        <v>275.81193406718</v>
      </c>
      <c r="V621">
        <f t="shared" si="120"/>
        <v>517</v>
      </c>
      <c r="W621" s="8">
        <f t="shared" si="122"/>
        <v>50.765616875770007</v>
      </c>
      <c r="X621" s="1">
        <f t="shared" si="129"/>
        <v>50.765616875770007</v>
      </c>
      <c r="Y621" s="18"/>
      <c r="Z621" s="7"/>
      <c r="AA621" s="1"/>
      <c r="AB621" s="1"/>
      <c r="AC621" s="1"/>
    </row>
    <row r="622" spans="1:29" x14ac:dyDescent="0.3">
      <c r="A622">
        <v>621</v>
      </c>
      <c r="E622">
        <v>-227.1118989823</v>
      </c>
      <c r="F622">
        <v>147.71715095068001</v>
      </c>
      <c r="G622">
        <v>398.60067040958</v>
      </c>
      <c r="H622">
        <v>50.073146510617001</v>
      </c>
      <c r="I622">
        <v>28.672036680331999</v>
      </c>
      <c r="J622">
        <v>276.3548049959</v>
      </c>
      <c r="L622" s="1">
        <f t="shared" si="130"/>
        <v>3.5349510492089991</v>
      </c>
      <c r="M622">
        <f t="shared" si="131"/>
        <v>2188.725745423651</v>
      </c>
      <c r="N622">
        <f t="shared" si="123"/>
        <v>6.0797937372879192</v>
      </c>
      <c r="O622">
        <f t="shared" si="124"/>
        <v>50.073146510617001</v>
      </c>
      <c r="P622">
        <f t="shared" si="125"/>
        <v>568</v>
      </c>
      <c r="Q622">
        <f t="shared" si="132"/>
        <v>102.412633453973</v>
      </c>
      <c r="R622">
        <f t="shared" si="126"/>
        <v>102.412633453973</v>
      </c>
      <c r="S622">
        <f t="shared" si="121"/>
        <v>105.75016096873446</v>
      </c>
      <c r="T622">
        <f t="shared" si="127"/>
        <v>105.75016096873446</v>
      </c>
      <c r="U622" s="3">
        <f t="shared" si="128"/>
        <v>276.3548049959</v>
      </c>
      <c r="V622">
        <f t="shared" si="120"/>
        <v>518</v>
      </c>
      <c r="W622" s="8">
        <f t="shared" si="122"/>
        <v>50.789402605030006</v>
      </c>
      <c r="X622" s="1">
        <f t="shared" si="129"/>
        <v>50.789402605030006</v>
      </c>
      <c r="Y622" s="18"/>
      <c r="Z622" s="7"/>
      <c r="AA622" s="1"/>
      <c r="AB622" s="1"/>
      <c r="AC622" s="1"/>
    </row>
    <row r="623" spans="1:29" x14ac:dyDescent="0.3">
      <c r="A623">
        <v>622</v>
      </c>
      <c r="E623">
        <v>-226.300440415</v>
      </c>
      <c r="F623">
        <v>146.38524978704999</v>
      </c>
      <c r="G623">
        <v>401.32902682956001</v>
      </c>
      <c r="H623">
        <v>49.902187705064001</v>
      </c>
      <c r="I623">
        <v>32.216591435848997</v>
      </c>
      <c r="J623">
        <v>276.89052097595999</v>
      </c>
      <c r="L623" s="1">
        <f t="shared" si="130"/>
        <v>3.5445547555169981</v>
      </c>
      <c r="M623">
        <f t="shared" si="131"/>
        <v>2192.2703001791679</v>
      </c>
      <c r="N623">
        <f t="shared" si="123"/>
        <v>6.0896397227199106</v>
      </c>
      <c r="O623">
        <f t="shared" si="124"/>
        <v>49.902187705064001</v>
      </c>
      <c r="P623">
        <f t="shared" si="125"/>
        <v>569</v>
      </c>
      <c r="Q623">
        <f t="shared" si="132"/>
        <v>102.392643584844</v>
      </c>
      <c r="R623">
        <f t="shared" si="126"/>
        <v>102.392643584844</v>
      </c>
      <c r="S623">
        <f t="shared" si="121"/>
        <v>105.73573605715541</v>
      </c>
      <c r="T623">
        <f t="shared" si="127"/>
        <v>105.73573605715541</v>
      </c>
      <c r="U623" s="3">
        <f t="shared" si="128"/>
        <v>276.89052097595999</v>
      </c>
      <c r="V623">
        <f t="shared" si="120"/>
        <v>519</v>
      </c>
      <c r="W623" s="8">
        <f t="shared" si="122"/>
        <v>50.804918967469973</v>
      </c>
      <c r="X623" s="1">
        <f t="shared" si="129"/>
        <v>50.804918967469973</v>
      </c>
      <c r="Y623" s="18"/>
      <c r="Z623" s="7"/>
      <c r="AA623" s="1"/>
      <c r="AB623" s="1"/>
      <c r="AC623" s="1"/>
    </row>
    <row r="624" spans="1:29" x14ac:dyDescent="0.3">
      <c r="A624">
        <v>623</v>
      </c>
      <c r="E624">
        <v>-225.55183903119999</v>
      </c>
      <c r="F624">
        <v>144.90936967211999</v>
      </c>
      <c r="G624">
        <v>404.00056210501998</v>
      </c>
      <c r="H624">
        <v>49.769208942234997</v>
      </c>
      <c r="I624">
        <v>35.785927571150999</v>
      </c>
      <c r="J624">
        <v>277.36237803277999</v>
      </c>
      <c r="L624" s="1">
        <f t="shared" si="130"/>
        <v>3.5693361353020023</v>
      </c>
      <c r="M624">
        <f t="shared" si="131"/>
        <v>2195.8396363144698</v>
      </c>
      <c r="N624">
        <f t="shared" si="123"/>
        <v>6.0995545453179716</v>
      </c>
      <c r="O624">
        <f t="shared" si="124"/>
        <v>49.769208942234997</v>
      </c>
      <c r="P624">
        <f t="shared" si="125"/>
        <v>570</v>
      </c>
      <c r="Q624">
        <f t="shared" si="132"/>
        <v>102.385489337184</v>
      </c>
      <c r="R624">
        <f t="shared" si="126"/>
        <v>102.385489337184</v>
      </c>
      <c r="S624">
        <f t="shared" si="121"/>
        <v>105.71291087446532</v>
      </c>
      <c r="T624">
        <f t="shared" si="127"/>
        <v>105.71291087446532</v>
      </c>
      <c r="U624" s="3">
        <f t="shared" si="128"/>
        <v>277.36237803277999</v>
      </c>
      <c r="V624">
        <f t="shared" si="120"/>
        <v>520</v>
      </c>
      <c r="W624" s="8">
        <f t="shared" si="122"/>
        <v>50.75268039206</v>
      </c>
      <c r="X624" s="1">
        <f t="shared" si="129"/>
        <v>50.75268039206</v>
      </c>
      <c r="Y624" s="18"/>
      <c r="Z624" s="7"/>
      <c r="AA624" s="1"/>
      <c r="AB624" s="1"/>
      <c r="AC624" s="1"/>
    </row>
    <row r="625" spans="1:29" x14ac:dyDescent="0.3">
      <c r="A625">
        <v>624</v>
      </c>
      <c r="E625">
        <v>-224.7797818427</v>
      </c>
      <c r="F625">
        <v>143.26563492101999</v>
      </c>
      <c r="G625">
        <v>406.56530356904</v>
      </c>
      <c r="H625">
        <v>49.631231710892997</v>
      </c>
      <c r="I625">
        <v>39.360235403367</v>
      </c>
      <c r="J625">
        <v>277.85938332888003</v>
      </c>
      <c r="L625" s="1">
        <f t="shared" si="130"/>
        <v>3.5743078322160002</v>
      </c>
      <c r="M625">
        <f t="shared" si="131"/>
        <v>2199.4139441466859</v>
      </c>
      <c r="N625">
        <f t="shared" si="123"/>
        <v>6.109483178185239</v>
      </c>
      <c r="O625">
        <f t="shared" si="124"/>
        <v>49.631231710892997</v>
      </c>
      <c r="P625">
        <f t="shared" si="125"/>
        <v>571</v>
      </c>
      <c r="Q625">
        <f t="shared" si="132"/>
        <v>102.34683195731</v>
      </c>
      <c r="R625">
        <f t="shared" si="126"/>
        <v>102.34683195731</v>
      </c>
      <c r="S625">
        <f t="shared" si="121"/>
        <v>105.67751155388738</v>
      </c>
      <c r="T625">
        <f t="shared" si="127"/>
        <v>105.67751155388738</v>
      </c>
      <c r="U625" s="3">
        <f t="shared" si="128"/>
        <v>277.85938332888003</v>
      </c>
      <c r="V625">
        <f t="shared" ref="V625:V688" si="133">IFERROR(MATCH(N625-1,N:N,1),0)</f>
        <v>521</v>
      </c>
      <c r="W625" s="8">
        <f t="shared" si="122"/>
        <v>50.765027323400034</v>
      </c>
      <c r="X625" s="1">
        <f t="shared" si="129"/>
        <v>50.765027323400034</v>
      </c>
      <c r="Y625" s="18"/>
      <c r="Z625" s="7"/>
      <c r="AA625" s="1"/>
      <c r="AB625" s="1"/>
      <c r="AC625" s="1"/>
    </row>
    <row r="626" spans="1:29" x14ac:dyDescent="0.3">
      <c r="A626">
        <v>625</v>
      </c>
      <c r="E626">
        <v>-223.9817807336</v>
      </c>
      <c r="F626">
        <v>141.47170037007001</v>
      </c>
      <c r="G626">
        <v>409.01926396714998</v>
      </c>
      <c r="H626">
        <v>49.500804194457999</v>
      </c>
      <c r="I626">
        <v>42.93933526376</v>
      </c>
      <c r="J626">
        <v>278.38504705771999</v>
      </c>
      <c r="L626" s="1">
        <f t="shared" si="130"/>
        <v>3.5790998603930007</v>
      </c>
      <c r="M626">
        <f t="shared" si="131"/>
        <v>2202.9930440070789</v>
      </c>
      <c r="N626">
        <f t="shared" si="123"/>
        <v>6.1194251222418856</v>
      </c>
      <c r="O626">
        <f t="shared" si="124"/>
        <v>49.500804194457999</v>
      </c>
      <c r="P626">
        <f t="shared" si="125"/>
        <v>572</v>
      </c>
      <c r="Q626">
        <f t="shared" si="132"/>
        <v>102.32656577595</v>
      </c>
      <c r="R626">
        <f t="shared" si="126"/>
        <v>102.32656577595</v>
      </c>
      <c r="S626">
        <f t="shared" si="121"/>
        <v>105.66424208559184</v>
      </c>
      <c r="T626">
        <f t="shared" si="127"/>
        <v>105.66424208559184</v>
      </c>
      <c r="U626" s="3">
        <f t="shared" si="128"/>
        <v>278.38504705771999</v>
      </c>
      <c r="V626">
        <f t="shared" si="133"/>
        <v>522</v>
      </c>
      <c r="W626" s="8">
        <f t="shared" si="122"/>
        <v>50.787236737139978</v>
      </c>
      <c r="X626" s="1">
        <f t="shared" si="129"/>
        <v>50.787236737139978</v>
      </c>
      <c r="Y626" s="18"/>
      <c r="Z626" s="7"/>
      <c r="AA626" s="1"/>
      <c r="AB626" s="1"/>
      <c r="AC626" s="1"/>
    </row>
    <row r="627" spans="1:29" x14ac:dyDescent="0.3">
      <c r="A627">
        <v>626</v>
      </c>
      <c r="E627">
        <v>-223.20708177020001</v>
      </c>
      <c r="F627">
        <v>139.54735889212</v>
      </c>
      <c r="G627">
        <v>411.37994166350001</v>
      </c>
      <c r="H627">
        <v>49.403633290286997</v>
      </c>
      <c r="I627">
        <v>46.531970487526003</v>
      </c>
      <c r="J627">
        <v>278.88971790995998</v>
      </c>
      <c r="L627" s="1">
        <f t="shared" si="130"/>
        <v>3.5926352237660026</v>
      </c>
      <c r="M627">
        <f t="shared" si="131"/>
        <v>2206.585679230845</v>
      </c>
      <c r="N627">
        <f t="shared" si="123"/>
        <v>6.1294046645301252</v>
      </c>
      <c r="O627">
        <f t="shared" si="124"/>
        <v>49.403633290286997</v>
      </c>
      <c r="P627">
        <f t="shared" si="125"/>
        <v>574</v>
      </c>
      <c r="Q627">
        <f t="shared" si="132"/>
        <v>102.429175869202</v>
      </c>
      <c r="R627">
        <f t="shared" si="126"/>
        <v>102.429175869202</v>
      </c>
      <c r="S627">
        <f t="shared" si="121"/>
        <v>105.68131134404634</v>
      </c>
      <c r="T627">
        <f t="shared" si="127"/>
        <v>105.68131134404634</v>
      </c>
      <c r="U627" s="3">
        <f t="shared" si="128"/>
        <v>278.88971790995998</v>
      </c>
      <c r="V627">
        <f t="shared" si="133"/>
        <v>523</v>
      </c>
      <c r="W627" s="8">
        <f t="shared" si="122"/>
        <v>50.78067187250997</v>
      </c>
      <c r="X627" s="1">
        <f t="shared" si="129"/>
        <v>50.78067187250997</v>
      </c>
      <c r="Y627" s="18"/>
      <c r="Z627" s="7"/>
      <c r="AA627" s="1"/>
      <c r="AB627" s="1"/>
      <c r="AC627" s="1"/>
    </row>
    <row r="628" spans="1:29" x14ac:dyDescent="0.3">
      <c r="A628">
        <v>627</v>
      </c>
      <c r="E628">
        <v>-222.4701499018</v>
      </c>
      <c r="F628">
        <v>137.47411822114</v>
      </c>
      <c r="G628">
        <v>413.62371579347001</v>
      </c>
      <c r="H628">
        <v>49.311392754018001</v>
      </c>
      <c r="I628">
        <v>50.137901921107002</v>
      </c>
      <c r="J628">
        <v>279.36013658825999</v>
      </c>
      <c r="L628" s="1">
        <f t="shared" si="130"/>
        <v>3.6059314335809987</v>
      </c>
      <c r="M628">
        <f t="shared" si="131"/>
        <v>2210.1916106644262</v>
      </c>
      <c r="N628">
        <f t="shared" si="123"/>
        <v>6.1394211407345169</v>
      </c>
      <c r="O628">
        <f t="shared" si="124"/>
        <v>49.311392754018001</v>
      </c>
      <c r="P628">
        <f t="shared" si="125"/>
        <v>575</v>
      </c>
      <c r="Q628">
        <f t="shared" si="132"/>
        <v>102.44469294245</v>
      </c>
      <c r="R628">
        <f t="shared" si="126"/>
        <v>102.44469294245</v>
      </c>
      <c r="S628">
        <f t="shared" si="121"/>
        <v>105.69483153936989</v>
      </c>
      <c r="T628">
        <f t="shared" si="127"/>
        <v>105.69483153936989</v>
      </c>
      <c r="U628" s="3">
        <f t="shared" si="128"/>
        <v>279.36013658825999</v>
      </c>
      <c r="V628">
        <f t="shared" si="133"/>
        <v>524</v>
      </c>
      <c r="W628" s="8">
        <f t="shared" si="122"/>
        <v>50.756538227349978</v>
      </c>
      <c r="X628" s="1">
        <f t="shared" si="129"/>
        <v>50.756538227349978</v>
      </c>
      <c r="Y628" s="18"/>
      <c r="Z628" s="7"/>
      <c r="AA628" s="1"/>
      <c r="AB628" s="1"/>
      <c r="AC628" s="1"/>
    </row>
    <row r="629" spans="1:29" x14ac:dyDescent="0.3">
      <c r="A629">
        <v>628</v>
      </c>
      <c r="E629">
        <v>-221.73454291600001</v>
      </c>
      <c r="F629">
        <v>135.23021032932999</v>
      </c>
      <c r="G629">
        <v>415.69711526114997</v>
      </c>
      <c r="H629">
        <v>49.173710029524997</v>
      </c>
      <c r="I629">
        <v>53.749200696067</v>
      </c>
      <c r="J629">
        <v>279.83600624617998</v>
      </c>
      <c r="L629" s="1">
        <f t="shared" si="130"/>
        <v>3.6112987749599981</v>
      </c>
      <c r="M629">
        <f t="shared" si="131"/>
        <v>2213.802909439386</v>
      </c>
      <c r="N629">
        <f t="shared" si="123"/>
        <v>6.1494525262205162</v>
      </c>
      <c r="O629">
        <f t="shared" si="124"/>
        <v>49.173710029524997</v>
      </c>
      <c r="P629">
        <f t="shared" si="125"/>
        <v>576</v>
      </c>
      <c r="Q629">
        <f t="shared" si="132"/>
        <v>102.39008300288299</v>
      </c>
      <c r="R629">
        <f t="shared" si="126"/>
        <v>102.39008300288299</v>
      </c>
      <c r="S629">
        <f t="shared" si="121"/>
        <v>105.63499059983124</v>
      </c>
      <c r="T629">
        <f t="shared" si="127"/>
        <v>105.63499059983124</v>
      </c>
      <c r="U629" s="3">
        <f t="shared" si="128"/>
        <v>279.83600624617998</v>
      </c>
      <c r="V629">
        <f t="shared" si="133"/>
        <v>525</v>
      </c>
      <c r="W629" s="8">
        <f t="shared" si="122"/>
        <v>50.748892973069985</v>
      </c>
      <c r="X629" s="1">
        <f t="shared" si="129"/>
        <v>50.748892973069985</v>
      </c>
      <c r="Y629" s="18"/>
      <c r="Z629" s="7"/>
      <c r="AA629" s="1"/>
      <c r="AB629" s="1"/>
      <c r="AC629" s="1"/>
    </row>
    <row r="630" spans="1:29" x14ac:dyDescent="0.3">
      <c r="A630">
        <v>629</v>
      </c>
      <c r="E630">
        <v>-221.00788294200001</v>
      </c>
      <c r="F630">
        <v>132.89102258602</v>
      </c>
      <c r="G630">
        <v>417.66610491219001</v>
      </c>
      <c r="H630">
        <v>49.090535817223</v>
      </c>
      <c r="I630">
        <v>57.371946721002999</v>
      </c>
      <c r="J630">
        <v>280.30748982521999</v>
      </c>
      <c r="L630" s="1">
        <f t="shared" si="130"/>
        <v>3.6227460249359993</v>
      </c>
      <c r="M630">
        <f t="shared" si="131"/>
        <v>2217.4256554643221</v>
      </c>
      <c r="N630">
        <f t="shared" si="123"/>
        <v>6.1595157096231166</v>
      </c>
      <c r="O630">
        <f t="shared" si="124"/>
        <v>49.090535817223</v>
      </c>
      <c r="P630">
        <f t="shared" si="125"/>
        <v>577</v>
      </c>
      <c r="Q630">
        <f t="shared" si="132"/>
        <v>102.377763223103</v>
      </c>
      <c r="R630">
        <f t="shared" si="126"/>
        <v>102.377763223103</v>
      </c>
      <c r="S630">
        <f t="shared" si="121"/>
        <v>105.61364306290534</v>
      </c>
      <c r="T630">
        <f t="shared" si="127"/>
        <v>105.61364306290534</v>
      </c>
      <c r="U630" s="3">
        <f t="shared" si="128"/>
        <v>280.30748982521999</v>
      </c>
      <c r="V630">
        <f t="shared" si="133"/>
        <v>526</v>
      </c>
      <c r="W630" s="8">
        <f t="shared" si="122"/>
        <v>50.736243050179979</v>
      </c>
      <c r="X630" s="1">
        <f t="shared" si="129"/>
        <v>50.736243050179979</v>
      </c>
      <c r="Y630" s="18"/>
      <c r="Z630" s="7"/>
      <c r="AA630" s="1"/>
      <c r="AB630" s="1"/>
      <c r="AC630" s="1"/>
    </row>
    <row r="631" spans="1:29" x14ac:dyDescent="0.3">
      <c r="A631">
        <v>630</v>
      </c>
      <c r="E631">
        <v>-220.27574437039999</v>
      </c>
      <c r="F631">
        <v>130.44927853293001</v>
      </c>
      <c r="G631">
        <v>419.50387323995</v>
      </c>
      <c r="H631">
        <v>49.037684800809998</v>
      </c>
      <c r="I631">
        <v>60.998135631596</v>
      </c>
      <c r="J631">
        <v>280.79081039903002</v>
      </c>
      <c r="L631" s="1">
        <f t="shared" si="130"/>
        <v>3.626188910593001</v>
      </c>
      <c r="M631">
        <f t="shared" si="131"/>
        <v>2221.0518443749152</v>
      </c>
      <c r="N631">
        <f t="shared" si="123"/>
        <v>6.169588456596987</v>
      </c>
      <c r="O631">
        <f t="shared" si="124"/>
        <v>49.037684800809998</v>
      </c>
      <c r="P631">
        <f t="shared" si="125"/>
        <v>578</v>
      </c>
      <c r="Q631">
        <f t="shared" si="132"/>
        <v>102.40596555468599</v>
      </c>
      <c r="R631">
        <f t="shared" si="126"/>
        <v>102.40596555468599</v>
      </c>
      <c r="S631">
        <f t="shared" si="121"/>
        <v>105.63737100049458</v>
      </c>
      <c r="T631">
        <f t="shared" si="127"/>
        <v>105.63737100049458</v>
      </c>
      <c r="U631" s="3">
        <f t="shared" si="128"/>
        <v>280.79081039903002</v>
      </c>
      <c r="V631">
        <f t="shared" si="133"/>
        <v>527</v>
      </c>
      <c r="W631" s="8">
        <f t="shared" si="122"/>
        <v>50.736633736990029</v>
      </c>
      <c r="X631" s="1">
        <f t="shared" si="129"/>
        <v>50.736633736990029</v>
      </c>
      <c r="Y631" s="18"/>
      <c r="Z631" s="7"/>
      <c r="AA631" s="1"/>
      <c r="AB631" s="1"/>
      <c r="AC631" s="1"/>
    </row>
    <row r="632" spans="1:29" x14ac:dyDescent="0.3">
      <c r="A632">
        <v>631</v>
      </c>
      <c r="E632">
        <v>-219.55197243219999</v>
      </c>
      <c r="F632">
        <v>127.86943041136</v>
      </c>
      <c r="G632">
        <v>421.14605123851999</v>
      </c>
      <c r="H632">
        <v>48.941823882362002</v>
      </c>
      <c r="I632">
        <v>64.628429848115999</v>
      </c>
      <c r="J632">
        <v>281.27590414680998</v>
      </c>
      <c r="L632" s="1">
        <f t="shared" si="130"/>
        <v>3.6302942165199994</v>
      </c>
      <c r="M632">
        <f t="shared" si="131"/>
        <v>2224.682138591435</v>
      </c>
      <c r="N632">
        <f t="shared" si="123"/>
        <v>6.1796726071984303</v>
      </c>
      <c r="O632">
        <f t="shared" si="124"/>
        <v>48.941823882362002</v>
      </c>
      <c r="P632">
        <f t="shared" si="125"/>
        <v>579</v>
      </c>
      <c r="Q632">
        <f t="shared" si="132"/>
        <v>102.381804868288</v>
      </c>
      <c r="R632">
        <f t="shared" si="126"/>
        <v>102.381804868288</v>
      </c>
      <c r="S632">
        <f t="shared" si="121"/>
        <v>105.61354177590238</v>
      </c>
      <c r="T632">
        <f t="shared" si="127"/>
        <v>105.61354177590238</v>
      </c>
      <c r="U632" s="3">
        <f t="shared" si="128"/>
        <v>281.27590414680998</v>
      </c>
      <c r="V632">
        <f t="shared" si="133"/>
        <v>528</v>
      </c>
      <c r="W632" s="8">
        <f t="shared" si="122"/>
        <v>50.759559312359983</v>
      </c>
      <c r="X632" s="1">
        <f t="shared" si="129"/>
        <v>50.759559312359983</v>
      </c>
      <c r="Y632" s="18"/>
      <c r="Z632" s="7"/>
      <c r="AA632" s="1"/>
      <c r="AB632" s="1"/>
      <c r="AC632" s="1"/>
    </row>
    <row r="633" spans="1:29" x14ac:dyDescent="0.3">
      <c r="A633">
        <v>632</v>
      </c>
      <c r="E633">
        <v>-218.83560112839999</v>
      </c>
      <c r="F633">
        <v>125.19395534498</v>
      </c>
      <c r="G633">
        <v>422.63094388932001</v>
      </c>
      <c r="H633">
        <v>48.858637392505003</v>
      </c>
      <c r="I633">
        <v>68.265557059022996</v>
      </c>
      <c r="J633">
        <v>281.76237668588999</v>
      </c>
      <c r="L633" s="1">
        <f t="shared" si="130"/>
        <v>3.6371272109069963</v>
      </c>
      <c r="M633">
        <f t="shared" si="131"/>
        <v>2228.3192658023418</v>
      </c>
      <c r="N633">
        <f t="shared" si="123"/>
        <v>6.1897757383398382</v>
      </c>
      <c r="O633">
        <f t="shared" si="124"/>
        <v>48.858637392505003</v>
      </c>
      <c r="P633">
        <f t="shared" si="125"/>
        <v>580</v>
      </c>
      <c r="Q633">
        <f t="shared" si="132"/>
        <v>102.356501004517</v>
      </c>
      <c r="R633">
        <f t="shared" si="126"/>
        <v>102.356501004517</v>
      </c>
      <c r="S633">
        <f t="shared" si="121"/>
        <v>105.58296219078478</v>
      </c>
      <c r="T633">
        <f t="shared" si="127"/>
        <v>105.58296219078478</v>
      </c>
      <c r="U633" s="3">
        <f t="shared" si="128"/>
        <v>281.76237668588999</v>
      </c>
      <c r="V633">
        <f t="shared" si="133"/>
        <v>529</v>
      </c>
      <c r="W633" s="8">
        <f t="shared" si="122"/>
        <v>50.771619637649991</v>
      </c>
      <c r="X633" s="1">
        <f t="shared" si="129"/>
        <v>50.771619637649991</v>
      </c>
      <c r="Y633" s="18"/>
      <c r="Z633" s="7"/>
      <c r="AA633" s="1"/>
      <c r="AB633" s="1"/>
      <c r="AC633" s="1"/>
    </row>
    <row r="634" spans="1:29" x14ac:dyDescent="0.3">
      <c r="A634">
        <v>633</v>
      </c>
      <c r="E634">
        <v>-218.14812514569999</v>
      </c>
      <c r="F634">
        <v>122.43291144494</v>
      </c>
      <c r="G634">
        <v>423.96534772664</v>
      </c>
      <c r="H634">
        <v>48.798493803664002</v>
      </c>
      <c r="I634">
        <v>71.912347961603999</v>
      </c>
      <c r="J634">
        <v>282.22868114065</v>
      </c>
      <c r="L634" s="1">
        <f t="shared" si="130"/>
        <v>3.646790902581003</v>
      </c>
      <c r="M634">
        <f t="shared" si="131"/>
        <v>2231.9660567049227</v>
      </c>
      <c r="N634">
        <f t="shared" si="123"/>
        <v>6.1999057130692297</v>
      </c>
      <c r="O634">
        <f t="shared" si="124"/>
        <v>48.798493803664002</v>
      </c>
      <c r="P634">
        <f t="shared" si="125"/>
        <v>581</v>
      </c>
      <c r="Q634">
        <f t="shared" si="132"/>
        <v>102.34792627437</v>
      </c>
      <c r="R634">
        <f t="shared" si="126"/>
        <v>102.34792627437</v>
      </c>
      <c r="S634">
        <f t="shared" si="121"/>
        <v>105.56267838807241</v>
      </c>
      <c r="T634">
        <f t="shared" si="127"/>
        <v>105.56267838807241</v>
      </c>
      <c r="U634" s="3">
        <f t="shared" si="128"/>
        <v>282.22868114065</v>
      </c>
      <c r="V634">
        <f t="shared" si="133"/>
        <v>530</v>
      </c>
      <c r="W634" s="8">
        <f t="shared" si="122"/>
        <v>50.76905071246</v>
      </c>
      <c r="X634" s="1">
        <f t="shared" si="129"/>
        <v>50.76905071246</v>
      </c>
      <c r="Y634" s="18"/>
      <c r="Z634" s="7"/>
      <c r="AA634" s="1"/>
      <c r="AB634" s="1"/>
      <c r="AC634" s="1"/>
    </row>
    <row r="635" spans="1:29" x14ac:dyDescent="0.3">
      <c r="A635">
        <v>634</v>
      </c>
      <c r="E635">
        <v>-217.4469711678</v>
      </c>
      <c r="F635">
        <v>119.60807585457</v>
      </c>
      <c r="G635">
        <v>425.15019805398998</v>
      </c>
      <c r="H635">
        <v>48.774586799097001</v>
      </c>
      <c r="I635">
        <v>75.558420380439003</v>
      </c>
      <c r="J635">
        <v>282.71802288236</v>
      </c>
      <c r="L635" s="1">
        <f t="shared" si="130"/>
        <v>3.6460724188350042</v>
      </c>
      <c r="M635">
        <f t="shared" si="131"/>
        <v>2235.6121291237578</v>
      </c>
      <c r="N635">
        <f t="shared" si="123"/>
        <v>6.2100336920104384</v>
      </c>
      <c r="O635">
        <f t="shared" si="124"/>
        <v>48.774586799097001</v>
      </c>
      <c r="P635">
        <f t="shared" si="125"/>
        <v>582</v>
      </c>
      <c r="Q635">
        <f t="shared" si="132"/>
        <v>102.376690864552</v>
      </c>
      <c r="R635">
        <f t="shared" si="126"/>
        <v>102.376690864552</v>
      </c>
      <c r="S635">
        <f t="shared" si="121"/>
        <v>105.58603524222227</v>
      </c>
      <c r="T635">
        <f t="shared" si="127"/>
        <v>105.58603524222227</v>
      </c>
      <c r="U635" s="3">
        <f t="shared" si="128"/>
        <v>282.71802288236</v>
      </c>
      <c r="V635">
        <f t="shared" si="133"/>
        <v>531</v>
      </c>
      <c r="W635" s="8">
        <f t="shared" si="122"/>
        <v>50.767518338960002</v>
      </c>
      <c r="X635" s="1">
        <f t="shared" si="129"/>
        <v>50.767518338960002</v>
      </c>
      <c r="Y635" s="18"/>
      <c r="Z635" s="7"/>
      <c r="AA635" s="1"/>
      <c r="AB635" s="1"/>
      <c r="AC635" s="1"/>
    </row>
    <row r="636" spans="1:29" x14ac:dyDescent="0.3">
      <c r="A636">
        <v>635</v>
      </c>
      <c r="E636">
        <v>-216.76599411940001</v>
      </c>
      <c r="F636">
        <v>116.70263845349</v>
      </c>
      <c r="G636">
        <v>426.13535655374</v>
      </c>
      <c r="H636">
        <v>48.732130516451001</v>
      </c>
      <c r="I636">
        <v>79.20821555661</v>
      </c>
      <c r="J636">
        <v>283.20002453263999</v>
      </c>
      <c r="L636" s="1">
        <f t="shared" si="130"/>
        <v>3.649795176170997</v>
      </c>
      <c r="M636">
        <f t="shared" si="131"/>
        <v>2239.261924299929</v>
      </c>
      <c r="N636">
        <f t="shared" si="123"/>
        <v>6.2201720119442472</v>
      </c>
      <c r="O636">
        <f t="shared" si="124"/>
        <v>48.732130516451001</v>
      </c>
      <c r="P636">
        <f t="shared" si="125"/>
        <v>583</v>
      </c>
      <c r="Q636">
        <f t="shared" si="132"/>
        <v>102.38353475840401</v>
      </c>
      <c r="R636">
        <f t="shared" si="126"/>
        <v>102.38353475840401</v>
      </c>
      <c r="S636">
        <f t="shared" si="121"/>
        <v>105.58210866869091</v>
      </c>
      <c r="T636">
        <f t="shared" si="127"/>
        <v>105.58210866869091</v>
      </c>
      <c r="U636" s="3">
        <f t="shared" si="128"/>
        <v>283.20002453263999</v>
      </c>
      <c r="V636">
        <f t="shared" si="133"/>
        <v>532</v>
      </c>
      <c r="W636" s="8">
        <f t="shared" si="122"/>
        <v>50.73503881745998</v>
      </c>
      <c r="X636" s="1">
        <f t="shared" si="129"/>
        <v>50.73503881745998</v>
      </c>
      <c r="Y636" s="18"/>
      <c r="Z636" s="7"/>
      <c r="AA636" s="1"/>
      <c r="AB636" s="1"/>
      <c r="AC636" s="1"/>
    </row>
    <row r="637" spans="1:29" x14ac:dyDescent="0.3">
      <c r="A637">
        <v>636</v>
      </c>
      <c r="E637">
        <v>-216.10921217250001</v>
      </c>
      <c r="F637">
        <v>113.7407103021</v>
      </c>
      <c r="G637">
        <v>426.95537994873001</v>
      </c>
      <c r="H637">
        <v>48.711969628791003</v>
      </c>
      <c r="I637">
        <v>82.863173779647994</v>
      </c>
      <c r="J637">
        <v>283.66888694419998</v>
      </c>
      <c r="L637" s="1">
        <f t="shared" si="130"/>
        <v>3.654958223037994</v>
      </c>
      <c r="M637">
        <f t="shared" si="131"/>
        <v>2242.9168825229672</v>
      </c>
      <c r="N637">
        <f t="shared" si="123"/>
        <v>6.2303246736749092</v>
      </c>
      <c r="O637">
        <f t="shared" si="124"/>
        <v>48.711969628791003</v>
      </c>
      <c r="P637">
        <f t="shared" si="125"/>
        <v>584</v>
      </c>
      <c r="Q637">
        <f t="shared" si="132"/>
        <v>102.398969856267</v>
      </c>
      <c r="R637">
        <f t="shared" si="126"/>
        <v>102.398969856267</v>
      </c>
      <c r="S637">
        <f t="shared" si="121"/>
        <v>105.58613308481667</v>
      </c>
      <c r="T637">
        <f t="shared" si="127"/>
        <v>105.58613308481667</v>
      </c>
      <c r="U637" s="3">
        <f t="shared" si="128"/>
        <v>283.66888694419998</v>
      </c>
      <c r="V637">
        <f t="shared" si="133"/>
        <v>533</v>
      </c>
      <c r="W637" s="8">
        <f t="shared" si="122"/>
        <v>50.731697076319989</v>
      </c>
      <c r="X637" s="1">
        <f t="shared" si="129"/>
        <v>50.731697076319989</v>
      </c>
      <c r="Y637" s="18"/>
      <c r="Z637" s="7"/>
      <c r="AA637" s="1"/>
      <c r="AB637" s="1"/>
      <c r="AC637" s="1"/>
    </row>
    <row r="638" spans="1:29" x14ac:dyDescent="0.3">
      <c r="A638">
        <v>637</v>
      </c>
      <c r="E638">
        <v>-215.44932457370001</v>
      </c>
      <c r="F638">
        <v>110.73886792515999</v>
      </c>
      <c r="G638">
        <v>427.61117037158999</v>
      </c>
      <c r="H638">
        <v>48.721517859617997</v>
      </c>
      <c r="I638">
        <v>86.515900565741006</v>
      </c>
      <c r="J638">
        <v>284.15239734161003</v>
      </c>
      <c r="L638" s="1">
        <f t="shared" si="130"/>
        <v>3.6527267860930124</v>
      </c>
      <c r="M638">
        <f t="shared" si="131"/>
        <v>2246.5696093090601</v>
      </c>
      <c r="N638">
        <f t="shared" si="123"/>
        <v>6.2404711369696111</v>
      </c>
      <c r="O638">
        <f t="shared" si="124"/>
        <v>48.721517859617997</v>
      </c>
      <c r="P638">
        <f t="shared" si="125"/>
        <v>586</v>
      </c>
      <c r="Q638">
        <f t="shared" si="132"/>
        <v>102.48811129038999</v>
      </c>
      <c r="R638">
        <f t="shared" si="126"/>
        <v>102.48811129038999</v>
      </c>
      <c r="S638">
        <f t="shared" si="121"/>
        <v>105.59065417854757</v>
      </c>
      <c r="T638">
        <f t="shared" si="127"/>
        <v>105.59065417854757</v>
      </c>
      <c r="U638" s="3">
        <f t="shared" si="128"/>
        <v>284.15239734161003</v>
      </c>
      <c r="V638">
        <f t="shared" si="133"/>
        <v>534</v>
      </c>
      <c r="W638" s="8">
        <f t="shared" si="122"/>
        <v>50.74498783313004</v>
      </c>
      <c r="X638" s="1">
        <f t="shared" si="129"/>
        <v>50.74498783313004</v>
      </c>
      <c r="Y638" s="18"/>
      <c r="Z638" s="7"/>
      <c r="AA638" s="1"/>
      <c r="AB638" s="1"/>
      <c r="AC638" s="1"/>
    </row>
    <row r="639" spans="1:29" x14ac:dyDescent="0.3">
      <c r="A639">
        <v>638</v>
      </c>
      <c r="E639">
        <v>-214.7991217009</v>
      </c>
      <c r="F639">
        <v>107.6971962529</v>
      </c>
      <c r="G639">
        <v>428.05848075066001</v>
      </c>
      <c r="H639">
        <v>48.716507948280999</v>
      </c>
      <c r="I639">
        <v>90.167093388173996</v>
      </c>
      <c r="J639">
        <v>284.64136743630002</v>
      </c>
      <c r="L639" s="1">
        <f t="shared" si="130"/>
        <v>3.6511928224329893</v>
      </c>
      <c r="M639">
        <f t="shared" si="131"/>
        <v>2250.2208021314932</v>
      </c>
      <c r="N639">
        <f t="shared" si="123"/>
        <v>6.2506133392541479</v>
      </c>
      <c r="O639">
        <f t="shared" si="124"/>
        <v>48.716507948280999</v>
      </c>
      <c r="P639">
        <f t="shared" si="125"/>
        <v>587</v>
      </c>
      <c r="Q639">
        <f t="shared" si="132"/>
        <v>102.49407634191999</v>
      </c>
      <c r="R639">
        <f t="shared" si="126"/>
        <v>102.49407634191999</v>
      </c>
      <c r="S639">
        <f t="shared" si="121"/>
        <v>105.59558365560106</v>
      </c>
      <c r="T639">
        <f t="shared" si="127"/>
        <v>105.59558365560106</v>
      </c>
      <c r="U639" s="3">
        <f t="shared" si="128"/>
        <v>284.64136743630002</v>
      </c>
      <c r="V639">
        <f t="shared" si="133"/>
        <v>535</v>
      </c>
      <c r="W639" s="8">
        <f t="shared" si="122"/>
        <v>50.719053646120017</v>
      </c>
      <c r="X639" s="1">
        <f t="shared" si="129"/>
        <v>50.719053646120017</v>
      </c>
      <c r="Y639" s="18"/>
      <c r="Z639" s="7"/>
      <c r="AA639" s="1"/>
      <c r="AB639" s="1"/>
      <c r="AC639" s="1"/>
    </row>
    <row r="640" spans="1:29" x14ac:dyDescent="0.3">
      <c r="A640">
        <v>639</v>
      </c>
      <c r="E640">
        <v>-214.15403361329999</v>
      </c>
      <c r="F640">
        <v>104.63196398427</v>
      </c>
      <c r="G640">
        <v>428.31140741126001</v>
      </c>
      <c r="H640">
        <v>48.713566025188001</v>
      </c>
      <c r="I640">
        <v>93.817018446630996</v>
      </c>
      <c r="J640">
        <v>285.13987524473998</v>
      </c>
      <c r="L640" s="1">
        <f t="shared" si="130"/>
        <v>3.6499250584570007</v>
      </c>
      <c r="M640">
        <f t="shared" si="131"/>
        <v>2253.8707271899502</v>
      </c>
      <c r="N640">
        <f t="shared" si="123"/>
        <v>6.2607520199720836</v>
      </c>
      <c r="O640">
        <f t="shared" si="124"/>
        <v>48.713566025188001</v>
      </c>
      <c r="P640">
        <f t="shared" si="125"/>
        <v>588</v>
      </c>
      <c r="Q640">
        <f t="shared" si="132"/>
        <v>102.480524035847</v>
      </c>
      <c r="R640">
        <f t="shared" si="126"/>
        <v>102.480524035847</v>
      </c>
      <c r="S640">
        <f t="shared" si="121"/>
        <v>105.58443596925484</v>
      </c>
      <c r="T640">
        <f t="shared" si="127"/>
        <v>105.58443596925484</v>
      </c>
      <c r="U640" s="3">
        <f t="shared" si="128"/>
        <v>285.13987524473998</v>
      </c>
      <c r="V640">
        <f t="shared" si="133"/>
        <v>536</v>
      </c>
      <c r="W640" s="8">
        <f t="shared" si="122"/>
        <v>50.708595176429981</v>
      </c>
      <c r="X640" s="1">
        <f t="shared" si="129"/>
        <v>50.708595176429981</v>
      </c>
      <c r="Y640" s="18"/>
      <c r="Z640" s="7"/>
      <c r="AA640" s="1"/>
      <c r="AB640" s="1"/>
      <c r="AC640" s="1"/>
    </row>
    <row r="641" spans="1:29" x14ac:dyDescent="0.3">
      <c r="A641">
        <v>640</v>
      </c>
      <c r="E641">
        <v>-213.52154868740001</v>
      </c>
      <c r="F641">
        <v>101.55496534405999</v>
      </c>
      <c r="G641">
        <v>428.40226577889001</v>
      </c>
      <c r="H641">
        <v>48.745267713497</v>
      </c>
      <c r="I641">
        <v>97.465769993199004</v>
      </c>
      <c r="J641">
        <v>285.63834803112002</v>
      </c>
      <c r="L641" s="1">
        <f t="shared" si="130"/>
        <v>3.6487515465680076</v>
      </c>
      <c r="M641">
        <f t="shared" si="131"/>
        <v>2257.5194787365181</v>
      </c>
      <c r="N641">
        <f t="shared" si="123"/>
        <v>6.2708874409347723</v>
      </c>
      <c r="O641">
        <f t="shared" si="124"/>
        <v>48.745267713497</v>
      </c>
      <c r="P641">
        <f t="shared" si="125"/>
        <v>589</v>
      </c>
      <c r="Q641">
        <f t="shared" si="132"/>
        <v>102.50159974782099</v>
      </c>
      <c r="R641">
        <f t="shared" si="126"/>
        <v>102.50159974782099</v>
      </c>
      <c r="S641">
        <f t="shared" si="121"/>
        <v>105.60371109084848</v>
      </c>
      <c r="T641">
        <f t="shared" si="127"/>
        <v>105.60371109084848</v>
      </c>
      <c r="U641" s="3">
        <f t="shared" si="128"/>
        <v>285.63834803112002</v>
      </c>
      <c r="V641">
        <f t="shared" si="133"/>
        <v>537</v>
      </c>
      <c r="W641" s="8">
        <f t="shared" si="122"/>
        <v>50.741948853680015</v>
      </c>
      <c r="X641" s="1">
        <f t="shared" si="129"/>
        <v>50.741948853680015</v>
      </c>
      <c r="Y641" s="18"/>
      <c r="Z641" s="7"/>
      <c r="AA641" s="1"/>
      <c r="AB641" s="1"/>
      <c r="AC641" s="1"/>
    </row>
    <row r="642" spans="1:29" x14ac:dyDescent="0.3">
      <c r="A642">
        <v>641</v>
      </c>
      <c r="E642">
        <v>-212.9400741442</v>
      </c>
      <c r="F642">
        <v>98.468519336951999</v>
      </c>
      <c r="G642">
        <v>428.29517663408001</v>
      </c>
      <c r="H642">
        <v>48.773376767879</v>
      </c>
      <c r="I642">
        <v>101.11866088089</v>
      </c>
      <c r="J642">
        <v>286.10150339782001</v>
      </c>
      <c r="L642" s="1">
        <f t="shared" si="130"/>
        <v>3.6528908876910009</v>
      </c>
      <c r="M642">
        <f t="shared" si="131"/>
        <v>2261.1723696242088</v>
      </c>
      <c r="N642">
        <f t="shared" si="123"/>
        <v>6.2810343600672471</v>
      </c>
      <c r="O642">
        <f t="shared" si="124"/>
        <v>48.773376767879</v>
      </c>
      <c r="P642">
        <f t="shared" si="125"/>
        <v>590</v>
      </c>
      <c r="Q642">
        <f t="shared" si="132"/>
        <v>102.50876082207199</v>
      </c>
      <c r="R642">
        <f t="shared" si="126"/>
        <v>102.50876082207199</v>
      </c>
      <c r="S642">
        <f t="shared" ref="S642:S705" si="134">IF(P642=0,0,SQRT((E642-INDEX(E:E,P642))^2+(F642-INDEX(F:F,P642))^2+(G642-INDEX(G:G,P642))^2))</f>
        <v>105.59773725331573</v>
      </c>
      <c r="T642">
        <f t="shared" si="127"/>
        <v>105.59773725331573</v>
      </c>
      <c r="U642" s="3">
        <f t="shared" si="128"/>
        <v>286.10150339782001</v>
      </c>
      <c r="V642">
        <f t="shared" si="133"/>
        <v>538</v>
      </c>
      <c r="W642" s="8">
        <f t="shared" ref="W642:W705" si="135">IF(V642=0,0,U642-INDEX(U:U,V642))</f>
        <v>50.741221790460003</v>
      </c>
      <c r="X642" s="1">
        <f t="shared" si="129"/>
        <v>50.741221790460003</v>
      </c>
      <c r="Y642" s="18"/>
      <c r="Z642" s="7"/>
      <c r="AA642" s="1"/>
      <c r="AB642" s="1"/>
      <c r="AC642" s="1"/>
    </row>
    <row r="643" spans="1:29" x14ac:dyDescent="0.3">
      <c r="A643">
        <v>642</v>
      </c>
      <c r="E643">
        <v>-212.36180812640001</v>
      </c>
      <c r="F643">
        <v>95.393934630372996</v>
      </c>
      <c r="G643">
        <v>427.99636719535999</v>
      </c>
      <c r="H643">
        <v>48.807741619514999</v>
      </c>
      <c r="I643">
        <v>104.76708528685</v>
      </c>
      <c r="J643">
        <v>286.57731102711</v>
      </c>
      <c r="L643" s="1">
        <f t="shared" si="130"/>
        <v>3.6484244059600002</v>
      </c>
      <c r="M643">
        <f t="shared" si="131"/>
        <v>2264.8207940301691</v>
      </c>
      <c r="N643">
        <f t="shared" ref="N643:N706" si="136">M643/360</f>
        <v>6.2911688723060255</v>
      </c>
      <c r="O643">
        <f t="shared" ref="O643:O706" si="137">H643</f>
        <v>48.807741619514999</v>
      </c>
      <c r="P643">
        <f t="shared" ref="P643:P706" si="138">IFERROR(MATCH(N643-0.5,N:N,1),0)</f>
        <v>591</v>
      </c>
      <c r="Q643">
        <f t="shared" si="132"/>
        <v>102.514076522561</v>
      </c>
      <c r="R643">
        <f t="shared" ref="R643:R706" si="139">IF(Q643=0,MAX(Q:Q),Q643)</f>
        <v>102.514076522561</v>
      </c>
      <c r="S643">
        <f t="shared" si="134"/>
        <v>105.59777011992986</v>
      </c>
      <c r="T643">
        <f t="shared" ref="T643:T706" si="140">IF(S643=0,MAX(S:S),S643)</f>
        <v>105.59777011992986</v>
      </c>
      <c r="U643" s="3">
        <f t="shared" ref="U643:U706" si="141">J643</f>
        <v>286.57731102711</v>
      </c>
      <c r="V643">
        <f t="shared" si="133"/>
        <v>539</v>
      </c>
      <c r="W643" s="8">
        <f t="shared" si="135"/>
        <v>50.736307243189998</v>
      </c>
      <c r="X643" s="1">
        <f t="shared" ref="X643:X706" si="142">IF(W643=0,MAX(W:W),W643)</f>
        <v>50.736307243189998</v>
      </c>
      <c r="Y643" s="18"/>
      <c r="Z643" s="7"/>
      <c r="AA643" s="1"/>
      <c r="AB643" s="1"/>
      <c r="AC643" s="1"/>
    </row>
    <row r="644" spans="1:29" x14ac:dyDescent="0.3">
      <c r="A644">
        <v>643</v>
      </c>
      <c r="E644">
        <v>-211.7915429482</v>
      </c>
      <c r="F644">
        <v>92.338168574454002</v>
      </c>
      <c r="G644">
        <v>427.53545541391998</v>
      </c>
      <c r="H644">
        <v>48.876420019200999</v>
      </c>
      <c r="I644">
        <v>108.40968072883</v>
      </c>
      <c r="J644">
        <v>287.05890440866</v>
      </c>
      <c r="L644" s="1">
        <f t="shared" ref="L644:L707" si="143">I644-I643</f>
        <v>3.6425954419799922</v>
      </c>
      <c r="M644">
        <f t="shared" ref="M644:M707" si="144">IF(L644&gt;0,M643+L644,M643+L643)</f>
        <v>2268.4633894721492</v>
      </c>
      <c r="N644">
        <f t="shared" si="136"/>
        <v>6.301287192978192</v>
      </c>
      <c r="O644">
        <f t="shared" si="137"/>
        <v>48.876420019200999</v>
      </c>
      <c r="P644">
        <f t="shared" si="138"/>
        <v>592</v>
      </c>
      <c r="Q644">
        <f t="shared" si="132"/>
        <v>102.53875816243701</v>
      </c>
      <c r="R644">
        <f t="shared" si="139"/>
        <v>102.53875816243701</v>
      </c>
      <c r="S644">
        <f t="shared" si="134"/>
        <v>105.61462520833005</v>
      </c>
      <c r="T644">
        <f t="shared" si="140"/>
        <v>105.61462520833005</v>
      </c>
      <c r="U644" s="3">
        <f t="shared" si="141"/>
        <v>287.05890440866</v>
      </c>
      <c r="V644">
        <f t="shared" si="133"/>
        <v>540</v>
      </c>
      <c r="W644" s="8">
        <f t="shared" si="135"/>
        <v>50.724503096640007</v>
      </c>
      <c r="X644" s="1">
        <f t="shared" si="142"/>
        <v>50.724503096640007</v>
      </c>
      <c r="Y644" s="18"/>
      <c r="Z644" s="7"/>
      <c r="AA644" s="1"/>
      <c r="AB644" s="1"/>
      <c r="AC644" s="1"/>
    </row>
    <row r="645" spans="1:29" x14ac:dyDescent="0.3">
      <c r="A645">
        <v>644</v>
      </c>
      <c r="E645">
        <v>-211.22802660089999</v>
      </c>
      <c r="F645">
        <v>89.318212254409005</v>
      </c>
      <c r="G645">
        <v>426.87405901512</v>
      </c>
      <c r="H645">
        <v>48.938735672321997</v>
      </c>
      <c r="I645">
        <v>112.04552747348001</v>
      </c>
      <c r="J645">
        <v>287.55129309082002</v>
      </c>
      <c r="L645" s="1">
        <f t="shared" si="143"/>
        <v>3.63584674465001</v>
      </c>
      <c r="M645">
        <f t="shared" si="144"/>
        <v>2272.099236216799</v>
      </c>
      <c r="N645">
        <f t="shared" si="136"/>
        <v>6.3113867672688864</v>
      </c>
      <c r="O645">
        <f t="shared" si="137"/>
        <v>48.938735672321997</v>
      </c>
      <c r="P645">
        <f t="shared" si="138"/>
        <v>593</v>
      </c>
      <c r="Q645">
        <f t="shared" si="132"/>
        <v>102.544061285955</v>
      </c>
      <c r="R645">
        <f t="shared" si="139"/>
        <v>102.544061285955</v>
      </c>
      <c r="S645">
        <f t="shared" si="134"/>
        <v>105.61284280196229</v>
      </c>
      <c r="T645">
        <f t="shared" si="140"/>
        <v>105.61284280196229</v>
      </c>
      <c r="U645" s="3">
        <f t="shared" si="141"/>
        <v>287.55129309082002</v>
      </c>
      <c r="V645">
        <f t="shared" si="133"/>
        <v>541</v>
      </c>
      <c r="W645" s="8">
        <f t="shared" si="135"/>
        <v>50.729108488320037</v>
      </c>
      <c r="X645" s="1">
        <f t="shared" si="142"/>
        <v>50.729108488320037</v>
      </c>
      <c r="Y645" s="18"/>
      <c r="Z645" s="7"/>
      <c r="AA645" s="1"/>
      <c r="AB645" s="1"/>
      <c r="AC645" s="1"/>
    </row>
    <row r="646" spans="1:29" x14ac:dyDescent="0.3">
      <c r="A646">
        <v>645</v>
      </c>
      <c r="E646">
        <v>-210.671989774</v>
      </c>
      <c r="F646">
        <v>86.341307001949005</v>
      </c>
      <c r="G646">
        <v>426.03440211959997</v>
      </c>
      <c r="H646">
        <v>49.014393429035003</v>
      </c>
      <c r="I646">
        <v>115.67449174700999</v>
      </c>
      <c r="J646">
        <v>288.05225997999003</v>
      </c>
      <c r="L646" s="1">
        <f t="shared" si="143"/>
        <v>3.6289642735299878</v>
      </c>
      <c r="M646">
        <f t="shared" si="144"/>
        <v>2275.7282004903291</v>
      </c>
      <c r="N646">
        <f t="shared" si="136"/>
        <v>6.3214672235842473</v>
      </c>
      <c r="O646">
        <f t="shared" si="137"/>
        <v>49.014393429035003</v>
      </c>
      <c r="P646">
        <f t="shared" si="138"/>
        <v>594</v>
      </c>
      <c r="Q646">
        <f t="shared" si="132"/>
        <v>102.55815302720799</v>
      </c>
      <c r="R646">
        <f t="shared" si="139"/>
        <v>102.55815302720799</v>
      </c>
      <c r="S646">
        <f t="shared" si="134"/>
        <v>105.62529535933531</v>
      </c>
      <c r="T646">
        <f t="shared" si="140"/>
        <v>105.62529535933531</v>
      </c>
      <c r="U646" s="3">
        <f t="shared" si="141"/>
        <v>288.05225997999003</v>
      </c>
      <c r="V646">
        <f t="shared" si="133"/>
        <v>542</v>
      </c>
      <c r="W646" s="8">
        <f t="shared" si="135"/>
        <v>50.75083162251002</v>
      </c>
      <c r="X646" s="1">
        <f t="shared" si="142"/>
        <v>50.75083162251002</v>
      </c>
      <c r="Y646" s="18"/>
      <c r="Z646" s="7"/>
      <c r="AA646" s="1"/>
      <c r="AB646" s="1"/>
      <c r="AC646" s="1"/>
    </row>
    <row r="647" spans="1:29" x14ac:dyDescent="0.3">
      <c r="A647">
        <v>646</v>
      </c>
      <c r="E647">
        <v>-210.11217495220001</v>
      </c>
      <c r="F647">
        <v>83.423196649011004</v>
      </c>
      <c r="G647">
        <v>425.01238877381002</v>
      </c>
      <c r="H647">
        <v>49.095546278386003</v>
      </c>
      <c r="I647">
        <v>119.29294502142</v>
      </c>
      <c r="J647">
        <v>288.57398087194002</v>
      </c>
      <c r="L647" s="1">
        <f t="shared" si="143"/>
        <v>3.6184532744100011</v>
      </c>
      <c r="M647">
        <f t="shared" si="144"/>
        <v>2279.3466537647391</v>
      </c>
      <c r="N647">
        <f t="shared" si="136"/>
        <v>6.3315184826798312</v>
      </c>
      <c r="O647">
        <f t="shared" si="137"/>
        <v>49.095546278386003</v>
      </c>
      <c r="P647">
        <f t="shared" si="138"/>
        <v>595</v>
      </c>
      <c r="Q647">
        <f t="shared" si="132"/>
        <v>102.56612299486801</v>
      </c>
      <c r="R647">
        <f t="shared" si="139"/>
        <v>102.56612299486801</v>
      </c>
      <c r="S647">
        <f t="shared" si="134"/>
        <v>105.63264233378371</v>
      </c>
      <c r="T647">
        <f t="shared" si="140"/>
        <v>105.63264233378371</v>
      </c>
      <c r="U647" s="3">
        <f t="shared" si="141"/>
        <v>288.57398087194002</v>
      </c>
      <c r="V647">
        <f t="shared" si="133"/>
        <v>543</v>
      </c>
      <c r="W647" s="8">
        <f t="shared" si="135"/>
        <v>50.797564951330031</v>
      </c>
      <c r="X647" s="1">
        <f t="shared" si="142"/>
        <v>50.797564951330031</v>
      </c>
      <c r="Y647" s="18"/>
      <c r="Z647" s="7"/>
      <c r="AA647" s="1"/>
      <c r="AB647" s="1"/>
      <c r="AC647" s="1"/>
    </row>
    <row r="648" spans="1:29" x14ac:dyDescent="0.3">
      <c r="A648">
        <v>647</v>
      </c>
      <c r="E648">
        <v>-209.65426349250001</v>
      </c>
      <c r="F648">
        <v>80.569873485718006</v>
      </c>
      <c r="G648">
        <v>423.77691472062997</v>
      </c>
      <c r="H648">
        <v>49.142503738411001</v>
      </c>
      <c r="I648">
        <v>122.92308094885</v>
      </c>
      <c r="J648">
        <v>289.01393618400999</v>
      </c>
      <c r="L648" s="1">
        <f t="shared" si="143"/>
        <v>3.630135927430004</v>
      </c>
      <c r="M648">
        <f t="shared" si="144"/>
        <v>2282.9767896921689</v>
      </c>
      <c r="N648">
        <f t="shared" si="136"/>
        <v>6.3416021935893578</v>
      </c>
      <c r="O648">
        <f t="shared" si="137"/>
        <v>49.142503738411001</v>
      </c>
      <c r="P648">
        <f t="shared" si="138"/>
        <v>597</v>
      </c>
      <c r="Q648">
        <f t="shared" si="132"/>
        <v>102.414168722501</v>
      </c>
      <c r="R648">
        <f t="shared" si="139"/>
        <v>102.414168722501</v>
      </c>
      <c r="S648">
        <f t="shared" si="134"/>
        <v>105.39511447496675</v>
      </c>
      <c r="T648">
        <f t="shared" si="140"/>
        <v>105.39511447496675</v>
      </c>
      <c r="U648" s="3">
        <f t="shared" si="141"/>
        <v>289.01393618400999</v>
      </c>
      <c r="V648">
        <f t="shared" si="133"/>
        <v>544</v>
      </c>
      <c r="W648" s="8">
        <f t="shared" si="135"/>
        <v>50.760386730509993</v>
      </c>
      <c r="X648" s="1">
        <f t="shared" si="142"/>
        <v>50.760386730509993</v>
      </c>
      <c r="Y648" s="18"/>
      <c r="Z648" s="7"/>
      <c r="AA648" s="1"/>
      <c r="AB648" s="1"/>
      <c r="AC648" s="1"/>
    </row>
    <row r="649" spans="1:29" x14ac:dyDescent="0.3">
      <c r="A649">
        <v>648</v>
      </c>
      <c r="E649">
        <v>-209.19974577279999</v>
      </c>
      <c r="F649">
        <v>77.790575580036005</v>
      </c>
      <c r="G649">
        <v>422.38289629761999</v>
      </c>
      <c r="H649">
        <v>49.211734424135003</v>
      </c>
      <c r="I649">
        <v>126.54579076914</v>
      </c>
      <c r="J649">
        <v>289.46620846265</v>
      </c>
      <c r="L649" s="1">
        <f t="shared" si="143"/>
        <v>3.6227098202899981</v>
      </c>
      <c r="M649">
        <f t="shared" si="144"/>
        <v>2286.5994995124588</v>
      </c>
      <c r="N649">
        <f t="shared" si="136"/>
        <v>6.3516652764234971</v>
      </c>
      <c r="O649">
        <f t="shared" si="137"/>
        <v>49.211734424135003</v>
      </c>
      <c r="P649">
        <f t="shared" si="138"/>
        <v>598</v>
      </c>
      <c r="Q649">
        <f t="shared" si="132"/>
        <v>102.39719403584</v>
      </c>
      <c r="R649">
        <f t="shared" si="139"/>
        <v>102.39719403584</v>
      </c>
      <c r="S649">
        <f t="shared" si="134"/>
        <v>105.36921295582688</v>
      </c>
      <c r="T649">
        <f t="shared" si="140"/>
        <v>105.36921295582688</v>
      </c>
      <c r="U649" s="3">
        <f t="shared" si="141"/>
        <v>289.46620846265</v>
      </c>
      <c r="V649">
        <f t="shared" si="133"/>
        <v>545</v>
      </c>
      <c r="W649" s="8">
        <f t="shared" si="135"/>
        <v>50.708845666350015</v>
      </c>
      <c r="X649" s="1">
        <f t="shared" si="142"/>
        <v>50.708845666350015</v>
      </c>
      <c r="Y649" s="18"/>
      <c r="Z649" s="7"/>
      <c r="AA649" s="1"/>
      <c r="AB649" s="1"/>
      <c r="AC649" s="1"/>
    </row>
    <row r="650" spans="1:29" x14ac:dyDescent="0.3">
      <c r="A650">
        <v>649</v>
      </c>
      <c r="E650">
        <v>-208.72117796719999</v>
      </c>
      <c r="F650">
        <v>75.095175638694997</v>
      </c>
      <c r="G650">
        <v>420.83923606599001</v>
      </c>
      <c r="H650">
        <v>49.308260548499</v>
      </c>
      <c r="I650">
        <v>130.15511131254999</v>
      </c>
      <c r="J650">
        <v>289.95781553640001</v>
      </c>
      <c r="L650" s="1">
        <f t="shared" si="143"/>
        <v>3.6093205434099929</v>
      </c>
      <c r="M650">
        <f t="shared" si="144"/>
        <v>2290.2088200558687</v>
      </c>
      <c r="N650">
        <f t="shared" si="136"/>
        <v>6.3616911668218572</v>
      </c>
      <c r="O650">
        <f t="shared" si="137"/>
        <v>49.308260548499</v>
      </c>
      <c r="P650">
        <f t="shared" si="138"/>
        <v>599</v>
      </c>
      <c r="Q650">
        <f t="shared" si="132"/>
        <v>102.41462788288399</v>
      </c>
      <c r="R650">
        <f t="shared" si="139"/>
        <v>102.41462788288399</v>
      </c>
      <c r="S650">
        <f t="shared" si="134"/>
        <v>105.38867087398843</v>
      </c>
      <c r="T650">
        <f t="shared" si="140"/>
        <v>105.38867087398843</v>
      </c>
      <c r="U650" s="3">
        <f t="shared" si="141"/>
        <v>289.95781553640001</v>
      </c>
      <c r="V650">
        <f t="shared" si="133"/>
        <v>546</v>
      </c>
      <c r="W650" s="8">
        <f t="shared" si="135"/>
        <v>50.705622178740015</v>
      </c>
      <c r="X650" s="1">
        <f t="shared" si="142"/>
        <v>50.705622178740015</v>
      </c>
      <c r="Y650" s="18"/>
      <c r="Z650" s="7"/>
      <c r="AA650" s="1"/>
      <c r="AB650" s="1"/>
      <c r="AC650" s="1"/>
    </row>
    <row r="651" spans="1:29" x14ac:dyDescent="0.3">
      <c r="A651">
        <v>650</v>
      </c>
      <c r="E651">
        <v>-208.25983336140001</v>
      </c>
      <c r="F651">
        <v>72.485198466922995</v>
      </c>
      <c r="G651">
        <v>419.15078996864003</v>
      </c>
      <c r="H651">
        <v>49.431092712102</v>
      </c>
      <c r="I651">
        <v>133.75545076936999</v>
      </c>
      <c r="J651">
        <v>290.44732294431998</v>
      </c>
      <c r="L651" s="1">
        <f t="shared" si="143"/>
        <v>3.6003394568199951</v>
      </c>
      <c r="M651">
        <f t="shared" si="144"/>
        <v>2293.8091595126889</v>
      </c>
      <c r="N651">
        <f t="shared" si="136"/>
        <v>6.3716921097574692</v>
      </c>
      <c r="O651">
        <f t="shared" si="137"/>
        <v>49.431092712102</v>
      </c>
      <c r="P651">
        <f t="shared" si="138"/>
        <v>600</v>
      </c>
      <c r="Q651">
        <f t="shared" si="132"/>
        <v>102.42753118209299</v>
      </c>
      <c r="R651">
        <f t="shared" si="139"/>
        <v>102.42753118209299</v>
      </c>
      <c r="S651">
        <f t="shared" si="134"/>
        <v>105.3979292673633</v>
      </c>
      <c r="T651">
        <f t="shared" si="140"/>
        <v>105.3979292673633</v>
      </c>
      <c r="U651" s="3">
        <f t="shared" si="141"/>
        <v>290.44732294431998</v>
      </c>
      <c r="V651">
        <f t="shared" si="133"/>
        <v>547</v>
      </c>
      <c r="W651" s="8">
        <f t="shared" si="135"/>
        <v>50.695716342749989</v>
      </c>
      <c r="X651" s="1">
        <f t="shared" si="142"/>
        <v>50.695716342749989</v>
      </c>
      <c r="Y651" s="18"/>
      <c r="Z651" s="7"/>
      <c r="AA651" s="1"/>
      <c r="AB651" s="1"/>
      <c r="AC651" s="1"/>
    </row>
    <row r="652" spans="1:29" x14ac:dyDescent="0.3">
      <c r="A652">
        <v>651</v>
      </c>
      <c r="E652">
        <v>-207.8129382114</v>
      </c>
      <c r="F652">
        <v>69.995723395772998</v>
      </c>
      <c r="G652">
        <v>417.28561666236999</v>
      </c>
      <c r="H652">
        <v>49.534342995648998</v>
      </c>
      <c r="I652">
        <v>137.34761169845001</v>
      </c>
      <c r="J652">
        <v>290.94146946804</v>
      </c>
      <c r="L652" s="1">
        <f t="shared" si="143"/>
        <v>3.5921609290800234</v>
      </c>
      <c r="M652">
        <f t="shared" si="144"/>
        <v>2297.4013204417688</v>
      </c>
      <c r="N652">
        <f t="shared" si="136"/>
        <v>6.3816703345604688</v>
      </c>
      <c r="O652">
        <f t="shared" si="137"/>
        <v>49.534342995648998</v>
      </c>
      <c r="P652">
        <f t="shared" si="138"/>
        <v>601</v>
      </c>
      <c r="Q652">
        <f t="shared" si="132"/>
        <v>102.40196780615099</v>
      </c>
      <c r="R652">
        <f t="shared" si="139"/>
        <v>102.40196780615099</v>
      </c>
      <c r="S652">
        <f t="shared" si="134"/>
        <v>105.37069224774338</v>
      </c>
      <c r="T652">
        <f t="shared" si="140"/>
        <v>105.37069224774338</v>
      </c>
      <c r="U652" s="3">
        <f t="shared" si="141"/>
        <v>290.94146946804</v>
      </c>
      <c r="V652">
        <f t="shared" si="133"/>
        <v>548</v>
      </c>
      <c r="W652" s="8">
        <f t="shared" si="135"/>
        <v>50.718420980529999</v>
      </c>
      <c r="X652" s="1">
        <f t="shared" si="142"/>
        <v>50.718420980529999</v>
      </c>
      <c r="Y652" s="18"/>
      <c r="Z652" s="7"/>
      <c r="AA652" s="1"/>
      <c r="AB652" s="1"/>
      <c r="AC652" s="1"/>
    </row>
    <row r="653" spans="1:29" x14ac:dyDescent="0.3">
      <c r="A653">
        <v>652</v>
      </c>
      <c r="E653">
        <v>-207.4098729497</v>
      </c>
      <c r="F653">
        <v>67.618318756961003</v>
      </c>
      <c r="G653">
        <v>415.27028511825</v>
      </c>
      <c r="H653">
        <v>49.641867953132</v>
      </c>
      <c r="I653">
        <v>140.93681826864</v>
      </c>
      <c r="J653">
        <v>291.40852308474001</v>
      </c>
      <c r="L653" s="1">
        <f t="shared" si="143"/>
        <v>3.5892065701899867</v>
      </c>
      <c r="M653">
        <f t="shared" si="144"/>
        <v>2300.9905270119589</v>
      </c>
      <c r="N653">
        <f t="shared" si="136"/>
        <v>6.3916403528109971</v>
      </c>
      <c r="O653">
        <f t="shared" si="137"/>
        <v>49.641867953132</v>
      </c>
      <c r="P653">
        <f t="shared" si="138"/>
        <v>602</v>
      </c>
      <c r="Q653">
        <f t="shared" si="132"/>
        <v>102.393150702871</v>
      </c>
      <c r="R653">
        <f t="shared" si="139"/>
        <v>102.393150702871</v>
      </c>
      <c r="S653">
        <f t="shared" si="134"/>
        <v>105.35304025756518</v>
      </c>
      <c r="T653">
        <f t="shared" si="140"/>
        <v>105.35304025756518</v>
      </c>
      <c r="U653" s="3">
        <f t="shared" si="141"/>
        <v>291.40852308474001</v>
      </c>
      <c r="V653">
        <f t="shared" si="133"/>
        <v>549</v>
      </c>
      <c r="W653" s="8">
        <f t="shared" si="135"/>
        <v>50.709234950370018</v>
      </c>
      <c r="X653" s="1">
        <f t="shared" si="142"/>
        <v>50.709234950370018</v>
      </c>
      <c r="Y653" s="18"/>
      <c r="Z653" s="7"/>
      <c r="AA653" s="1"/>
      <c r="AB653" s="1"/>
      <c r="AC653" s="1"/>
    </row>
    <row r="654" spans="1:29" x14ac:dyDescent="0.3">
      <c r="A654">
        <v>653</v>
      </c>
      <c r="E654">
        <v>-207.0022594326</v>
      </c>
      <c r="F654">
        <v>65.352752045524994</v>
      </c>
      <c r="G654">
        <v>413.13079069369002</v>
      </c>
      <c r="H654">
        <v>49.777420059553997</v>
      </c>
      <c r="I654">
        <v>144.51267485666</v>
      </c>
      <c r="J654">
        <v>291.89457341405</v>
      </c>
      <c r="L654" s="1">
        <f t="shared" si="143"/>
        <v>3.5758565880200024</v>
      </c>
      <c r="M654">
        <f t="shared" si="144"/>
        <v>2304.566383599979</v>
      </c>
      <c r="N654">
        <f t="shared" si="136"/>
        <v>6.4015732877777189</v>
      </c>
      <c r="O654">
        <f t="shared" si="137"/>
        <v>49.777420059553997</v>
      </c>
      <c r="P654">
        <f t="shared" si="138"/>
        <v>603</v>
      </c>
      <c r="Q654">
        <f t="shared" si="132"/>
        <v>102.39736656868999</v>
      </c>
      <c r="R654">
        <f t="shared" si="139"/>
        <v>102.39736656868999</v>
      </c>
      <c r="S654">
        <f t="shared" si="134"/>
        <v>105.35244546910387</v>
      </c>
      <c r="T654">
        <f t="shared" si="140"/>
        <v>105.35244546910387</v>
      </c>
      <c r="U654" s="3">
        <f t="shared" si="141"/>
        <v>291.89457341405</v>
      </c>
      <c r="V654">
        <f t="shared" si="133"/>
        <v>550</v>
      </c>
      <c r="W654" s="8">
        <f t="shared" si="135"/>
        <v>50.712636839299989</v>
      </c>
      <c r="X654" s="1">
        <f t="shared" si="142"/>
        <v>50.712636839299989</v>
      </c>
      <c r="Y654" s="18"/>
      <c r="Z654" s="7"/>
      <c r="AA654" s="1"/>
      <c r="AB654" s="1"/>
      <c r="AC654" s="1"/>
    </row>
    <row r="655" spans="1:29" x14ac:dyDescent="0.3">
      <c r="A655">
        <v>654</v>
      </c>
      <c r="E655">
        <v>-206.61362113289999</v>
      </c>
      <c r="F655">
        <v>63.228130562216002</v>
      </c>
      <c r="G655">
        <v>410.84794112371998</v>
      </c>
      <c r="H655">
        <v>49.904576401504002</v>
      </c>
      <c r="I655">
        <v>148.07983689977999</v>
      </c>
      <c r="J655">
        <v>292.37890511429998</v>
      </c>
      <c r="L655" s="1">
        <f t="shared" si="143"/>
        <v>3.5671620431199926</v>
      </c>
      <c r="M655">
        <f t="shared" si="144"/>
        <v>2308.1335456430988</v>
      </c>
      <c r="N655">
        <f t="shared" si="136"/>
        <v>6.4114820712308305</v>
      </c>
      <c r="O655">
        <f t="shared" si="137"/>
        <v>49.904576401504002</v>
      </c>
      <c r="P655">
        <f t="shared" si="138"/>
        <v>604</v>
      </c>
      <c r="Q655">
        <f t="shared" si="132"/>
        <v>102.374128332016</v>
      </c>
      <c r="R655">
        <f t="shared" si="139"/>
        <v>102.374128332016</v>
      </c>
      <c r="S655">
        <f t="shared" si="134"/>
        <v>105.33067231235482</v>
      </c>
      <c r="T655">
        <f t="shared" si="140"/>
        <v>105.33067231235482</v>
      </c>
      <c r="U655" s="3">
        <f t="shared" si="141"/>
        <v>292.37890511429998</v>
      </c>
      <c r="V655">
        <f t="shared" si="133"/>
        <v>551</v>
      </c>
      <c r="W655" s="8">
        <f t="shared" si="135"/>
        <v>50.71032210448999</v>
      </c>
      <c r="X655" s="1">
        <f t="shared" si="142"/>
        <v>50.71032210448999</v>
      </c>
      <c r="Y655" s="18"/>
      <c r="Z655" s="7"/>
      <c r="AA655" s="1"/>
      <c r="AB655" s="1"/>
      <c r="AC655" s="1"/>
    </row>
    <row r="656" spans="1:29" x14ac:dyDescent="0.3">
      <c r="A656">
        <v>655</v>
      </c>
      <c r="E656">
        <v>-206.23450602790001</v>
      </c>
      <c r="F656">
        <v>61.256121851438003</v>
      </c>
      <c r="G656">
        <v>408.43078017379997</v>
      </c>
      <c r="H656">
        <v>50.021278137632002</v>
      </c>
      <c r="I656">
        <v>151.63718849936001</v>
      </c>
      <c r="J656">
        <v>292.87067793243</v>
      </c>
      <c r="L656" s="1">
        <f t="shared" si="143"/>
        <v>3.5573515995800165</v>
      </c>
      <c r="M656">
        <f t="shared" si="144"/>
        <v>2311.6908972426791</v>
      </c>
      <c r="N656">
        <f t="shared" si="136"/>
        <v>6.4213636034518862</v>
      </c>
      <c r="O656">
        <f t="shared" si="137"/>
        <v>50.021278137632002</v>
      </c>
      <c r="P656">
        <f t="shared" si="138"/>
        <v>605</v>
      </c>
      <c r="Q656">
        <f t="shared" si="132"/>
        <v>102.32537153733301</v>
      </c>
      <c r="R656">
        <f t="shared" si="139"/>
        <v>102.32537153733301</v>
      </c>
      <c r="S656">
        <f t="shared" si="134"/>
        <v>105.28013229679641</v>
      </c>
      <c r="T656">
        <f t="shared" si="140"/>
        <v>105.28013229679641</v>
      </c>
      <c r="U656" s="3">
        <f t="shared" si="141"/>
        <v>292.87067793243</v>
      </c>
      <c r="V656">
        <f t="shared" si="133"/>
        <v>552</v>
      </c>
      <c r="W656" s="8">
        <f t="shared" si="135"/>
        <v>50.707750506959997</v>
      </c>
      <c r="X656" s="1">
        <f t="shared" si="142"/>
        <v>50.707750506959997</v>
      </c>
      <c r="Y656" s="18"/>
      <c r="Z656" s="7"/>
      <c r="AA656" s="1"/>
      <c r="AB656" s="1"/>
      <c r="AC656" s="1"/>
    </row>
    <row r="657" spans="1:29" x14ac:dyDescent="0.3">
      <c r="A657">
        <v>656</v>
      </c>
      <c r="E657">
        <v>-205.85629829819999</v>
      </c>
      <c r="F657">
        <v>59.405520558393</v>
      </c>
      <c r="G657">
        <v>405.91892447821999</v>
      </c>
      <c r="H657">
        <v>50.176644056893998</v>
      </c>
      <c r="I657">
        <v>155.18117409627999</v>
      </c>
      <c r="J657">
        <v>293.37403773936001</v>
      </c>
      <c r="L657" s="1">
        <f t="shared" si="143"/>
        <v>3.5439855969199812</v>
      </c>
      <c r="M657">
        <f t="shared" si="144"/>
        <v>2315.2348828395989</v>
      </c>
      <c r="N657">
        <f t="shared" si="136"/>
        <v>6.4312080078877747</v>
      </c>
      <c r="O657">
        <f t="shared" si="137"/>
        <v>50.176644056893998</v>
      </c>
      <c r="P657">
        <f t="shared" si="138"/>
        <v>606</v>
      </c>
      <c r="Q657">
        <f t="shared" si="132"/>
        <v>102.33898767122</v>
      </c>
      <c r="R657">
        <f t="shared" si="139"/>
        <v>102.33898767122</v>
      </c>
      <c r="S657">
        <f t="shared" si="134"/>
        <v>105.29309222362664</v>
      </c>
      <c r="T657">
        <f t="shared" si="140"/>
        <v>105.29309222362664</v>
      </c>
      <c r="U657" s="3">
        <f t="shared" si="141"/>
        <v>293.37403773936001</v>
      </c>
      <c r="V657">
        <f t="shared" si="133"/>
        <v>553</v>
      </c>
      <c r="W657" s="8">
        <f t="shared" si="135"/>
        <v>50.708168361009996</v>
      </c>
      <c r="X657" s="1">
        <f t="shared" si="142"/>
        <v>50.708168361009996</v>
      </c>
      <c r="Y657" s="18"/>
      <c r="Z657" s="7"/>
      <c r="AA657" s="1"/>
      <c r="AB657" s="1"/>
      <c r="AC657" s="1"/>
    </row>
    <row r="658" spans="1:29" x14ac:dyDescent="0.3">
      <c r="A658">
        <v>657</v>
      </c>
      <c r="E658">
        <v>-205.50198306070001</v>
      </c>
      <c r="F658">
        <v>57.752447140858003</v>
      </c>
      <c r="G658">
        <v>403.27049690299998</v>
      </c>
      <c r="H658">
        <v>50.282391206295998</v>
      </c>
      <c r="I658">
        <v>158.71833922823001</v>
      </c>
      <c r="J658">
        <v>293.87252117165002</v>
      </c>
      <c r="L658" s="1">
        <f t="shared" si="143"/>
        <v>3.5371651319500188</v>
      </c>
      <c r="M658">
        <f t="shared" si="144"/>
        <v>2318.772047971549</v>
      </c>
      <c r="N658">
        <f t="shared" si="136"/>
        <v>6.4410334665876361</v>
      </c>
      <c r="O658">
        <f t="shared" si="137"/>
        <v>50.282391206295998</v>
      </c>
      <c r="P658">
        <f t="shared" si="138"/>
        <v>607</v>
      </c>
      <c r="Q658">
        <f t="shared" ref="Q658:Q721" si="145">IF(P658=0,0,O658+INDEX(O:O,P658))</f>
        <v>102.333858901703</v>
      </c>
      <c r="R658">
        <f t="shared" si="139"/>
        <v>102.333858901703</v>
      </c>
      <c r="S658">
        <f t="shared" si="134"/>
        <v>105.29038818886804</v>
      </c>
      <c r="T658">
        <f t="shared" si="140"/>
        <v>105.29038818886804</v>
      </c>
      <c r="U658" s="3">
        <f t="shared" si="141"/>
        <v>293.87252117165002</v>
      </c>
      <c r="V658">
        <f t="shared" si="133"/>
        <v>554</v>
      </c>
      <c r="W658" s="8">
        <f t="shared" si="135"/>
        <v>50.732076261850011</v>
      </c>
      <c r="X658" s="1">
        <f t="shared" si="142"/>
        <v>50.732076261850011</v>
      </c>
      <c r="Y658" s="18"/>
      <c r="Z658" s="7"/>
      <c r="AA658" s="1"/>
      <c r="AB658" s="1"/>
      <c r="AC658" s="1"/>
    </row>
    <row r="659" spans="1:29" x14ac:dyDescent="0.3">
      <c r="A659">
        <v>658</v>
      </c>
      <c r="E659">
        <v>-205.17447541640001</v>
      </c>
      <c r="F659">
        <v>56.224363686726001</v>
      </c>
      <c r="G659">
        <v>400.54378330652997</v>
      </c>
      <c r="H659">
        <v>50.430587276780003</v>
      </c>
      <c r="I659">
        <v>162.24827760023999</v>
      </c>
      <c r="J659">
        <v>294.3556250794</v>
      </c>
      <c r="L659" s="1">
        <f t="shared" si="143"/>
        <v>3.5299383720099797</v>
      </c>
      <c r="M659">
        <f t="shared" si="144"/>
        <v>2322.3019863435588</v>
      </c>
      <c r="N659">
        <f t="shared" si="136"/>
        <v>6.4508388509543302</v>
      </c>
      <c r="O659">
        <f t="shared" si="137"/>
        <v>50.430587276780003</v>
      </c>
      <c r="P659">
        <f t="shared" si="138"/>
        <v>608</v>
      </c>
      <c r="Q659">
        <f t="shared" si="145"/>
        <v>102.360828576269</v>
      </c>
      <c r="R659">
        <f t="shared" si="139"/>
        <v>102.360828576269</v>
      </c>
      <c r="S659">
        <f t="shared" si="134"/>
        <v>105.31564313010612</v>
      </c>
      <c r="T659">
        <f t="shared" si="140"/>
        <v>105.31564313010612</v>
      </c>
      <c r="U659" s="3">
        <f t="shared" si="141"/>
        <v>294.3556250794</v>
      </c>
      <c r="V659">
        <f t="shared" si="133"/>
        <v>555</v>
      </c>
      <c r="W659" s="8">
        <f t="shared" si="135"/>
        <v>50.744595158880003</v>
      </c>
      <c r="X659" s="1">
        <f t="shared" si="142"/>
        <v>50.744595158880003</v>
      </c>
      <c r="Y659" s="18"/>
      <c r="Z659" s="7"/>
      <c r="AA659" s="1"/>
      <c r="AB659" s="1"/>
      <c r="AC659" s="1"/>
    </row>
    <row r="660" spans="1:29" x14ac:dyDescent="0.3">
      <c r="A660">
        <v>659</v>
      </c>
      <c r="E660">
        <v>-204.87634356390001</v>
      </c>
      <c r="F660">
        <v>54.767641132093999</v>
      </c>
      <c r="G660">
        <v>397.77506945057002</v>
      </c>
      <c r="H660">
        <v>50.685037976720999</v>
      </c>
      <c r="I660">
        <v>165.76020402386001</v>
      </c>
      <c r="J660">
        <v>294.81571853161</v>
      </c>
      <c r="L660" s="1">
        <f t="shared" si="143"/>
        <v>3.5119264236200252</v>
      </c>
      <c r="M660">
        <f t="shared" si="144"/>
        <v>2325.8139127671789</v>
      </c>
      <c r="N660">
        <f t="shared" si="136"/>
        <v>6.4605942021310527</v>
      </c>
      <c r="O660">
        <f t="shared" si="137"/>
        <v>50.685037976720999</v>
      </c>
      <c r="P660">
        <f t="shared" si="138"/>
        <v>609</v>
      </c>
      <c r="Q660">
        <f t="shared" si="145"/>
        <v>102.48552778192101</v>
      </c>
      <c r="R660">
        <f t="shared" si="139"/>
        <v>102.48552778192101</v>
      </c>
      <c r="S660">
        <f t="shared" si="134"/>
        <v>105.43142144164881</v>
      </c>
      <c r="T660">
        <f t="shared" si="140"/>
        <v>105.43142144164881</v>
      </c>
      <c r="U660" s="3">
        <f t="shared" si="141"/>
        <v>294.81571853161</v>
      </c>
      <c r="V660">
        <f t="shared" si="133"/>
        <v>556</v>
      </c>
      <c r="W660" s="8">
        <f t="shared" si="135"/>
        <v>50.725715570720013</v>
      </c>
      <c r="X660" s="1">
        <f t="shared" si="142"/>
        <v>50.725715570720013</v>
      </c>
      <c r="Y660" s="18"/>
      <c r="Z660" s="7"/>
      <c r="AA660" s="1"/>
      <c r="AB660" s="1"/>
      <c r="AC660" s="1"/>
    </row>
    <row r="661" spans="1:29" x14ac:dyDescent="0.3">
      <c r="A661">
        <v>660</v>
      </c>
      <c r="E661">
        <v>-204.5776133876</v>
      </c>
      <c r="F661">
        <v>53.560713032496999</v>
      </c>
      <c r="G661">
        <v>394.88865941360001</v>
      </c>
      <c r="H661">
        <v>50.854129568127</v>
      </c>
      <c r="I661">
        <v>169.26071606522001</v>
      </c>
      <c r="J661">
        <v>295.2959237101</v>
      </c>
      <c r="L661" s="1">
        <f t="shared" si="143"/>
        <v>3.5005120413599968</v>
      </c>
      <c r="M661">
        <f t="shared" si="144"/>
        <v>2329.3144248085387</v>
      </c>
      <c r="N661">
        <f t="shared" si="136"/>
        <v>6.470317846690385</v>
      </c>
      <c r="O661">
        <f t="shared" si="137"/>
        <v>50.854129568127</v>
      </c>
      <c r="P661">
        <f t="shared" si="138"/>
        <v>610</v>
      </c>
      <c r="Q661">
        <f t="shared" si="145"/>
        <v>102.53332680821299</v>
      </c>
      <c r="R661">
        <f t="shared" si="139"/>
        <v>102.53332680821299</v>
      </c>
      <c r="S661">
        <f t="shared" si="134"/>
        <v>105.47499503247717</v>
      </c>
      <c r="T661">
        <f t="shared" si="140"/>
        <v>105.47499503247717</v>
      </c>
      <c r="U661" s="3">
        <f t="shared" si="141"/>
        <v>295.2959237101</v>
      </c>
      <c r="V661">
        <f t="shared" si="133"/>
        <v>557</v>
      </c>
      <c r="W661" s="8">
        <f t="shared" si="135"/>
        <v>50.72513693273001</v>
      </c>
      <c r="X661" s="1">
        <f t="shared" si="142"/>
        <v>50.72513693273001</v>
      </c>
      <c r="Y661" s="18"/>
      <c r="Z661" s="7"/>
      <c r="AA661" s="1"/>
      <c r="AB661" s="1"/>
      <c r="AC661" s="1"/>
    </row>
    <row r="662" spans="1:29" x14ac:dyDescent="0.3">
      <c r="A662">
        <v>661</v>
      </c>
      <c r="E662">
        <v>-204.31033454179999</v>
      </c>
      <c r="F662">
        <v>52.600697431184997</v>
      </c>
      <c r="G662">
        <v>391.90831896666998</v>
      </c>
      <c r="H662">
        <v>50.947297396800003</v>
      </c>
      <c r="I662">
        <v>172.75786812502</v>
      </c>
      <c r="J662">
        <v>295.76229882489997</v>
      </c>
      <c r="L662" s="1">
        <f t="shared" si="143"/>
        <v>3.497152059799987</v>
      </c>
      <c r="M662">
        <f t="shared" si="144"/>
        <v>2332.8115768683388</v>
      </c>
      <c r="N662">
        <f t="shared" si="136"/>
        <v>6.4800321579676075</v>
      </c>
      <c r="O662">
        <f t="shared" si="137"/>
        <v>50.947297396800003</v>
      </c>
      <c r="P662">
        <f t="shared" si="138"/>
        <v>611</v>
      </c>
      <c r="Q662">
        <f t="shared" si="145"/>
        <v>102.42721127093</v>
      </c>
      <c r="R662">
        <f t="shared" si="139"/>
        <v>102.42721127093</v>
      </c>
      <c r="S662">
        <f t="shared" si="134"/>
        <v>105.35172009791604</v>
      </c>
      <c r="T662">
        <f t="shared" si="140"/>
        <v>105.35172009791604</v>
      </c>
      <c r="U662" s="3">
        <f t="shared" si="141"/>
        <v>295.76229882489997</v>
      </c>
      <c r="V662">
        <f t="shared" si="133"/>
        <v>558</v>
      </c>
      <c r="W662" s="8">
        <f t="shared" si="135"/>
        <v>50.692584177649962</v>
      </c>
      <c r="X662" s="1">
        <f t="shared" si="142"/>
        <v>50.692584177649962</v>
      </c>
      <c r="Y662" s="18"/>
      <c r="Z662" s="7"/>
      <c r="AA662" s="1"/>
      <c r="AB662" s="1"/>
      <c r="AC662" s="1"/>
    </row>
    <row r="663" spans="1:29" x14ac:dyDescent="0.3">
      <c r="A663">
        <v>662</v>
      </c>
      <c r="E663">
        <v>-204.02643601290001</v>
      </c>
      <c r="F663">
        <v>51.755881770404002</v>
      </c>
      <c r="G663">
        <v>388.89455403420999</v>
      </c>
      <c r="H663">
        <v>51.110768170516998</v>
      </c>
      <c r="I663">
        <v>176.23911432189999</v>
      </c>
      <c r="J663">
        <v>296.25255504403998</v>
      </c>
      <c r="L663" s="1">
        <f t="shared" si="143"/>
        <v>3.4812461968799937</v>
      </c>
      <c r="M663">
        <f t="shared" si="144"/>
        <v>2336.2928230652187</v>
      </c>
      <c r="N663">
        <f t="shared" si="136"/>
        <v>6.4897022862922746</v>
      </c>
      <c r="O663">
        <f t="shared" si="137"/>
        <v>51.110768170516998</v>
      </c>
      <c r="P663">
        <f t="shared" si="138"/>
        <v>612</v>
      </c>
      <c r="Q663">
        <f t="shared" si="145"/>
        <v>102.45361611074699</v>
      </c>
      <c r="R663">
        <f t="shared" si="139"/>
        <v>102.45361611074699</v>
      </c>
      <c r="S663">
        <f t="shared" si="134"/>
        <v>105.36786344488746</v>
      </c>
      <c r="T663">
        <f t="shared" si="140"/>
        <v>105.36786344488746</v>
      </c>
      <c r="U663" s="3">
        <f t="shared" si="141"/>
        <v>296.25255504403998</v>
      </c>
      <c r="V663">
        <f t="shared" si="133"/>
        <v>559</v>
      </c>
      <c r="W663" s="8">
        <f t="shared" si="135"/>
        <v>50.688885430369993</v>
      </c>
      <c r="X663" s="1">
        <f t="shared" si="142"/>
        <v>50.688885430369993</v>
      </c>
      <c r="Y663" s="18"/>
      <c r="Z663" s="7"/>
      <c r="AA663" s="1"/>
      <c r="AB663" s="1"/>
      <c r="AC663" s="1"/>
    </row>
    <row r="664" spans="1:29" x14ac:dyDescent="0.3">
      <c r="A664">
        <v>663</v>
      </c>
      <c r="E664">
        <v>-203.75510967970001</v>
      </c>
      <c r="F664">
        <v>51.113470018887</v>
      </c>
      <c r="G664">
        <v>385.83013401850002</v>
      </c>
      <c r="H664">
        <v>51.253557487202002</v>
      </c>
      <c r="I664">
        <v>179.71111669135999</v>
      </c>
      <c r="J664">
        <v>296.74251880148</v>
      </c>
      <c r="L664" s="1">
        <f t="shared" si="143"/>
        <v>3.4720023694600002</v>
      </c>
      <c r="M664">
        <f t="shared" si="144"/>
        <v>2339.7648254346786</v>
      </c>
      <c r="N664">
        <f t="shared" si="136"/>
        <v>6.4993467373185521</v>
      </c>
      <c r="O664">
        <f t="shared" si="137"/>
        <v>51.253557487202002</v>
      </c>
      <c r="P664">
        <f t="shared" si="138"/>
        <v>613</v>
      </c>
      <c r="Q664">
        <f t="shared" si="145"/>
        <v>102.52711307423701</v>
      </c>
      <c r="R664">
        <f t="shared" si="139"/>
        <v>102.52711307423701</v>
      </c>
      <c r="S664">
        <f t="shared" si="134"/>
        <v>105.44499240452815</v>
      </c>
      <c r="T664">
        <f t="shared" si="140"/>
        <v>105.44499240452815</v>
      </c>
      <c r="U664" s="3">
        <f t="shared" si="141"/>
        <v>296.74251880148</v>
      </c>
      <c r="V664">
        <f t="shared" si="133"/>
        <v>560</v>
      </c>
      <c r="W664" s="8">
        <f t="shared" si="135"/>
        <v>50.687691606009992</v>
      </c>
      <c r="X664" s="1">
        <f t="shared" si="142"/>
        <v>50.687691606009992</v>
      </c>
      <c r="Y664" s="18"/>
      <c r="Z664" s="7"/>
      <c r="AA664" s="1"/>
      <c r="AB664" s="1"/>
      <c r="AC664" s="1"/>
    </row>
    <row r="665" spans="1:29" x14ac:dyDescent="0.3">
      <c r="A665">
        <v>664</v>
      </c>
      <c r="E665">
        <v>-203.526757653</v>
      </c>
      <c r="F665">
        <v>50.752857949880003</v>
      </c>
      <c r="G665">
        <v>382.71672756281998</v>
      </c>
      <c r="H665">
        <v>51.296744529724002</v>
      </c>
      <c r="I665">
        <v>-176.81540051159999</v>
      </c>
      <c r="J665">
        <v>297.20498102571003</v>
      </c>
      <c r="L665" s="1">
        <f t="shared" si="143"/>
        <v>-356.52651720296001</v>
      </c>
      <c r="M665">
        <f t="shared" si="144"/>
        <v>2343.2368278041386</v>
      </c>
      <c r="N665">
        <f t="shared" si="136"/>
        <v>6.5089911883448295</v>
      </c>
      <c r="O665">
        <f t="shared" si="137"/>
        <v>51.296744529724002</v>
      </c>
      <c r="P665">
        <f t="shared" si="138"/>
        <v>614</v>
      </c>
      <c r="Q665">
        <f t="shared" si="145"/>
        <v>102.505415577427</v>
      </c>
      <c r="R665">
        <f t="shared" si="139"/>
        <v>102.505415577427</v>
      </c>
      <c r="S665">
        <f t="shared" si="134"/>
        <v>105.44237756863508</v>
      </c>
      <c r="T665">
        <f t="shared" si="140"/>
        <v>105.44237756863508</v>
      </c>
      <c r="U665" s="3">
        <f t="shared" si="141"/>
        <v>297.20498102571003</v>
      </c>
      <c r="V665">
        <f t="shared" si="133"/>
        <v>561</v>
      </c>
      <c r="W665" s="8">
        <f t="shared" si="135"/>
        <v>50.660580619510029</v>
      </c>
      <c r="X665" s="1">
        <f t="shared" si="142"/>
        <v>50.660580619510029</v>
      </c>
      <c r="Y665" s="18"/>
      <c r="Z665" s="7"/>
      <c r="AA665" s="1"/>
      <c r="AB665" s="1"/>
      <c r="AC665" s="1"/>
    </row>
    <row r="666" spans="1:29" x14ac:dyDescent="0.3">
      <c r="A666">
        <v>665</v>
      </c>
      <c r="E666">
        <v>-203.3080544826</v>
      </c>
      <c r="F666">
        <v>50.475439173007999</v>
      </c>
      <c r="G666">
        <v>379.59398477904</v>
      </c>
      <c r="H666">
        <v>51.444090828515002</v>
      </c>
      <c r="I666">
        <v>-173.3508641912</v>
      </c>
      <c r="J666">
        <v>297.66193914218002</v>
      </c>
      <c r="L666" s="1">
        <f t="shared" si="143"/>
        <v>3.4645363203999864</v>
      </c>
      <c r="M666">
        <f t="shared" si="144"/>
        <v>2346.7013641245385</v>
      </c>
      <c r="N666">
        <f t="shared" si="136"/>
        <v>6.5186149003459404</v>
      </c>
      <c r="O666">
        <f t="shared" si="137"/>
        <v>51.444090828515002</v>
      </c>
      <c r="P666">
        <f t="shared" si="138"/>
        <v>615</v>
      </c>
      <c r="Q666">
        <f t="shared" si="145"/>
        <v>102.51842718325901</v>
      </c>
      <c r="R666">
        <f t="shared" si="139"/>
        <v>102.51842718325901</v>
      </c>
      <c r="S666">
        <f t="shared" si="134"/>
        <v>105.45232230888831</v>
      </c>
      <c r="T666">
        <f t="shared" si="140"/>
        <v>105.45232230888831</v>
      </c>
      <c r="U666" s="3">
        <f t="shared" si="141"/>
        <v>297.66193914218002</v>
      </c>
      <c r="V666">
        <f t="shared" si="133"/>
        <v>562</v>
      </c>
      <c r="W666" s="8">
        <f t="shared" si="135"/>
        <v>50.650777984800015</v>
      </c>
      <c r="X666" s="1">
        <f t="shared" si="142"/>
        <v>50.650777984800015</v>
      </c>
      <c r="Y666" s="18"/>
      <c r="Z666" s="7"/>
      <c r="AA666" s="1"/>
      <c r="AB666" s="1"/>
      <c r="AC666" s="1"/>
    </row>
    <row r="667" spans="1:29" x14ac:dyDescent="0.3">
      <c r="A667">
        <v>666</v>
      </c>
      <c r="E667">
        <v>-203.01189738260001</v>
      </c>
      <c r="F667">
        <v>50.339857568985998</v>
      </c>
      <c r="G667">
        <v>376.46846206510003</v>
      </c>
      <c r="H667">
        <v>51.639445684279998</v>
      </c>
      <c r="I667">
        <v>-169.9159098065</v>
      </c>
      <c r="J667">
        <v>298.20198547746998</v>
      </c>
      <c r="L667" s="1">
        <f t="shared" si="143"/>
        <v>3.4349543847000064</v>
      </c>
      <c r="M667">
        <f t="shared" si="144"/>
        <v>2350.1363185092387</v>
      </c>
      <c r="N667">
        <f t="shared" si="136"/>
        <v>6.5281564403034409</v>
      </c>
      <c r="O667">
        <f t="shared" si="137"/>
        <v>51.639445684279998</v>
      </c>
      <c r="P667">
        <f t="shared" si="138"/>
        <v>616</v>
      </c>
      <c r="Q667">
        <f t="shared" si="145"/>
        <v>102.546481651562</v>
      </c>
      <c r="R667">
        <f t="shared" si="139"/>
        <v>102.546481651562</v>
      </c>
      <c r="S667">
        <f t="shared" si="134"/>
        <v>105.49326339405133</v>
      </c>
      <c r="T667">
        <f t="shared" si="140"/>
        <v>105.49326339405133</v>
      </c>
      <c r="U667" s="3">
        <f t="shared" si="141"/>
        <v>298.20198547746998</v>
      </c>
      <c r="V667">
        <f t="shared" si="133"/>
        <v>563</v>
      </c>
      <c r="W667" s="8">
        <f t="shared" si="135"/>
        <v>50.722566762539969</v>
      </c>
      <c r="X667" s="1">
        <f t="shared" si="142"/>
        <v>50.722566762539969</v>
      </c>
      <c r="Y667" s="18"/>
      <c r="Z667" s="7"/>
      <c r="AA667" s="1"/>
      <c r="AB667" s="1"/>
      <c r="AC667" s="1"/>
    </row>
    <row r="668" spans="1:29" x14ac:dyDescent="0.3">
      <c r="A668">
        <v>667</v>
      </c>
      <c r="E668">
        <v>-202.78753563789999</v>
      </c>
      <c r="F668">
        <v>50.516018041336999</v>
      </c>
      <c r="G668">
        <v>373.33877460453999</v>
      </c>
      <c r="H668">
        <v>51.706896204941003</v>
      </c>
      <c r="I668">
        <v>-166.47272205729999</v>
      </c>
      <c r="J668">
        <v>298.68344079500997</v>
      </c>
      <c r="L668" s="1">
        <f t="shared" si="143"/>
        <v>3.4431877492000069</v>
      </c>
      <c r="M668">
        <f t="shared" si="144"/>
        <v>2353.5795062584389</v>
      </c>
      <c r="N668">
        <f t="shared" si="136"/>
        <v>6.5377208507178857</v>
      </c>
      <c r="O668">
        <f t="shared" si="137"/>
        <v>51.706896204941003</v>
      </c>
      <c r="P668">
        <f t="shared" si="138"/>
        <v>617</v>
      </c>
      <c r="Q668">
        <f t="shared" si="145"/>
        <v>102.46403163858599</v>
      </c>
      <c r="R668">
        <f t="shared" si="139"/>
        <v>102.46403163858599</v>
      </c>
      <c r="S668">
        <f t="shared" si="134"/>
        <v>105.41586758628361</v>
      </c>
      <c r="T668">
        <f t="shared" si="140"/>
        <v>105.41586758628361</v>
      </c>
      <c r="U668" s="3">
        <f t="shared" si="141"/>
        <v>298.68344079500997</v>
      </c>
      <c r="V668">
        <f t="shared" si="133"/>
        <v>564</v>
      </c>
      <c r="W668" s="8">
        <f t="shared" si="135"/>
        <v>50.72238391632996</v>
      </c>
      <c r="X668" s="1">
        <f t="shared" si="142"/>
        <v>50.72238391632996</v>
      </c>
      <c r="Y668" s="18"/>
      <c r="Z668" s="7"/>
      <c r="AA668" s="1"/>
      <c r="AB668" s="1"/>
      <c r="AC668" s="1"/>
    </row>
    <row r="669" spans="1:29" x14ac:dyDescent="0.3">
      <c r="A669">
        <v>668</v>
      </c>
      <c r="E669">
        <v>-202.55109343800001</v>
      </c>
      <c r="F669">
        <v>50.782636121007997</v>
      </c>
      <c r="G669">
        <v>370.21651762030001</v>
      </c>
      <c r="H669">
        <v>51.870109925389002</v>
      </c>
      <c r="I669">
        <v>-163.04392370790001</v>
      </c>
      <c r="J669">
        <v>299.17998268256002</v>
      </c>
      <c r="L669" s="1">
        <f t="shared" si="143"/>
        <v>3.4287983493999832</v>
      </c>
      <c r="M669">
        <f t="shared" si="144"/>
        <v>2357.0083046078389</v>
      </c>
      <c r="N669">
        <f t="shared" si="136"/>
        <v>6.5472452905773304</v>
      </c>
      <c r="O669">
        <f t="shared" si="137"/>
        <v>51.870109925389002</v>
      </c>
      <c r="P669">
        <f t="shared" si="138"/>
        <v>618</v>
      </c>
      <c r="Q669">
        <f t="shared" si="145"/>
        <v>102.48419994915801</v>
      </c>
      <c r="R669">
        <f t="shared" si="139"/>
        <v>102.48419994915801</v>
      </c>
      <c r="S669">
        <f t="shared" si="134"/>
        <v>105.44148720904194</v>
      </c>
      <c r="T669">
        <f t="shared" si="140"/>
        <v>105.44148720904194</v>
      </c>
      <c r="U669" s="3">
        <f t="shared" si="141"/>
        <v>299.17998268256002</v>
      </c>
      <c r="V669">
        <f t="shared" si="133"/>
        <v>565</v>
      </c>
      <c r="W669" s="8">
        <f t="shared" si="135"/>
        <v>50.756320709980031</v>
      </c>
      <c r="X669" s="1">
        <f t="shared" si="142"/>
        <v>50.756320709980031</v>
      </c>
      <c r="Y669" s="18"/>
      <c r="Z669" s="7"/>
      <c r="AA669" s="1"/>
      <c r="AB669" s="1"/>
      <c r="AC669" s="1"/>
    </row>
    <row r="670" spans="1:29" x14ac:dyDescent="0.3">
      <c r="A670">
        <v>669</v>
      </c>
      <c r="E670">
        <v>-202.29457594120001</v>
      </c>
      <c r="F670">
        <v>51.245820990582999</v>
      </c>
      <c r="G670">
        <v>367.11886438242999</v>
      </c>
      <c r="H670">
        <v>52.020899829698998</v>
      </c>
      <c r="I670">
        <v>-159.62945271379999</v>
      </c>
      <c r="J670">
        <v>299.70247919715001</v>
      </c>
      <c r="L670" s="1">
        <f t="shared" si="143"/>
        <v>3.4144709941000144</v>
      </c>
      <c r="M670">
        <f t="shared" si="144"/>
        <v>2360.4227756019391</v>
      </c>
      <c r="N670">
        <f t="shared" si="136"/>
        <v>6.5567299322276087</v>
      </c>
      <c r="O670">
        <f t="shared" si="137"/>
        <v>52.020899829698998</v>
      </c>
      <c r="P670">
        <f t="shared" si="138"/>
        <v>619</v>
      </c>
      <c r="Q670">
        <f t="shared" si="145"/>
        <v>102.43515535407801</v>
      </c>
      <c r="R670">
        <f t="shared" si="139"/>
        <v>102.43515535407801</v>
      </c>
      <c r="S670">
        <f t="shared" si="134"/>
        <v>105.38957500077819</v>
      </c>
      <c r="T670">
        <f t="shared" si="140"/>
        <v>105.38957500077819</v>
      </c>
      <c r="U670" s="3">
        <f t="shared" si="141"/>
        <v>299.70247919715001</v>
      </c>
      <c r="V670">
        <f t="shared" si="133"/>
        <v>566</v>
      </c>
      <c r="W670" s="8">
        <f t="shared" si="135"/>
        <v>50.779058305070009</v>
      </c>
      <c r="X670" s="1">
        <f t="shared" si="142"/>
        <v>50.779058305070009</v>
      </c>
      <c r="Y670" s="18"/>
      <c r="Z670" s="7"/>
      <c r="AA670" s="1"/>
      <c r="AB670" s="1"/>
      <c r="AC670" s="1"/>
    </row>
    <row r="671" spans="1:29" x14ac:dyDescent="0.3">
      <c r="A671">
        <v>670</v>
      </c>
      <c r="E671">
        <v>-202.0795938533</v>
      </c>
      <c r="F671">
        <v>51.924900090392001</v>
      </c>
      <c r="G671">
        <v>364.05794069036</v>
      </c>
      <c r="H671">
        <v>52.136788536262998</v>
      </c>
      <c r="I671">
        <v>-156.21554748310001</v>
      </c>
      <c r="J671">
        <v>300.18937619447001</v>
      </c>
      <c r="L671" s="1">
        <f t="shared" si="143"/>
        <v>3.4139052306999815</v>
      </c>
      <c r="M671">
        <f t="shared" si="144"/>
        <v>2363.8366808326391</v>
      </c>
      <c r="N671">
        <f t="shared" si="136"/>
        <v>6.5662130023128862</v>
      </c>
      <c r="O671">
        <f t="shared" si="137"/>
        <v>52.136788536262998</v>
      </c>
      <c r="P671">
        <f t="shared" si="138"/>
        <v>620</v>
      </c>
      <c r="Q671">
        <f t="shared" si="145"/>
        <v>102.431135923272</v>
      </c>
      <c r="R671">
        <f t="shared" si="139"/>
        <v>102.431135923272</v>
      </c>
      <c r="S671">
        <f t="shared" si="134"/>
        <v>105.3918378958862</v>
      </c>
      <c r="T671">
        <f t="shared" si="140"/>
        <v>105.3918378958862</v>
      </c>
      <c r="U671" s="3">
        <f t="shared" si="141"/>
        <v>300.18937619447001</v>
      </c>
      <c r="V671">
        <f t="shared" si="133"/>
        <v>567</v>
      </c>
      <c r="W671" s="8">
        <f t="shared" si="135"/>
        <v>50.766355903250002</v>
      </c>
      <c r="X671" s="1">
        <f t="shared" si="142"/>
        <v>50.766355903250002</v>
      </c>
      <c r="Y671" s="18"/>
      <c r="Z671" s="7"/>
      <c r="AA671" s="1"/>
      <c r="AB671" s="1"/>
      <c r="AC671" s="1"/>
    </row>
    <row r="672" spans="1:29" x14ac:dyDescent="0.3">
      <c r="A672">
        <v>671</v>
      </c>
      <c r="E672">
        <v>-201.8801920418</v>
      </c>
      <c r="F672">
        <v>52.744013042055997</v>
      </c>
      <c r="G672">
        <v>361.03062952627999</v>
      </c>
      <c r="H672">
        <v>52.293225933361001</v>
      </c>
      <c r="I672">
        <v>-152.8105931975</v>
      </c>
      <c r="J672">
        <v>300.66371249773999</v>
      </c>
      <c r="L672" s="1">
        <f t="shared" si="143"/>
        <v>3.404954285600013</v>
      </c>
      <c r="M672">
        <f t="shared" si="144"/>
        <v>2367.2416351182392</v>
      </c>
      <c r="N672">
        <f t="shared" si="136"/>
        <v>6.5756712086617757</v>
      </c>
      <c r="O672">
        <f t="shared" si="137"/>
        <v>52.293225933361001</v>
      </c>
      <c r="P672">
        <f t="shared" si="138"/>
        <v>621</v>
      </c>
      <c r="Q672">
        <f t="shared" si="145"/>
        <v>102.49333557028601</v>
      </c>
      <c r="R672">
        <f t="shared" si="139"/>
        <v>102.49333557028601</v>
      </c>
      <c r="S672">
        <f t="shared" si="134"/>
        <v>105.44727073805835</v>
      </c>
      <c r="T672">
        <f t="shared" si="140"/>
        <v>105.44727073805835</v>
      </c>
      <c r="U672" s="3">
        <f t="shared" si="141"/>
        <v>300.66371249773999</v>
      </c>
      <c r="V672">
        <f t="shared" si="133"/>
        <v>568</v>
      </c>
      <c r="W672" s="8">
        <f t="shared" si="135"/>
        <v>50.765301406489982</v>
      </c>
      <c r="X672" s="1">
        <f t="shared" si="142"/>
        <v>50.765301406489982</v>
      </c>
      <c r="Y672" s="18"/>
      <c r="Z672" s="7"/>
      <c r="AA672" s="1"/>
      <c r="AB672" s="1"/>
      <c r="AC672" s="1"/>
    </row>
    <row r="673" spans="1:29" x14ac:dyDescent="0.3">
      <c r="A673">
        <v>672</v>
      </c>
      <c r="E673">
        <v>-201.65311050720001</v>
      </c>
      <c r="F673">
        <v>53.756660548200998</v>
      </c>
      <c r="G673">
        <v>358.06431970363002</v>
      </c>
      <c r="H673">
        <v>52.431053398365997</v>
      </c>
      <c r="I673">
        <v>-149.41939064479999</v>
      </c>
      <c r="J673">
        <v>301.16853700064001</v>
      </c>
      <c r="L673" s="1">
        <f t="shared" si="143"/>
        <v>3.3912025527000083</v>
      </c>
      <c r="M673">
        <f t="shared" si="144"/>
        <v>2370.6328376709394</v>
      </c>
      <c r="N673">
        <f t="shared" si="136"/>
        <v>6.5850912157526089</v>
      </c>
      <c r="O673">
        <f t="shared" si="137"/>
        <v>52.431053398365997</v>
      </c>
      <c r="P673">
        <f t="shared" si="138"/>
        <v>622</v>
      </c>
      <c r="Q673">
        <f t="shared" si="145"/>
        <v>102.504199908983</v>
      </c>
      <c r="R673">
        <f t="shared" si="139"/>
        <v>102.504199908983</v>
      </c>
      <c r="S673">
        <f t="shared" si="134"/>
        <v>105.45102842480962</v>
      </c>
      <c r="T673">
        <f t="shared" si="140"/>
        <v>105.45102842480962</v>
      </c>
      <c r="U673" s="3">
        <f t="shared" si="141"/>
        <v>301.16853700064001</v>
      </c>
      <c r="V673">
        <f t="shared" si="133"/>
        <v>569</v>
      </c>
      <c r="W673" s="8">
        <f t="shared" si="135"/>
        <v>50.766507649030018</v>
      </c>
      <c r="X673" s="1">
        <f t="shared" si="142"/>
        <v>50.766507649030018</v>
      </c>
      <c r="Y673" s="18"/>
      <c r="Z673" s="7"/>
      <c r="AA673" s="1"/>
      <c r="AB673" s="1"/>
      <c r="AC673" s="1"/>
    </row>
    <row r="674" spans="1:29" x14ac:dyDescent="0.3">
      <c r="A674">
        <v>673</v>
      </c>
      <c r="E674">
        <v>-201.44474467480001</v>
      </c>
      <c r="F674">
        <v>54.941596728032998</v>
      </c>
      <c r="G674">
        <v>355.16108122929001</v>
      </c>
      <c r="H674">
        <v>52.568842405811999</v>
      </c>
      <c r="I674">
        <v>-146.03411564059999</v>
      </c>
      <c r="J674">
        <v>301.65661816803998</v>
      </c>
      <c r="L674" s="1">
        <f t="shared" si="143"/>
        <v>3.3852750041999968</v>
      </c>
      <c r="M674">
        <f t="shared" si="144"/>
        <v>2374.0181126751395</v>
      </c>
      <c r="N674">
        <f t="shared" si="136"/>
        <v>6.5944947574309429</v>
      </c>
      <c r="O674">
        <f t="shared" si="137"/>
        <v>52.568842405811999</v>
      </c>
      <c r="P674">
        <f t="shared" si="138"/>
        <v>623</v>
      </c>
      <c r="Q674">
        <f t="shared" si="145"/>
        <v>102.471030110876</v>
      </c>
      <c r="R674">
        <f t="shared" si="139"/>
        <v>102.471030110876</v>
      </c>
      <c r="S674">
        <f t="shared" si="134"/>
        <v>105.40980265827629</v>
      </c>
      <c r="T674">
        <f t="shared" si="140"/>
        <v>105.40980265827629</v>
      </c>
      <c r="U674" s="3">
        <f t="shared" si="141"/>
        <v>301.65661816803998</v>
      </c>
      <c r="V674">
        <f t="shared" si="133"/>
        <v>570</v>
      </c>
      <c r="W674" s="8">
        <f t="shared" si="135"/>
        <v>50.735473425859993</v>
      </c>
      <c r="X674" s="1">
        <f t="shared" si="142"/>
        <v>50.735473425859993</v>
      </c>
      <c r="Y674" s="18"/>
      <c r="Z674" s="7"/>
      <c r="AA674" s="1"/>
      <c r="AB674" s="1"/>
      <c r="AC674" s="1"/>
    </row>
    <row r="675" spans="1:29" x14ac:dyDescent="0.3">
      <c r="A675">
        <v>674</v>
      </c>
      <c r="E675">
        <v>-201.14801484669999</v>
      </c>
      <c r="F675">
        <v>56.268389403104003</v>
      </c>
      <c r="G675">
        <v>352.32761234257998</v>
      </c>
      <c r="H675">
        <v>52.730618910220002</v>
      </c>
      <c r="I675">
        <v>-142.6761240191</v>
      </c>
      <c r="J675">
        <v>302.23283847514</v>
      </c>
      <c r="L675" s="1">
        <f t="shared" si="143"/>
        <v>3.3579916214999912</v>
      </c>
      <c r="M675">
        <f t="shared" si="144"/>
        <v>2377.3761042966394</v>
      </c>
      <c r="N675">
        <f t="shared" si="136"/>
        <v>6.6038225119351095</v>
      </c>
      <c r="O675">
        <f t="shared" si="137"/>
        <v>52.730618910220002</v>
      </c>
      <c r="P675">
        <f t="shared" si="138"/>
        <v>624</v>
      </c>
      <c r="Q675">
        <f t="shared" si="145"/>
        <v>102.499827852455</v>
      </c>
      <c r="R675">
        <f t="shared" si="139"/>
        <v>102.499827852455</v>
      </c>
      <c r="S675">
        <f t="shared" si="134"/>
        <v>105.46498829010373</v>
      </c>
      <c r="T675">
        <f t="shared" si="140"/>
        <v>105.46498829010373</v>
      </c>
      <c r="U675" s="3">
        <f t="shared" si="141"/>
        <v>302.23283847514</v>
      </c>
      <c r="V675">
        <f t="shared" si="133"/>
        <v>571</v>
      </c>
      <c r="W675" s="8">
        <f t="shared" si="135"/>
        <v>50.840364171640005</v>
      </c>
      <c r="X675" s="1">
        <f t="shared" si="142"/>
        <v>50.840364171640005</v>
      </c>
      <c r="Y675" s="18"/>
      <c r="Z675" s="7"/>
      <c r="AA675" s="1"/>
      <c r="AB675" s="1"/>
      <c r="AC675" s="1"/>
    </row>
    <row r="676" spans="1:29" x14ac:dyDescent="0.3">
      <c r="A676">
        <v>675</v>
      </c>
      <c r="E676">
        <v>-200.91048985450001</v>
      </c>
      <c r="F676">
        <v>57.774872569080998</v>
      </c>
      <c r="G676">
        <v>349.58002324289998</v>
      </c>
      <c r="H676">
        <v>52.875210777241001</v>
      </c>
      <c r="I676">
        <v>-139.3160158037</v>
      </c>
      <c r="J676">
        <v>302.75045999443</v>
      </c>
      <c r="L676" s="1">
        <f t="shared" si="143"/>
        <v>3.3601082154000039</v>
      </c>
      <c r="M676">
        <f t="shared" si="144"/>
        <v>2380.7362125120394</v>
      </c>
      <c r="N676">
        <f t="shared" si="136"/>
        <v>6.6131561458667765</v>
      </c>
      <c r="O676">
        <f t="shared" si="137"/>
        <v>52.875210777241001</v>
      </c>
      <c r="P676">
        <f t="shared" si="138"/>
        <v>625</v>
      </c>
      <c r="Q676">
        <f t="shared" si="145"/>
        <v>102.506442488134</v>
      </c>
      <c r="R676">
        <f t="shared" si="139"/>
        <v>102.506442488134</v>
      </c>
      <c r="S676">
        <f t="shared" si="134"/>
        <v>105.47860314481994</v>
      </c>
      <c r="T676">
        <f t="shared" si="140"/>
        <v>105.47860314481994</v>
      </c>
      <c r="U676" s="3">
        <f t="shared" si="141"/>
        <v>302.75045999443</v>
      </c>
      <c r="V676">
        <f t="shared" si="133"/>
        <v>572</v>
      </c>
      <c r="W676" s="8">
        <f t="shared" si="135"/>
        <v>50.877674504889995</v>
      </c>
      <c r="X676" s="1">
        <f t="shared" si="142"/>
        <v>50.877674504889995</v>
      </c>
      <c r="Y676" s="18"/>
      <c r="Z676" s="7"/>
      <c r="AA676" s="1"/>
      <c r="AB676" s="1"/>
      <c r="AC676" s="1"/>
    </row>
    <row r="677" spans="1:29" x14ac:dyDescent="0.3">
      <c r="A677">
        <v>676</v>
      </c>
      <c r="E677">
        <v>-200.7719489303</v>
      </c>
      <c r="F677">
        <v>59.502707557647</v>
      </c>
      <c r="G677">
        <v>346.95841732555999</v>
      </c>
      <c r="H677">
        <v>52.94892056682</v>
      </c>
      <c r="I677">
        <v>-135.94347014109999</v>
      </c>
      <c r="J677">
        <v>303.16833045329997</v>
      </c>
      <c r="L677" s="1">
        <f t="shared" si="143"/>
        <v>3.3725456626000039</v>
      </c>
      <c r="M677">
        <f t="shared" si="144"/>
        <v>2384.1087581746392</v>
      </c>
      <c r="N677">
        <f t="shared" si="136"/>
        <v>6.6225243282628865</v>
      </c>
      <c r="O677">
        <f t="shared" si="137"/>
        <v>52.94892056682</v>
      </c>
      <c r="P677">
        <f t="shared" si="138"/>
        <v>626</v>
      </c>
      <c r="Q677">
        <f t="shared" si="145"/>
        <v>102.44972476127799</v>
      </c>
      <c r="R677">
        <f t="shared" si="139"/>
        <v>102.44972476127799</v>
      </c>
      <c r="S677">
        <f t="shared" si="134"/>
        <v>105.40000360954208</v>
      </c>
      <c r="T677">
        <f t="shared" si="140"/>
        <v>105.40000360954208</v>
      </c>
      <c r="U677" s="3">
        <f t="shared" si="141"/>
        <v>303.16833045329997</v>
      </c>
      <c r="V677">
        <f t="shared" si="133"/>
        <v>573</v>
      </c>
      <c r="W677" s="8">
        <f t="shared" si="135"/>
        <v>50.792936140069969</v>
      </c>
      <c r="X677" s="1">
        <f t="shared" si="142"/>
        <v>50.792936140069969</v>
      </c>
      <c r="Y677" s="18"/>
      <c r="Z677" s="7"/>
      <c r="AA677" s="1"/>
      <c r="AB677" s="1"/>
      <c r="AC677" s="1"/>
    </row>
    <row r="678" spans="1:29" x14ac:dyDescent="0.3">
      <c r="A678">
        <v>677</v>
      </c>
      <c r="E678">
        <v>-200.5480565169</v>
      </c>
      <c r="F678">
        <v>61.368371378547998</v>
      </c>
      <c r="G678">
        <v>344.43950323232002</v>
      </c>
      <c r="H678">
        <v>53.031876657478001</v>
      </c>
      <c r="I678">
        <v>-132.5896091562</v>
      </c>
      <c r="J678">
        <v>303.66853796663003</v>
      </c>
      <c r="L678" s="1">
        <f t="shared" si="143"/>
        <v>3.3538609848999954</v>
      </c>
      <c r="M678">
        <f t="shared" si="144"/>
        <v>2387.4626191595394</v>
      </c>
      <c r="N678">
        <f t="shared" si="136"/>
        <v>6.6318406087764981</v>
      </c>
      <c r="O678">
        <f t="shared" si="137"/>
        <v>53.031876657478001</v>
      </c>
      <c r="P678">
        <f t="shared" si="138"/>
        <v>627</v>
      </c>
      <c r="Q678">
        <f t="shared" si="145"/>
        <v>102.435509947765</v>
      </c>
      <c r="R678">
        <f t="shared" si="139"/>
        <v>102.435509947765</v>
      </c>
      <c r="S678">
        <f t="shared" si="134"/>
        <v>105.38694326829832</v>
      </c>
      <c r="T678">
        <f t="shared" si="140"/>
        <v>105.38694326829832</v>
      </c>
      <c r="U678" s="3">
        <f t="shared" si="141"/>
        <v>303.66853796663003</v>
      </c>
      <c r="V678">
        <f t="shared" si="133"/>
        <v>574</v>
      </c>
      <c r="W678" s="8">
        <f t="shared" si="135"/>
        <v>50.794777278920037</v>
      </c>
      <c r="X678" s="1">
        <f t="shared" si="142"/>
        <v>50.794777278920037</v>
      </c>
      <c r="Y678" s="18"/>
      <c r="Z678" s="7"/>
      <c r="AA678" s="1"/>
      <c r="AB678" s="1"/>
      <c r="AC678" s="1"/>
    </row>
    <row r="679" spans="1:29" x14ac:dyDescent="0.3">
      <c r="A679">
        <v>678</v>
      </c>
      <c r="E679">
        <v>-200.32669533649999</v>
      </c>
      <c r="F679">
        <v>63.376971221391003</v>
      </c>
      <c r="G679">
        <v>342.03267591119999</v>
      </c>
      <c r="H679">
        <v>53.114791525638999</v>
      </c>
      <c r="I679">
        <v>-129.23990277530001</v>
      </c>
      <c r="J679">
        <v>304.16300743989001</v>
      </c>
      <c r="L679" s="1">
        <f t="shared" si="143"/>
        <v>3.3497063808999883</v>
      </c>
      <c r="M679">
        <f t="shared" si="144"/>
        <v>2390.8123255404394</v>
      </c>
      <c r="N679">
        <f t="shared" si="136"/>
        <v>6.6411453487234429</v>
      </c>
      <c r="O679">
        <f t="shared" si="137"/>
        <v>53.114791525638999</v>
      </c>
      <c r="P679">
        <f t="shared" si="138"/>
        <v>628</v>
      </c>
      <c r="Q679">
        <f t="shared" si="145"/>
        <v>102.42618427965701</v>
      </c>
      <c r="R679">
        <f t="shared" si="139"/>
        <v>102.42618427965701</v>
      </c>
      <c r="S679">
        <f t="shared" si="134"/>
        <v>105.38499307307799</v>
      </c>
      <c r="T679">
        <f t="shared" si="140"/>
        <v>105.38499307307799</v>
      </c>
      <c r="U679" s="3">
        <f t="shared" si="141"/>
        <v>304.16300743989001</v>
      </c>
      <c r="V679">
        <f t="shared" si="133"/>
        <v>575</v>
      </c>
      <c r="W679" s="8">
        <f t="shared" si="135"/>
        <v>50.815064907000021</v>
      </c>
      <c r="X679" s="1">
        <f t="shared" si="142"/>
        <v>50.815064907000021</v>
      </c>
      <c r="Y679" s="18"/>
      <c r="Z679" s="7"/>
      <c r="AA679" s="1"/>
      <c r="AB679" s="1"/>
      <c r="AC679" s="1"/>
    </row>
    <row r="680" spans="1:29" x14ac:dyDescent="0.3">
      <c r="A680">
        <v>679</v>
      </c>
      <c r="E680">
        <v>-200.12893969859999</v>
      </c>
      <c r="F680">
        <v>65.539756973875001</v>
      </c>
      <c r="G680">
        <v>339.76121013528001</v>
      </c>
      <c r="H680">
        <v>53.174801383255001</v>
      </c>
      <c r="I680">
        <v>-125.8894353893</v>
      </c>
      <c r="J680">
        <v>304.62933780395002</v>
      </c>
      <c r="L680" s="1">
        <f t="shared" si="143"/>
        <v>3.3504673860000054</v>
      </c>
      <c r="M680">
        <f t="shared" si="144"/>
        <v>2394.1627929264396</v>
      </c>
      <c r="N680">
        <f t="shared" si="136"/>
        <v>6.6504522025734429</v>
      </c>
      <c r="O680">
        <f t="shared" si="137"/>
        <v>53.174801383255001</v>
      </c>
      <c r="P680">
        <f t="shared" si="138"/>
        <v>629</v>
      </c>
      <c r="Q680">
        <f t="shared" si="145"/>
        <v>102.34851141278</v>
      </c>
      <c r="R680">
        <f t="shared" si="139"/>
        <v>102.34851141278</v>
      </c>
      <c r="S680">
        <f t="shared" si="134"/>
        <v>105.30822886442301</v>
      </c>
      <c r="T680">
        <f t="shared" si="140"/>
        <v>105.30822886442301</v>
      </c>
      <c r="U680" s="3">
        <f t="shared" si="141"/>
        <v>304.62933780395002</v>
      </c>
      <c r="V680">
        <f t="shared" si="133"/>
        <v>576</v>
      </c>
      <c r="W680" s="8">
        <f t="shared" si="135"/>
        <v>50.782150954640031</v>
      </c>
      <c r="X680" s="1">
        <f t="shared" si="142"/>
        <v>50.782150954640031</v>
      </c>
      <c r="Y680" s="18"/>
      <c r="Z680" s="7"/>
      <c r="AA680" s="1"/>
      <c r="AB680" s="1"/>
      <c r="AC680" s="1"/>
    </row>
    <row r="681" spans="1:29" x14ac:dyDescent="0.3">
      <c r="A681">
        <v>680</v>
      </c>
      <c r="E681">
        <v>-199.92990735660001</v>
      </c>
      <c r="F681">
        <v>67.834821981537004</v>
      </c>
      <c r="G681">
        <v>337.62402680960997</v>
      </c>
      <c r="H681">
        <v>53.227999287080998</v>
      </c>
      <c r="I681">
        <v>-122.54204630860001</v>
      </c>
      <c r="J681">
        <v>305.09151332522998</v>
      </c>
      <c r="L681" s="1">
        <f t="shared" si="143"/>
        <v>3.3473890806999975</v>
      </c>
      <c r="M681">
        <f t="shared" si="144"/>
        <v>2397.5101820071395</v>
      </c>
      <c r="N681">
        <f t="shared" si="136"/>
        <v>6.6597505055753876</v>
      </c>
      <c r="O681">
        <f t="shared" si="137"/>
        <v>53.227999287080998</v>
      </c>
      <c r="P681">
        <f t="shared" si="138"/>
        <v>630</v>
      </c>
      <c r="Q681">
        <f t="shared" si="145"/>
        <v>102.318535104304</v>
      </c>
      <c r="R681">
        <f t="shared" si="139"/>
        <v>102.318535104304</v>
      </c>
      <c r="S681">
        <f t="shared" si="134"/>
        <v>105.27736964252561</v>
      </c>
      <c r="T681">
        <f t="shared" si="140"/>
        <v>105.27736964252561</v>
      </c>
      <c r="U681" s="3">
        <f t="shared" si="141"/>
        <v>305.09151332522998</v>
      </c>
      <c r="V681">
        <f t="shared" si="133"/>
        <v>577</v>
      </c>
      <c r="W681" s="8">
        <f t="shared" si="135"/>
        <v>50.74200782012997</v>
      </c>
      <c r="X681" s="1">
        <f t="shared" si="142"/>
        <v>50.74200782012997</v>
      </c>
      <c r="Y681" s="18"/>
      <c r="Z681" s="7"/>
      <c r="AA681" s="1"/>
      <c r="AB681" s="1"/>
      <c r="AC681" s="1"/>
    </row>
    <row r="682" spans="1:29" x14ac:dyDescent="0.3">
      <c r="A682">
        <v>681</v>
      </c>
      <c r="E682">
        <v>-199.70855549449999</v>
      </c>
      <c r="F682">
        <v>70.243962507161001</v>
      </c>
      <c r="G682">
        <v>335.61863967251003</v>
      </c>
      <c r="H682">
        <v>53.287518430127001</v>
      </c>
      <c r="I682">
        <v>-119.2009672428</v>
      </c>
      <c r="J682">
        <v>305.56995657451</v>
      </c>
      <c r="L682" s="1">
        <f t="shared" si="143"/>
        <v>3.3410790658000025</v>
      </c>
      <c r="M682">
        <f t="shared" si="144"/>
        <v>2400.8512610729395</v>
      </c>
      <c r="N682">
        <f t="shared" si="136"/>
        <v>6.6690312807581655</v>
      </c>
      <c r="O682">
        <f t="shared" si="137"/>
        <v>53.287518430127001</v>
      </c>
      <c r="P682">
        <f t="shared" si="138"/>
        <v>630</v>
      </c>
      <c r="Q682">
        <f t="shared" si="145"/>
        <v>102.37805424735001</v>
      </c>
      <c r="R682">
        <f t="shared" si="139"/>
        <v>102.37805424735001</v>
      </c>
      <c r="S682">
        <f t="shared" si="134"/>
        <v>105.40446877858875</v>
      </c>
      <c r="T682">
        <f t="shared" si="140"/>
        <v>105.40446877858875</v>
      </c>
      <c r="U682" s="3">
        <f t="shared" si="141"/>
        <v>305.56995657451</v>
      </c>
      <c r="V682">
        <f t="shared" si="133"/>
        <v>578</v>
      </c>
      <c r="W682" s="8">
        <f t="shared" si="135"/>
        <v>50.732601612300016</v>
      </c>
      <c r="X682" s="1">
        <f t="shared" si="142"/>
        <v>50.732601612300016</v>
      </c>
      <c r="Y682" s="18"/>
      <c r="Z682" s="7"/>
      <c r="AA682" s="1"/>
      <c r="AB682" s="1"/>
      <c r="AC682" s="1"/>
    </row>
    <row r="683" spans="1:29" x14ac:dyDescent="0.3">
      <c r="A683">
        <v>682</v>
      </c>
      <c r="E683">
        <v>-199.4912425027</v>
      </c>
      <c r="F683">
        <v>72.758646085560002</v>
      </c>
      <c r="G683">
        <v>333.74639723182997</v>
      </c>
      <c r="H683">
        <v>53.358532513804001</v>
      </c>
      <c r="I683">
        <v>-115.8622488946</v>
      </c>
      <c r="J683">
        <v>306.03796309348002</v>
      </c>
      <c r="L683" s="1">
        <f t="shared" si="143"/>
        <v>3.338718348200004</v>
      </c>
      <c r="M683">
        <f t="shared" si="144"/>
        <v>2404.1899794211395</v>
      </c>
      <c r="N683">
        <f t="shared" si="136"/>
        <v>6.6783054983920538</v>
      </c>
      <c r="O683">
        <f t="shared" si="137"/>
        <v>53.358532513804001</v>
      </c>
      <c r="P683">
        <f t="shared" si="138"/>
        <v>631</v>
      </c>
      <c r="Q683">
        <f t="shared" si="145"/>
        <v>102.39621731461401</v>
      </c>
      <c r="R683">
        <f t="shared" si="139"/>
        <v>102.39621731461401</v>
      </c>
      <c r="S683">
        <f t="shared" si="134"/>
        <v>105.42556275092511</v>
      </c>
      <c r="T683">
        <f t="shared" si="140"/>
        <v>105.42556275092511</v>
      </c>
      <c r="U683" s="3">
        <f t="shared" si="141"/>
        <v>306.03796309348002</v>
      </c>
      <c r="V683">
        <f t="shared" si="133"/>
        <v>579</v>
      </c>
      <c r="W683" s="8">
        <f t="shared" si="135"/>
        <v>50.726907120260023</v>
      </c>
      <c r="X683" s="1">
        <f t="shared" si="142"/>
        <v>50.726907120260023</v>
      </c>
      <c r="Y683" s="18"/>
      <c r="Z683" s="7"/>
      <c r="AA683" s="1"/>
      <c r="AB683" s="1"/>
      <c r="AC683" s="1"/>
    </row>
    <row r="684" spans="1:29" x14ac:dyDescent="0.3">
      <c r="A684">
        <v>683</v>
      </c>
      <c r="E684">
        <v>-199.24212274199999</v>
      </c>
      <c r="F684">
        <v>75.368376865390999</v>
      </c>
      <c r="G684">
        <v>332.01345483103</v>
      </c>
      <c r="H684">
        <v>53.440326056715001</v>
      </c>
      <c r="I684">
        <v>-112.53268825409999</v>
      </c>
      <c r="J684">
        <v>306.53031684862998</v>
      </c>
      <c r="L684" s="1">
        <f t="shared" si="143"/>
        <v>3.3295606405000058</v>
      </c>
      <c r="M684">
        <f t="shared" si="144"/>
        <v>2407.5195400616394</v>
      </c>
      <c r="N684">
        <f t="shared" si="136"/>
        <v>6.6875542779489985</v>
      </c>
      <c r="O684">
        <f t="shared" si="137"/>
        <v>53.440326056715001</v>
      </c>
      <c r="P684">
        <f t="shared" si="138"/>
        <v>632</v>
      </c>
      <c r="Q684">
        <f t="shared" si="145"/>
        <v>102.38214993907701</v>
      </c>
      <c r="R684">
        <f t="shared" si="139"/>
        <v>102.38214993907701</v>
      </c>
      <c r="S684">
        <f t="shared" si="134"/>
        <v>105.42044564606866</v>
      </c>
      <c r="T684">
        <f t="shared" si="140"/>
        <v>105.42044564606866</v>
      </c>
      <c r="U684" s="3">
        <f t="shared" si="141"/>
        <v>306.53031684862998</v>
      </c>
      <c r="V684">
        <f t="shared" si="133"/>
        <v>580</v>
      </c>
      <c r="W684" s="8">
        <f t="shared" si="135"/>
        <v>50.724745764469986</v>
      </c>
      <c r="X684" s="1">
        <f t="shared" si="142"/>
        <v>50.724745764469986</v>
      </c>
      <c r="Y684" s="18"/>
      <c r="Z684" s="7"/>
      <c r="AA684" s="1"/>
      <c r="AB684" s="1"/>
      <c r="AC684" s="1"/>
    </row>
    <row r="685" spans="1:29" x14ac:dyDescent="0.3">
      <c r="A685">
        <v>684</v>
      </c>
      <c r="E685">
        <v>-198.9590619084</v>
      </c>
      <c r="F685">
        <v>78.084636457705002</v>
      </c>
      <c r="G685">
        <v>330.45874486136</v>
      </c>
      <c r="H685">
        <v>53.493021873907999</v>
      </c>
      <c r="I685">
        <v>-109.2108841639</v>
      </c>
      <c r="J685">
        <v>307.04648588947998</v>
      </c>
      <c r="L685" s="1">
        <f t="shared" si="143"/>
        <v>3.3218040901999899</v>
      </c>
      <c r="M685">
        <f t="shared" si="144"/>
        <v>2410.8413441518396</v>
      </c>
      <c r="N685">
        <f t="shared" si="136"/>
        <v>6.6967815115328877</v>
      </c>
      <c r="O685">
        <f t="shared" si="137"/>
        <v>53.493021873907999</v>
      </c>
      <c r="P685">
        <f t="shared" si="138"/>
        <v>633</v>
      </c>
      <c r="Q685">
        <f t="shared" si="145"/>
        <v>102.35165926641301</v>
      </c>
      <c r="R685">
        <f t="shared" si="139"/>
        <v>102.35165926641301</v>
      </c>
      <c r="S685">
        <f t="shared" si="134"/>
        <v>105.40435954474101</v>
      </c>
      <c r="T685">
        <f t="shared" si="140"/>
        <v>105.40435954474101</v>
      </c>
      <c r="U685" s="3">
        <f t="shared" si="141"/>
        <v>307.04648588947998</v>
      </c>
      <c r="V685">
        <f t="shared" si="133"/>
        <v>581</v>
      </c>
      <c r="W685" s="8">
        <f t="shared" si="135"/>
        <v>50.746333695580006</v>
      </c>
      <c r="X685" s="1">
        <f t="shared" si="142"/>
        <v>50.746333695580006</v>
      </c>
      <c r="Y685" s="18"/>
      <c r="Z685" s="7"/>
      <c r="AA685" s="1"/>
      <c r="AB685" s="1"/>
      <c r="AC685" s="1"/>
    </row>
    <row r="686" spans="1:29" x14ac:dyDescent="0.3">
      <c r="A686">
        <v>685</v>
      </c>
      <c r="E686">
        <v>-198.67660476169999</v>
      </c>
      <c r="F686">
        <v>80.888061363345997</v>
      </c>
      <c r="G686">
        <v>329.06707167450003</v>
      </c>
      <c r="H686">
        <v>53.540863571869998</v>
      </c>
      <c r="I686">
        <v>-105.8902525005</v>
      </c>
      <c r="J686">
        <v>307.55250157985</v>
      </c>
      <c r="L686" s="1">
        <f t="shared" si="143"/>
        <v>3.3206316634000075</v>
      </c>
      <c r="M686">
        <f t="shared" si="144"/>
        <v>2414.1619758152397</v>
      </c>
      <c r="N686">
        <f t="shared" si="136"/>
        <v>6.7060054883756655</v>
      </c>
      <c r="O686">
        <f t="shared" si="137"/>
        <v>53.540863571869998</v>
      </c>
      <c r="P686">
        <f t="shared" si="138"/>
        <v>634</v>
      </c>
      <c r="Q686">
        <f t="shared" si="145"/>
        <v>102.33935737553401</v>
      </c>
      <c r="R686">
        <f t="shared" si="139"/>
        <v>102.33935737553401</v>
      </c>
      <c r="S686">
        <f t="shared" si="134"/>
        <v>105.40776760768065</v>
      </c>
      <c r="T686">
        <f t="shared" si="140"/>
        <v>105.40776760768065</v>
      </c>
      <c r="U686" s="3">
        <f t="shared" si="141"/>
        <v>307.55250157985</v>
      </c>
      <c r="V686">
        <f t="shared" si="133"/>
        <v>582</v>
      </c>
      <c r="W686" s="8">
        <f t="shared" si="135"/>
        <v>50.768338331940015</v>
      </c>
      <c r="X686" s="1">
        <f t="shared" si="142"/>
        <v>50.768338331940015</v>
      </c>
      <c r="Y686" s="18"/>
      <c r="Z686" s="7"/>
      <c r="AA686" s="1"/>
      <c r="AB686" s="1"/>
      <c r="AC686" s="1"/>
    </row>
    <row r="687" spans="1:29" x14ac:dyDescent="0.3">
      <c r="A687">
        <v>686</v>
      </c>
      <c r="E687">
        <v>-198.41242869620001</v>
      </c>
      <c r="F687">
        <v>83.769353662594995</v>
      </c>
      <c r="G687">
        <v>327.84052863536999</v>
      </c>
      <c r="H687">
        <v>53.587457301713002</v>
      </c>
      <c r="I687">
        <v>-102.56767417570001</v>
      </c>
      <c r="J687">
        <v>308.03021482245998</v>
      </c>
      <c r="L687" s="1">
        <f t="shared" si="143"/>
        <v>3.3225783247999914</v>
      </c>
      <c r="M687">
        <f t="shared" si="144"/>
        <v>2417.4845541400396</v>
      </c>
      <c r="N687">
        <f t="shared" si="136"/>
        <v>6.7152348726112212</v>
      </c>
      <c r="O687">
        <f t="shared" si="137"/>
        <v>53.587457301713002</v>
      </c>
      <c r="P687">
        <f t="shared" si="138"/>
        <v>635</v>
      </c>
      <c r="Q687">
        <f t="shared" si="145"/>
        <v>102.36204410081001</v>
      </c>
      <c r="R687">
        <f t="shared" si="139"/>
        <v>102.36204410081001</v>
      </c>
      <c r="S687">
        <f t="shared" si="134"/>
        <v>105.43196658422821</v>
      </c>
      <c r="T687">
        <f t="shared" si="140"/>
        <v>105.43196658422821</v>
      </c>
      <c r="U687" s="3">
        <f t="shared" si="141"/>
        <v>308.03021482245998</v>
      </c>
      <c r="V687">
        <f t="shared" si="133"/>
        <v>583</v>
      </c>
      <c r="W687" s="8">
        <f t="shared" si="135"/>
        <v>50.748850171309982</v>
      </c>
      <c r="X687" s="1">
        <f t="shared" si="142"/>
        <v>50.748850171309982</v>
      </c>
      <c r="Y687" s="18"/>
      <c r="Z687" s="7"/>
      <c r="AA687" s="1"/>
      <c r="AB687" s="1"/>
      <c r="AC687" s="1"/>
    </row>
    <row r="688" spans="1:29" x14ac:dyDescent="0.3">
      <c r="A688">
        <v>687</v>
      </c>
      <c r="E688">
        <v>-198.1262594749</v>
      </c>
      <c r="F688">
        <v>86.721951928322994</v>
      </c>
      <c r="G688">
        <v>326.80308268725003</v>
      </c>
      <c r="H688">
        <v>53.610919416519003</v>
      </c>
      <c r="I688">
        <v>-99.248591425000001</v>
      </c>
      <c r="J688">
        <v>308.51755122966</v>
      </c>
      <c r="L688" s="1">
        <f t="shared" si="143"/>
        <v>3.3190827507000051</v>
      </c>
      <c r="M688">
        <f t="shared" si="144"/>
        <v>2420.8036368907397</v>
      </c>
      <c r="N688">
        <f t="shared" si="136"/>
        <v>6.7244545469187216</v>
      </c>
      <c r="O688">
        <f t="shared" si="137"/>
        <v>53.610919416519003</v>
      </c>
      <c r="P688">
        <f t="shared" si="138"/>
        <v>636</v>
      </c>
      <c r="Q688">
        <f t="shared" si="145"/>
        <v>102.34304993297</v>
      </c>
      <c r="R688">
        <f t="shared" si="139"/>
        <v>102.34304993297</v>
      </c>
      <c r="S688">
        <f t="shared" si="134"/>
        <v>105.41907751268302</v>
      </c>
      <c r="T688">
        <f t="shared" si="140"/>
        <v>105.41907751268302</v>
      </c>
      <c r="U688" s="3">
        <f t="shared" si="141"/>
        <v>308.51755122966</v>
      </c>
      <c r="V688">
        <f t="shared" si="133"/>
        <v>584</v>
      </c>
      <c r="W688" s="8">
        <f t="shared" si="135"/>
        <v>50.754530323159997</v>
      </c>
      <c r="X688" s="1">
        <f t="shared" si="142"/>
        <v>50.754530323159997</v>
      </c>
      <c r="Y688" s="18"/>
      <c r="Z688" s="7"/>
      <c r="AA688" s="1"/>
      <c r="AB688" s="1"/>
      <c r="AC688" s="1"/>
    </row>
    <row r="689" spans="1:29" x14ac:dyDescent="0.3">
      <c r="A689">
        <v>688</v>
      </c>
      <c r="E689">
        <v>-197.83356151960001</v>
      </c>
      <c r="F689">
        <v>89.724913018497006</v>
      </c>
      <c r="G689">
        <v>325.92434582473999</v>
      </c>
      <c r="H689">
        <v>53.647615722696997</v>
      </c>
      <c r="I689">
        <v>-95.930876544689994</v>
      </c>
      <c r="J689">
        <v>309.00069964174997</v>
      </c>
      <c r="L689" s="1">
        <f t="shared" si="143"/>
        <v>3.3177148803100067</v>
      </c>
      <c r="M689">
        <f t="shared" si="144"/>
        <v>2424.1213517710498</v>
      </c>
      <c r="N689">
        <f t="shared" si="136"/>
        <v>6.7336704215862495</v>
      </c>
      <c r="O689">
        <f t="shared" si="137"/>
        <v>53.647615722696997</v>
      </c>
      <c r="P689">
        <f t="shared" si="138"/>
        <v>637</v>
      </c>
      <c r="Q689">
        <f t="shared" si="145"/>
        <v>102.35958535148799</v>
      </c>
      <c r="R689">
        <f t="shared" si="139"/>
        <v>102.35958535148799</v>
      </c>
      <c r="S689">
        <f t="shared" si="134"/>
        <v>105.442058885991</v>
      </c>
      <c r="T689">
        <f t="shared" si="140"/>
        <v>105.442058885991</v>
      </c>
      <c r="U689" s="3">
        <f t="shared" si="141"/>
        <v>309.00069964174997</v>
      </c>
      <c r="V689">
        <f t="shared" ref="V689:V752" si="146">IFERROR(MATCH(N689-1,N:N,1),0)</f>
        <v>585</v>
      </c>
      <c r="W689" s="8">
        <f t="shared" si="135"/>
        <v>50.75536384365995</v>
      </c>
      <c r="X689" s="1">
        <f t="shared" si="142"/>
        <v>50.75536384365995</v>
      </c>
      <c r="Y689" s="18"/>
      <c r="Z689" s="7"/>
      <c r="AA689" s="1"/>
      <c r="AB689" s="1"/>
      <c r="AC689" s="1"/>
    </row>
    <row r="690" spans="1:29" x14ac:dyDescent="0.3">
      <c r="A690">
        <v>689</v>
      </c>
      <c r="E690">
        <v>-197.5361991421</v>
      </c>
      <c r="F690">
        <v>92.775870703848</v>
      </c>
      <c r="G690">
        <v>325.23151340909999</v>
      </c>
      <c r="H690">
        <v>53.672263684826</v>
      </c>
      <c r="I690">
        <v>-92.613361721429996</v>
      </c>
      <c r="J690">
        <v>309.47552767587001</v>
      </c>
      <c r="L690" s="1">
        <f t="shared" si="143"/>
        <v>3.317514823259998</v>
      </c>
      <c r="M690">
        <f t="shared" si="144"/>
        <v>2427.4388665943097</v>
      </c>
      <c r="N690">
        <f t="shared" si="136"/>
        <v>6.7428857405397489</v>
      </c>
      <c r="O690">
        <f t="shared" si="137"/>
        <v>53.672263684826</v>
      </c>
      <c r="P690">
        <f t="shared" si="138"/>
        <v>638</v>
      </c>
      <c r="Q690">
        <f t="shared" si="145"/>
        <v>102.393781544444</v>
      </c>
      <c r="R690">
        <f t="shared" si="139"/>
        <v>102.393781544444</v>
      </c>
      <c r="S690">
        <f t="shared" si="134"/>
        <v>105.47579576214737</v>
      </c>
      <c r="T690">
        <f t="shared" si="140"/>
        <v>105.47579576214737</v>
      </c>
      <c r="U690" s="3">
        <f t="shared" si="141"/>
        <v>309.47552767587001</v>
      </c>
      <c r="V690">
        <f t="shared" si="146"/>
        <v>586</v>
      </c>
      <c r="W690" s="8">
        <f t="shared" si="135"/>
        <v>50.732218545980004</v>
      </c>
      <c r="X690" s="1">
        <f t="shared" si="142"/>
        <v>50.732218545980004</v>
      </c>
      <c r="Y690" s="18"/>
      <c r="Z690" s="7"/>
      <c r="AA690" s="1"/>
      <c r="AB690" s="1"/>
      <c r="AC690" s="1"/>
    </row>
    <row r="691" spans="1:29" x14ac:dyDescent="0.3">
      <c r="A691">
        <v>690</v>
      </c>
      <c r="E691">
        <v>-197.19707967150001</v>
      </c>
      <c r="F691">
        <v>95.861136496992998</v>
      </c>
      <c r="G691">
        <v>324.73973844641</v>
      </c>
      <c r="H691">
        <v>53.670048551610002</v>
      </c>
      <c r="I691">
        <v>-89.301132529520004</v>
      </c>
      <c r="J691">
        <v>309.97721116164001</v>
      </c>
      <c r="L691" s="1">
        <f t="shared" si="143"/>
        <v>3.3122291919099922</v>
      </c>
      <c r="M691">
        <f t="shared" si="144"/>
        <v>2430.7510957862196</v>
      </c>
      <c r="N691">
        <f t="shared" si="136"/>
        <v>6.752086377183943</v>
      </c>
      <c r="O691">
        <f t="shared" si="137"/>
        <v>53.670048551610002</v>
      </c>
      <c r="P691">
        <f t="shared" si="138"/>
        <v>639</v>
      </c>
      <c r="Q691">
        <f t="shared" si="145"/>
        <v>102.386556499891</v>
      </c>
      <c r="R691">
        <f t="shared" si="139"/>
        <v>102.386556499891</v>
      </c>
      <c r="S691">
        <f t="shared" si="134"/>
        <v>105.47363037974083</v>
      </c>
      <c r="T691">
        <f t="shared" si="140"/>
        <v>105.47363037974083</v>
      </c>
      <c r="U691" s="3">
        <f t="shared" si="141"/>
        <v>309.97721116164001</v>
      </c>
      <c r="V691">
        <f t="shared" si="146"/>
        <v>587</v>
      </c>
      <c r="W691" s="8">
        <f t="shared" si="135"/>
        <v>50.745857154680039</v>
      </c>
      <c r="X691" s="1">
        <f t="shared" si="142"/>
        <v>50.745857154680039</v>
      </c>
      <c r="Y691" s="18"/>
      <c r="Z691" s="7"/>
      <c r="AA691" s="1"/>
      <c r="AB691" s="1"/>
      <c r="AC691" s="1"/>
    </row>
    <row r="692" spans="1:29" x14ac:dyDescent="0.3">
      <c r="A692">
        <v>691</v>
      </c>
      <c r="E692">
        <v>-196.84316958380001</v>
      </c>
      <c r="F692">
        <v>98.968722974475995</v>
      </c>
      <c r="G692">
        <v>324.43265804984998</v>
      </c>
      <c r="H692">
        <v>53.660528519964998</v>
      </c>
      <c r="I692">
        <v>-85.988537659710005</v>
      </c>
      <c r="J692">
        <v>310.47972040542999</v>
      </c>
      <c r="L692" s="1">
        <f t="shared" si="143"/>
        <v>3.312594869809999</v>
      </c>
      <c r="M692">
        <f t="shared" si="144"/>
        <v>2434.0636906560294</v>
      </c>
      <c r="N692">
        <f t="shared" si="136"/>
        <v>6.7612880296000819</v>
      </c>
      <c r="O692">
        <f t="shared" si="137"/>
        <v>53.660528519964998</v>
      </c>
      <c r="P692">
        <f t="shared" si="138"/>
        <v>640</v>
      </c>
      <c r="Q692">
        <f t="shared" si="145"/>
        <v>102.374094545153</v>
      </c>
      <c r="R692">
        <f t="shared" si="139"/>
        <v>102.374094545153</v>
      </c>
      <c r="S692">
        <f t="shared" si="134"/>
        <v>105.46341963483592</v>
      </c>
      <c r="T692">
        <f t="shared" si="140"/>
        <v>105.46341963483592</v>
      </c>
      <c r="U692" s="3">
        <f t="shared" si="141"/>
        <v>310.47972040542999</v>
      </c>
      <c r="V692">
        <f t="shared" si="146"/>
        <v>588</v>
      </c>
      <c r="W692" s="8">
        <f t="shared" si="135"/>
        <v>50.766312204450003</v>
      </c>
      <c r="X692" s="1">
        <f t="shared" si="142"/>
        <v>50.766312204450003</v>
      </c>
      <c r="Y692" s="18"/>
      <c r="Z692" s="7"/>
      <c r="AA692" s="1"/>
      <c r="AB692" s="1"/>
      <c r="AC692" s="1"/>
    </row>
    <row r="693" spans="1:29" x14ac:dyDescent="0.3">
      <c r="A693">
        <v>692</v>
      </c>
      <c r="E693">
        <v>-196.47784171129999</v>
      </c>
      <c r="F693">
        <v>102.08749276131999</v>
      </c>
      <c r="G693">
        <v>324.30556347407997</v>
      </c>
      <c r="H693">
        <v>53.649705084898002</v>
      </c>
      <c r="I693">
        <v>-82.674921512620003</v>
      </c>
      <c r="J693">
        <v>310.97962419825001</v>
      </c>
      <c r="L693" s="1">
        <f t="shared" si="143"/>
        <v>3.3136161470900021</v>
      </c>
      <c r="M693">
        <f t="shared" si="144"/>
        <v>2437.3773068031196</v>
      </c>
      <c r="N693">
        <f t="shared" si="136"/>
        <v>6.7704925188975542</v>
      </c>
      <c r="O693">
        <f t="shared" si="137"/>
        <v>53.649705084898002</v>
      </c>
      <c r="P693">
        <f t="shared" si="138"/>
        <v>640</v>
      </c>
      <c r="Q693">
        <f t="shared" si="145"/>
        <v>102.363271110086</v>
      </c>
      <c r="R693">
        <f t="shared" si="139"/>
        <v>102.363271110086</v>
      </c>
      <c r="S693">
        <f t="shared" si="134"/>
        <v>105.52789994615547</v>
      </c>
      <c r="T693">
        <f t="shared" si="140"/>
        <v>105.52789994615547</v>
      </c>
      <c r="U693" s="3">
        <f t="shared" si="141"/>
        <v>310.97962419825001</v>
      </c>
      <c r="V693">
        <f t="shared" si="146"/>
        <v>589</v>
      </c>
      <c r="W693" s="8">
        <f t="shared" si="135"/>
        <v>50.774599645199999</v>
      </c>
      <c r="X693" s="1">
        <f t="shared" si="142"/>
        <v>50.774599645199999</v>
      </c>
      <c r="Y693" s="18"/>
      <c r="Z693" s="7"/>
      <c r="AA693" s="1"/>
      <c r="AB693" s="1"/>
      <c r="AC693" s="1"/>
    </row>
    <row r="694" spans="1:29" x14ac:dyDescent="0.3">
      <c r="A694">
        <v>693</v>
      </c>
      <c r="E694">
        <v>-196.1076696531</v>
      </c>
      <c r="F694">
        <v>105.20724723789</v>
      </c>
      <c r="G694">
        <v>324.3795113443</v>
      </c>
      <c r="H694">
        <v>53.617608816858002</v>
      </c>
      <c r="I694">
        <v>-79.358389476479999</v>
      </c>
      <c r="J694">
        <v>311.46827589778002</v>
      </c>
      <c r="L694" s="1">
        <f t="shared" si="143"/>
        <v>3.3165320361400035</v>
      </c>
      <c r="M694">
        <f t="shared" si="144"/>
        <v>2440.6938388392596</v>
      </c>
      <c r="N694">
        <f t="shared" si="136"/>
        <v>6.7797051078868318</v>
      </c>
      <c r="O694">
        <f t="shared" si="137"/>
        <v>53.617608816858002</v>
      </c>
      <c r="P694">
        <f t="shared" si="138"/>
        <v>641</v>
      </c>
      <c r="Q694">
        <f t="shared" si="145"/>
        <v>102.36287653035501</v>
      </c>
      <c r="R694">
        <f t="shared" si="139"/>
        <v>102.36287653035501</v>
      </c>
      <c r="S694">
        <f t="shared" si="134"/>
        <v>105.53348182549578</v>
      </c>
      <c r="T694">
        <f t="shared" si="140"/>
        <v>105.53348182549578</v>
      </c>
      <c r="U694" s="3">
        <f t="shared" si="141"/>
        <v>311.46827589778002</v>
      </c>
      <c r="V694">
        <f t="shared" si="146"/>
        <v>590</v>
      </c>
      <c r="W694" s="8">
        <f t="shared" si="135"/>
        <v>50.762033145000032</v>
      </c>
      <c r="X694" s="1">
        <f t="shared" si="142"/>
        <v>50.762033145000032</v>
      </c>
      <c r="Y694" s="18"/>
      <c r="Z694" s="7"/>
      <c r="AA694" s="1"/>
      <c r="AB694" s="1"/>
      <c r="AC694" s="1"/>
    </row>
    <row r="695" spans="1:29" x14ac:dyDescent="0.3">
      <c r="A695">
        <v>694</v>
      </c>
      <c r="E695">
        <v>-195.74140797179999</v>
      </c>
      <c r="F695">
        <v>108.3188127623</v>
      </c>
      <c r="G695">
        <v>324.62560841612998</v>
      </c>
      <c r="H695">
        <v>53.593960744198</v>
      </c>
      <c r="I695">
        <v>-76.036870327309998</v>
      </c>
      <c r="J695">
        <v>311.93890227076997</v>
      </c>
      <c r="L695" s="1">
        <f t="shared" si="143"/>
        <v>3.3215191491700011</v>
      </c>
      <c r="M695">
        <f t="shared" si="144"/>
        <v>2444.0153579884295</v>
      </c>
      <c r="N695">
        <f t="shared" si="136"/>
        <v>6.7889315499678595</v>
      </c>
      <c r="O695">
        <f t="shared" si="137"/>
        <v>53.593960744198</v>
      </c>
      <c r="P695">
        <f t="shared" si="138"/>
        <v>642</v>
      </c>
      <c r="Q695">
        <f t="shared" si="145"/>
        <v>102.367337512077</v>
      </c>
      <c r="R695">
        <f t="shared" si="139"/>
        <v>102.367337512077</v>
      </c>
      <c r="S695">
        <f t="shared" si="134"/>
        <v>105.54715426372852</v>
      </c>
      <c r="T695">
        <f t="shared" si="140"/>
        <v>105.54715426372852</v>
      </c>
      <c r="U695" s="3">
        <f t="shared" si="141"/>
        <v>311.93890227076997</v>
      </c>
      <c r="V695">
        <f t="shared" si="146"/>
        <v>591</v>
      </c>
      <c r="W695" s="8">
        <f t="shared" si="135"/>
        <v>50.754347006149999</v>
      </c>
      <c r="X695" s="1">
        <f t="shared" si="142"/>
        <v>50.754347006149999</v>
      </c>
      <c r="Y695" s="18"/>
      <c r="Z695" s="7"/>
      <c r="AA695" s="1"/>
      <c r="AB695" s="1"/>
      <c r="AC695" s="1"/>
    </row>
    <row r="696" spans="1:29" x14ac:dyDescent="0.3">
      <c r="A696">
        <v>695</v>
      </c>
      <c r="E696">
        <v>-195.33467265210001</v>
      </c>
      <c r="F696">
        <v>111.40509433926999</v>
      </c>
      <c r="G696">
        <v>325.05573837921997</v>
      </c>
      <c r="H696">
        <v>53.561775076308002</v>
      </c>
      <c r="I696">
        <v>-72.717951876870004</v>
      </c>
      <c r="J696">
        <v>312.43406567555002</v>
      </c>
      <c r="L696" s="1">
        <f t="shared" si="143"/>
        <v>3.3189184504399947</v>
      </c>
      <c r="M696">
        <f t="shared" si="144"/>
        <v>2447.3342764388694</v>
      </c>
      <c r="N696">
        <f t="shared" si="136"/>
        <v>6.7981507678857485</v>
      </c>
      <c r="O696">
        <f t="shared" si="137"/>
        <v>53.561775076308002</v>
      </c>
      <c r="P696">
        <f t="shared" si="138"/>
        <v>643</v>
      </c>
      <c r="Q696">
        <f t="shared" si="145"/>
        <v>102.36951669582299</v>
      </c>
      <c r="R696">
        <f t="shared" si="139"/>
        <v>102.36951669582299</v>
      </c>
      <c r="S696">
        <f t="shared" si="134"/>
        <v>105.56066331141676</v>
      </c>
      <c r="T696">
        <f t="shared" si="140"/>
        <v>105.56066331141676</v>
      </c>
      <c r="U696" s="3">
        <f t="shared" si="141"/>
        <v>312.43406567555002</v>
      </c>
      <c r="V696">
        <f t="shared" si="146"/>
        <v>592</v>
      </c>
      <c r="W696" s="8">
        <f t="shared" si="135"/>
        <v>50.76031047997003</v>
      </c>
      <c r="X696" s="1">
        <f t="shared" si="142"/>
        <v>50.76031047997003</v>
      </c>
      <c r="Y696" s="18"/>
      <c r="Z696" s="7"/>
      <c r="AA696" s="1"/>
      <c r="AB696" s="1"/>
      <c r="AC696" s="1"/>
    </row>
    <row r="697" spans="1:29" x14ac:dyDescent="0.3">
      <c r="A697">
        <v>696</v>
      </c>
      <c r="E697">
        <v>-194.91343501099999</v>
      </c>
      <c r="F697">
        <v>114.45570344047</v>
      </c>
      <c r="G697">
        <v>325.68283680335998</v>
      </c>
      <c r="H697">
        <v>53.508724284586002</v>
      </c>
      <c r="I697">
        <v>-69.395993091120005</v>
      </c>
      <c r="J697">
        <v>312.92644339024002</v>
      </c>
      <c r="L697" s="1">
        <f t="shared" si="143"/>
        <v>3.3219587857499988</v>
      </c>
      <c r="M697">
        <f t="shared" si="144"/>
        <v>2450.6562352246196</v>
      </c>
      <c r="N697">
        <f t="shared" si="136"/>
        <v>6.8073784311794991</v>
      </c>
      <c r="O697">
        <f t="shared" si="137"/>
        <v>53.508724284586002</v>
      </c>
      <c r="P697">
        <f t="shared" si="138"/>
        <v>644</v>
      </c>
      <c r="Q697">
        <f t="shared" si="145"/>
        <v>102.385144303787</v>
      </c>
      <c r="R697">
        <f t="shared" si="139"/>
        <v>102.385144303787</v>
      </c>
      <c r="S697">
        <f t="shared" si="134"/>
        <v>105.58414556133606</v>
      </c>
      <c r="T697">
        <f t="shared" si="140"/>
        <v>105.58414556133606</v>
      </c>
      <c r="U697" s="3">
        <f t="shared" si="141"/>
        <v>312.92644339024002</v>
      </c>
      <c r="V697">
        <f t="shared" si="146"/>
        <v>593</v>
      </c>
      <c r="W697" s="8">
        <f t="shared" si="135"/>
        <v>50.756130556740004</v>
      </c>
      <c r="X697" s="1">
        <f t="shared" si="142"/>
        <v>50.756130556740004</v>
      </c>
      <c r="Y697" s="18"/>
      <c r="Z697" s="7"/>
      <c r="AA697" s="1"/>
      <c r="AB697" s="1"/>
      <c r="AC697" s="1"/>
    </row>
    <row r="698" spans="1:29" x14ac:dyDescent="0.3">
      <c r="A698">
        <v>697</v>
      </c>
      <c r="E698">
        <v>-194.4696373001</v>
      </c>
      <c r="F698">
        <v>117.4625155823</v>
      </c>
      <c r="G698">
        <v>326.48145307544002</v>
      </c>
      <c r="H698">
        <v>53.457335223678001</v>
      </c>
      <c r="I698">
        <v>-66.072165760320004</v>
      </c>
      <c r="J698">
        <v>313.42577300762002</v>
      </c>
      <c r="L698" s="1">
        <f t="shared" si="143"/>
        <v>3.3238273308000004</v>
      </c>
      <c r="M698">
        <f t="shared" si="144"/>
        <v>2453.9800625554199</v>
      </c>
      <c r="N698">
        <f t="shared" si="136"/>
        <v>6.8166112848761662</v>
      </c>
      <c r="O698">
        <f t="shared" si="137"/>
        <v>53.457335223678001</v>
      </c>
      <c r="P698">
        <f t="shared" si="138"/>
        <v>645</v>
      </c>
      <c r="Q698">
        <f t="shared" si="145"/>
        <v>102.396070896</v>
      </c>
      <c r="R698">
        <f t="shared" si="139"/>
        <v>102.396070896</v>
      </c>
      <c r="S698">
        <f t="shared" si="134"/>
        <v>105.60123460040309</v>
      </c>
      <c r="T698">
        <f t="shared" si="140"/>
        <v>105.60123460040309</v>
      </c>
      <c r="U698" s="3">
        <f t="shared" si="141"/>
        <v>313.42577300762002</v>
      </c>
      <c r="V698">
        <f t="shared" si="146"/>
        <v>594</v>
      </c>
      <c r="W698" s="8">
        <f t="shared" si="135"/>
        <v>50.776085083680016</v>
      </c>
      <c r="X698" s="1">
        <f t="shared" si="142"/>
        <v>50.776085083680016</v>
      </c>
      <c r="Y698" s="18"/>
      <c r="Z698" s="7"/>
      <c r="AA698" s="1"/>
      <c r="AB698" s="1"/>
      <c r="AC698" s="1"/>
    </row>
    <row r="699" spans="1:29" x14ac:dyDescent="0.3">
      <c r="A699">
        <v>698</v>
      </c>
      <c r="E699">
        <v>-194.00252211770001</v>
      </c>
      <c r="F699">
        <v>120.40943246769</v>
      </c>
      <c r="G699">
        <v>327.46791480847997</v>
      </c>
      <c r="H699">
        <v>53.387500852812998</v>
      </c>
      <c r="I699">
        <v>-62.745958353840003</v>
      </c>
      <c r="J699">
        <v>313.93085031128999</v>
      </c>
      <c r="L699" s="1">
        <f t="shared" si="143"/>
        <v>3.3262074064800018</v>
      </c>
      <c r="M699">
        <f t="shared" si="144"/>
        <v>2457.3062699618999</v>
      </c>
      <c r="N699">
        <f t="shared" si="136"/>
        <v>6.8258507498941663</v>
      </c>
      <c r="O699">
        <f t="shared" si="137"/>
        <v>53.387500852812998</v>
      </c>
      <c r="P699">
        <f t="shared" si="138"/>
        <v>646</v>
      </c>
      <c r="Q699">
        <f t="shared" si="145"/>
        <v>102.401894281848</v>
      </c>
      <c r="R699">
        <f t="shared" si="139"/>
        <v>102.401894281848</v>
      </c>
      <c r="S699">
        <f t="shared" si="134"/>
        <v>105.61183998750842</v>
      </c>
      <c r="T699">
        <f t="shared" si="140"/>
        <v>105.61183998750842</v>
      </c>
      <c r="U699" s="3">
        <f t="shared" si="141"/>
        <v>313.93085031128999</v>
      </c>
      <c r="V699">
        <f t="shared" si="146"/>
        <v>595</v>
      </c>
      <c r="W699" s="8">
        <f t="shared" si="135"/>
        <v>50.786278397040007</v>
      </c>
      <c r="X699" s="1">
        <f t="shared" si="142"/>
        <v>50.786278397040007</v>
      </c>
      <c r="Y699" s="18"/>
      <c r="Z699" s="7"/>
      <c r="AA699" s="1"/>
      <c r="AB699" s="1"/>
      <c r="AC699" s="1"/>
    </row>
    <row r="700" spans="1:29" x14ac:dyDescent="0.3">
      <c r="A700">
        <v>699</v>
      </c>
      <c r="E700">
        <v>-193.53010487349999</v>
      </c>
      <c r="F700">
        <v>123.28815274102</v>
      </c>
      <c r="G700">
        <v>328.63601493674003</v>
      </c>
      <c r="H700">
        <v>53.304166436688</v>
      </c>
      <c r="I700">
        <v>-59.413417622259999</v>
      </c>
      <c r="J700">
        <v>314.42389516989999</v>
      </c>
      <c r="L700" s="1">
        <f t="shared" si="143"/>
        <v>3.3325407315800035</v>
      </c>
      <c r="M700">
        <f t="shared" si="144"/>
        <v>2460.6388106934801</v>
      </c>
      <c r="N700">
        <f t="shared" si="136"/>
        <v>6.8351078074818892</v>
      </c>
      <c r="O700">
        <f t="shared" si="137"/>
        <v>53.304166436688</v>
      </c>
      <c r="P700">
        <f t="shared" si="138"/>
        <v>647</v>
      </c>
      <c r="Q700">
        <f t="shared" si="145"/>
        <v>102.399712715074</v>
      </c>
      <c r="R700">
        <f t="shared" si="139"/>
        <v>102.399712715074</v>
      </c>
      <c r="S700">
        <f t="shared" si="134"/>
        <v>105.60580100683576</v>
      </c>
      <c r="T700">
        <f t="shared" si="140"/>
        <v>105.60580100683576</v>
      </c>
      <c r="U700" s="3">
        <f t="shared" si="141"/>
        <v>314.42389516989999</v>
      </c>
      <c r="V700">
        <f t="shared" si="146"/>
        <v>596</v>
      </c>
      <c r="W700" s="8">
        <f t="shared" si="135"/>
        <v>50.781466704730008</v>
      </c>
      <c r="X700" s="1">
        <f t="shared" si="142"/>
        <v>50.781466704730008</v>
      </c>
      <c r="Y700" s="18"/>
      <c r="Z700" s="7"/>
      <c r="AA700" s="1"/>
      <c r="AB700" s="1"/>
      <c r="AC700" s="1"/>
    </row>
    <row r="701" spans="1:29" x14ac:dyDescent="0.3">
      <c r="A701">
        <v>700</v>
      </c>
      <c r="E701">
        <v>-193.06125946380001</v>
      </c>
      <c r="F701">
        <v>126.08729912592</v>
      </c>
      <c r="G701">
        <v>329.98543178016001</v>
      </c>
      <c r="H701">
        <v>53.204690579335001</v>
      </c>
      <c r="I701">
        <v>-56.071878102089997</v>
      </c>
      <c r="J701">
        <v>314.89563614244003</v>
      </c>
      <c r="L701" s="1">
        <f t="shared" si="143"/>
        <v>3.3415395201700022</v>
      </c>
      <c r="M701">
        <f t="shared" si="144"/>
        <v>2463.9803502136501</v>
      </c>
      <c r="N701">
        <f t="shared" si="136"/>
        <v>6.8443898617045837</v>
      </c>
      <c r="O701">
        <f t="shared" si="137"/>
        <v>53.204690579335001</v>
      </c>
      <c r="P701">
        <f t="shared" si="138"/>
        <v>648</v>
      </c>
      <c r="Q701">
        <f t="shared" si="145"/>
        <v>102.347194317746</v>
      </c>
      <c r="R701">
        <f t="shared" si="139"/>
        <v>102.347194317746</v>
      </c>
      <c r="S701">
        <f t="shared" si="134"/>
        <v>105.56517461634893</v>
      </c>
      <c r="T701">
        <f t="shared" si="140"/>
        <v>105.56517461634893</v>
      </c>
      <c r="U701" s="3">
        <f t="shared" si="141"/>
        <v>314.89563614244003</v>
      </c>
      <c r="V701">
        <f t="shared" si="146"/>
        <v>597</v>
      </c>
      <c r="W701" s="8">
        <f t="shared" si="135"/>
        <v>50.771297192770021</v>
      </c>
      <c r="X701" s="1">
        <f t="shared" si="142"/>
        <v>50.771297192770021</v>
      </c>
      <c r="Y701" s="18"/>
      <c r="Z701" s="7"/>
      <c r="AA701" s="1"/>
      <c r="AB701" s="1"/>
      <c r="AC701" s="1"/>
    </row>
    <row r="702" spans="1:29" x14ac:dyDescent="0.3">
      <c r="A702">
        <v>701</v>
      </c>
      <c r="E702">
        <v>-192.5407988211</v>
      </c>
      <c r="F702">
        <v>128.79066656270001</v>
      </c>
      <c r="G702">
        <v>331.50100441337997</v>
      </c>
      <c r="H702">
        <v>53.090861032565002</v>
      </c>
      <c r="I702">
        <v>-52.729965816869999</v>
      </c>
      <c r="J702">
        <v>315.40159897477997</v>
      </c>
      <c r="L702" s="1">
        <f t="shared" si="143"/>
        <v>3.3419122852199976</v>
      </c>
      <c r="M702">
        <f t="shared" si="144"/>
        <v>2467.3222624988703</v>
      </c>
      <c r="N702">
        <f t="shared" si="136"/>
        <v>6.8536729513857511</v>
      </c>
      <c r="O702">
        <f t="shared" si="137"/>
        <v>53.090861032565002</v>
      </c>
      <c r="P702">
        <f t="shared" si="138"/>
        <v>649</v>
      </c>
      <c r="Q702">
        <f t="shared" si="145"/>
        <v>102.3025954567</v>
      </c>
      <c r="R702">
        <f t="shared" si="139"/>
        <v>102.3025954567</v>
      </c>
      <c r="S702">
        <f t="shared" si="134"/>
        <v>105.53695118885258</v>
      </c>
      <c r="T702">
        <f t="shared" si="140"/>
        <v>105.53695118885258</v>
      </c>
      <c r="U702" s="3">
        <f t="shared" si="141"/>
        <v>315.40159897477997</v>
      </c>
      <c r="V702">
        <f t="shared" si="146"/>
        <v>598</v>
      </c>
      <c r="W702" s="8">
        <f t="shared" si="135"/>
        <v>50.787969255709982</v>
      </c>
      <c r="X702" s="1">
        <f t="shared" si="142"/>
        <v>50.787969255709982</v>
      </c>
      <c r="Y702" s="18"/>
      <c r="Z702" s="7"/>
      <c r="AA702" s="1"/>
      <c r="AB702" s="1"/>
      <c r="AC702" s="1"/>
    </row>
    <row r="703" spans="1:29" x14ac:dyDescent="0.3">
      <c r="A703">
        <v>702</v>
      </c>
      <c r="E703">
        <v>-192.01731125309999</v>
      </c>
      <c r="F703">
        <v>131.40400483940999</v>
      </c>
      <c r="G703">
        <v>333.16619652108</v>
      </c>
      <c r="H703">
        <v>52.983984676652</v>
      </c>
      <c r="I703">
        <v>-49.378563653569998</v>
      </c>
      <c r="J703">
        <v>315.89494910899998</v>
      </c>
      <c r="L703" s="1">
        <f t="shared" si="143"/>
        <v>3.3514021633000013</v>
      </c>
      <c r="M703">
        <f t="shared" si="144"/>
        <v>2470.6736646621703</v>
      </c>
      <c r="N703">
        <f t="shared" si="136"/>
        <v>6.8629824018393615</v>
      </c>
      <c r="O703">
        <f t="shared" si="137"/>
        <v>52.983984676652</v>
      </c>
      <c r="P703">
        <f t="shared" si="138"/>
        <v>650</v>
      </c>
      <c r="Q703">
        <f t="shared" si="145"/>
        <v>102.29224522515099</v>
      </c>
      <c r="R703">
        <f t="shared" si="139"/>
        <v>102.29224522515099</v>
      </c>
      <c r="S703">
        <f t="shared" si="134"/>
        <v>105.52850454830234</v>
      </c>
      <c r="T703">
        <f t="shared" si="140"/>
        <v>105.52850454830234</v>
      </c>
      <c r="U703" s="3">
        <f t="shared" si="141"/>
        <v>315.89494910899998</v>
      </c>
      <c r="V703">
        <f t="shared" si="146"/>
        <v>599</v>
      </c>
      <c r="W703" s="8">
        <f t="shared" si="135"/>
        <v>50.805282965650008</v>
      </c>
      <c r="X703" s="1">
        <f t="shared" si="142"/>
        <v>50.805282965650008</v>
      </c>
      <c r="Y703" s="18"/>
      <c r="Z703" s="7"/>
      <c r="AA703" s="1"/>
      <c r="AB703" s="1"/>
      <c r="AC703" s="1"/>
    </row>
    <row r="704" spans="1:29" x14ac:dyDescent="0.3">
      <c r="A704">
        <v>703</v>
      </c>
      <c r="E704">
        <v>-191.48963153029999</v>
      </c>
      <c r="F704">
        <v>133.90993793313001</v>
      </c>
      <c r="G704">
        <v>334.98762625939997</v>
      </c>
      <c r="H704">
        <v>52.869644240341998</v>
      </c>
      <c r="I704">
        <v>-46.018407427009997</v>
      </c>
      <c r="J704">
        <v>316.37561530012999</v>
      </c>
      <c r="L704" s="1">
        <f t="shared" si="143"/>
        <v>3.3601562265600009</v>
      </c>
      <c r="M704">
        <f t="shared" si="144"/>
        <v>2474.0338208887301</v>
      </c>
      <c r="N704">
        <f t="shared" si="136"/>
        <v>6.8723161691353614</v>
      </c>
      <c r="O704">
        <f t="shared" si="137"/>
        <v>52.869644240341998</v>
      </c>
      <c r="P704">
        <f t="shared" si="138"/>
        <v>651</v>
      </c>
      <c r="Q704">
        <f t="shared" si="145"/>
        <v>102.300736952444</v>
      </c>
      <c r="R704">
        <f t="shared" si="139"/>
        <v>102.300736952444</v>
      </c>
      <c r="S704">
        <f t="shared" si="134"/>
        <v>105.53519040346487</v>
      </c>
      <c r="T704">
        <f t="shared" si="140"/>
        <v>105.53519040346487</v>
      </c>
      <c r="U704" s="3">
        <f t="shared" si="141"/>
        <v>316.37561530012999</v>
      </c>
      <c r="V704">
        <f t="shared" si="146"/>
        <v>600</v>
      </c>
      <c r="W704" s="8">
        <f t="shared" si="135"/>
        <v>50.789303184979985</v>
      </c>
      <c r="X704" s="1">
        <f t="shared" si="142"/>
        <v>50.789303184979985</v>
      </c>
      <c r="Y704" s="18"/>
      <c r="Z704" s="7"/>
      <c r="AA704" s="1"/>
      <c r="AB704" s="1"/>
      <c r="AC704" s="1"/>
    </row>
    <row r="705" spans="1:29" x14ac:dyDescent="0.3">
      <c r="A705">
        <v>704</v>
      </c>
      <c r="E705">
        <v>-190.9405147377</v>
      </c>
      <c r="F705">
        <v>136.29907946291999</v>
      </c>
      <c r="G705">
        <v>336.95388311513</v>
      </c>
      <c r="H705">
        <v>52.750372598414003</v>
      </c>
      <c r="I705">
        <v>-42.651878543099997</v>
      </c>
      <c r="J705">
        <v>316.86130878845</v>
      </c>
      <c r="L705" s="1">
        <f t="shared" si="143"/>
        <v>3.36652888391</v>
      </c>
      <c r="M705">
        <f t="shared" si="144"/>
        <v>2477.4003497726403</v>
      </c>
      <c r="N705">
        <f t="shared" si="136"/>
        <v>6.8816676382573343</v>
      </c>
      <c r="O705">
        <f t="shared" si="137"/>
        <v>52.750372598414003</v>
      </c>
      <c r="P705">
        <f t="shared" si="138"/>
        <v>651</v>
      </c>
      <c r="Q705">
        <f t="shared" si="145"/>
        <v>102.181465310516</v>
      </c>
      <c r="R705">
        <f t="shared" si="139"/>
        <v>102.181465310516</v>
      </c>
      <c r="S705">
        <f t="shared" si="134"/>
        <v>105.491713900406</v>
      </c>
      <c r="T705">
        <f t="shared" si="140"/>
        <v>105.491713900406</v>
      </c>
      <c r="U705" s="3">
        <f t="shared" si="141"/>
        <v>316.86130878845</v>
      </c>
      <c r="V705">
        <f t="shared" si="146"/>
        <v>601</v>
      </c>
      <c r="W705" s="8">
        <f t="shared" si="135"/>
        <v>50.778892478700016</v>
      </c>
      <c r="X705" s="1">
        <f t="shared" si="142"/>
        <v>50.778892478700016</v>
      </c>
      <c r="Y705" s="18"/>
      <c r="Z705" s="7"/>
      <c r="AA705" s="1"/>
      <c r="AB705" s="1"/>
      <c r="AC705" s="1"/>
    </row>
    <row r="706" spans="1:29" x14ac:dyDescent="0.3">
      <c r="A706">
        <v>705</v>
      </c>
      <c r="E706">
        <v>-190.37942469199999</v>
      </c>
      <c r="F706">
        <v>138.57206570724</v>
      </c>
      <c r="G706">
        <v>339.05015347122003</v>
      </c>
      <c r="H706">
        <v>52.638999268801001</v>
      </c>
      <c r="I706">
        <v>-39.27712984043</v>
      </c>
      <c r="J706">
        <v>317.34381715371001</v>
      </c>
      <c r="L706" s="1">
        <f t="shared" si="143"/>
        <v>3.3747487026699972</v>
      </c>
      <c r="M706">
        <f t="shared" si="144"/>
        <v>2480.7750984753102</v>
      </c>
      <c r="N706">
        <f t="shared" si="136"/>
        <v>6.8910419402091954</v>
      </c>
      <c r="O706">
        <f t="shared" si="137"/>
        <v>52.638999268801001</v>
      </c>
      <c r="P706">
        <f t="shared" si="138"/>
        <v>652</v>
      </c>
      <c r="Q706">
        <f t="shared" si="145"/>
        <v>102.17334226445</v>
      </c>
      <c r="R706">
        <f t="shared" si="139"/>
        <v>102.17334226445</v>
      </c>
      <c r="S706">
        <f t="shared" ref="S706:S769" si="147">IF(P706=0,0,SQRT((E706-INDEX(E:E,P706))^2+(F706-INDEX(F:F,P706))^2+(G706-INDEX(G:G,P706))^2))</f>
        <v>105.48663336738159</v>
      </c>
      <c r="T706">
        <f t="shared" si="140"/>
        <v>105.48663336738159</v>
      </c>
      <c r="U706" s="3">
        <f t="shared" si="141"/>
        <v>317.34381715371001</v>
      </c>
      <c r="V706">
        <f t="shared" si="146"/>
        <v>602</v>
      </c>
      <c r="W706" s="8">
        <f t="shared" ref="W706:W769" si="148">IF(V706=0,0,U706-INDEX(U:U,V706))</f>
        <v>50.765285871250001</v>
      </c>
      <c r="X706" s="1">
        <f t="shared" si="142"/>
        <v>50.765285871250001</v>
      </c>
      <c r="Y706" s="18"/>
      <c r="Z706" s="7"/>
      <c r="AA706" s="1"/>
      <c r="AB706" s="1"/>
      <c r="AC706" s="1"/>
    </row>
    <row r="707" spans="1:29" x14ac:dyDescent="0.3">
      <c r="A707">
        <v>706</v>
      </c>
      <c r="E707">
        <v>-189.78348931260001</v>
      </c>
      <c r="F707">
        <v>140.69922600839001</v>
      </c>
      <c r="G707">
        <v>341.28542872766002</v>
      </c>
      <c r="H707">
        <v>52.506962387752999</v>
      </c>
      <c r="I707">
        <v>-35.898367995199997</v>
      </c>
      <c r="J707">
        <v>317.84400198638002</v>
      </c>
      <c r="L707" s="1">
        <f t="shared" si="143"/>
        <v>3.3787618452300023</v>
      </c>
      <c r="M707">
        <f t="shared" si="144"/>
        <v>2484.1538603205404</v>
      </c>
      <c r="N707">
        <f t="shared" ref="N707:N770" si="149">M707/360</f>
        <v>6.9004273897792787</v>
      </c>
      <c r="O707">
        <f t="shared" ref="O707:O770" si="150">H707</f>
        <v>52.506962387752999</v>
      </c>
      <c r="P707">
        <f t="shared" ref="P707:P770" si="151">IFERROR(MATCH(N707-0.5,N:N,1),0)</f>
        <v>653</v>
      </c>
      <c r="Q707">
        <f t="shared" si="145"/>
        <v>102.148830340885</v>
      </c>
      <c r="R707">
        <f t="shared" ref="R707:R770" si="152">IF(Q707=0,MAX(Q:Q),Q707)</f>
        <v>102.148830340885</v>
      </c>
      <c r="S707">
        <f t="shared" si="147"/>
        <v>105.4763830435535</v>
      </c>
      <c r="T707">
        <f t="shared" ref="T707:T770" si="153">IF(S707=0,MAX(S:S),S707)</f>
        <v>105.4763830435535</v>
      </c>
      <c r="U707" s="3">
        <f t="shared" ref="U707:U770" si="154">J707</f>
        <v>317.84400198638002</v>
      </c>
      <c r="V707">
        <f t="shared" si="146"/>
        <v>603</v>
      </c>
      <c r="W707" s="8">
        <f t="shared" si="148"/>
        <v>50.76951777883005</v>
      </c>
      <c r="X707" s="1">
        <f t="shared" ref="X707:X770" si="155">IF(W707=0,MAX(W:W),W707)</f>
        <v>50.76951777883005</v>
      </c>
      <c r="Y707" s="18"/>
      <c r="Z707" s="7"/>
      <c r="AA707" s="1"/>
      <c r="AB707" s="1"/>
      <c r="AC707" s="1"/>
    </row>
    <row r="708" spans="1:29" x14ac:dyDescent="0.3">
      <c r="A708">
        <v>707</v>
      </c>
      <c r="E708">
        <v>-189.1894904534</v>
      </c>
      <c r="F708">
        <v>142.68181939435999</v>
      </c>
      <c r="G708">
        <v>343.65019199194001</v>
      </c>
      <c r="H708">
        <v>52.364909767762001</v>
      </c>
      <c r="I708">
        <v>-32.508254341220002</v>
      </c>
      <c r="J708">
        <v>318.32604359709001</v>
      </c>
      <c r="L708" s="1">
        <f t="shared" ref="L708:L771" si="156">I708-I707</f>
        <v>3.390113653979995</v>
      </c>
      <c r="M708">
        <f t="shared" ref="M708:M771" si="157">IF(L708&gt;0,M707+L708,M707+L707)</f>
        <v>2487.5439739745202</v>
      </c>
      <c r="N708">
        <f t="shared" si="149"/>
        <v>6.9098443721514453</v>
      </c>
      <c r="O708">
        <f t="shared" si="150"/>
        <v>52.364909767762001</v>
      </c>
      <c r="P708">
        <f t="shared" si="151"/>
        <v>654</v>
      </c>
      <c r="Q708">
        <f t="shared" si="145"/>
        <v>102.14232982731599</v>
      </c>
      <c r="R708">
        <f t="shared" si="152"/>
        <v>102.14232982731599</v>
      </c>
      <c r="S708">
        <f t="shared" si="147"/>
        <v>105.47337574810352</v>
      </c>
      <c r="T708">
        <f t="shared" si="153"/>
        <v>105.47337574810352</v>
      </c>
      <c r="U708" s="3">
        <f t="shared" si="154"/>
        <v>318.32604359709001</v>
      </c>
      <c r="V708">
        <f t="shared" si="146"/>
        <v>604</v>
      </c>
      <c r="W708" s="8">
        <f t="shared" si="148"/>
        <v>50.780749255019998</v>
      </c>
      <c r="X708" s="1">
        <f t="shared" si="155"/>
        <v>50.780749255019998</v>
      </c>
      <c r="Y708" s="18"/>
      <c r="Z708" s="7"/>
      <c r="AA708" s="1"/>
      <c r="AB708" s="1"/>
      <c r="AC708" s="1"/>
    </row>
    <row r="709" spans="1:29" x14ac:dyDescent="0.3">
      <c r="A709">
        <v>708</v>
      </c>
      <c r="E709">
        <v>-188.5811807586</v>
      </c>
      <c r="F709">
        <v>144.52054479696</v>
      </c>
      <c r="G709">
        <v>346.12526721082003</v>
      </c>
      <c r="H709">
        <v>52.224968746755003</v>
      </c>
      <c r="I709">
        <v>-29.108589672930002</v>
      </c>
      <c r="J709">
        <v>318.80768921855002</v>
      </c>
      <c r="L709" s="1">
        <f t="shared" si="156"/>
        <v>3.3996646682900007</v>
      </c>
      <c r="M709">
        <f t="shared" si="157"/>
        <v>2490.9436386428101</v>
      </c>
      <c r="N709">
        <f t="shared" si="149"/>
        <v>6.9192878851189175</v>
      </c>
      <c r="O709">
        <f t="shared" si="150"/>
        <v>52.224968746755003</v>
      </c>
      <c r="P709">
        <f t="shared" si="151"/>
        <v>655</v>
      </c>
      <c r="Q709">
        <f t="shared" si="145"/>
        <v>102.12954514825901</v>
      </c>
      <c r="R709">
        <f t="shared" si="152"/>
        <v>102.12954514825901</v>
      </c>
      <c r="S709">
        <f t="shared" si="147"/>
        <v>105.46397506448102</v>
      </c>
      <c r="T709">
        <f t="shared" si="153"/>
        <v>105.46397506448102</v>
      </c>
      <c r="U709" s="3">
        <f t="shared" si="154"/>
        <v>318.80768921855002</v>
      </c>
      <c r="V709">
        <f t="shared" si="146"/>
        <v>605</v>
      </c>
      <c r="W709" s="8">
        <f t="shared" si="148"/>
        <v>50.767404984090035</v>
      </c>
      <c r="X709" s="1">
        <f t="shared" si="155"/>
        <v>50.767404984090035</v>
      </c>
      <c r="Y709" s="18"/>
      <c r="Z709" s="7"/>
      <c r="AA709" s="1"/>
      <c r="AB709" s="1"/>
      <c r="AC709" s="1"/>
    </row>
    <row r="710" spans="1:29" x14ac:dyDescent="0.3">
      <c r="A710">
        <v>709</v>
      </c>
      <c r="E710">
        <v>-187.94552356919999</v>
      </c>
      <c r="F710">
        <v>146.21112413416</v>
      </c>
      <c r="G710">
        <v>348.69695130893001</v>
      </c>
      <c r="H710">
        <v>52.091048946925</v>
      </c>
      <c r="I710">
        <v>-25.702269370740002</v>
      </c>
      <c r="J710">
        <v>319.30284875129001</v>
      </c>
      <c r="L710" s="1">
        <f t="shared" si="156"/>
        <v>3.4063203021900001</v>
      </c>
      <c r="M710">
        <f t="shared" si="157"/>
        <v>2494.3499589450003</v>
      </c>
      <c r="N710">
        <f t="shared" si="149"/>
        <v>6.9287498859583341</v>
      </c>
      <c r="O710">
        <f t="shared" si="150"/>
        <v>52.091048946925</v>
      </c>
      <c r="P710">
        <f t="shared" si="151"/>
        <v>656</v>
      </c>
      <c r="Q710">
        <f t="shared" si="145"/>
        <v>102.11232708455699</v>
      </c>
      <c r="R710">
        <f t="shared" si="152"/>
        <v>102.11232708455699</v>
      </c>
      <c r="S710">
        <f t="shared" si="147"/>
        <v>105.45126648404708</v>
      </c>
      <c r="T710">
        <f t="shared" si="153"/>
        <v>105.45126648404708</v>
      </c>
      <c r="U710" s="3">
        <f t="shared" si="154"/>
        <v>319.30284875129001</v>
      </c>
      <c r="V710">
        <f t="shared" si="146"/>
        <v>606</v>
      </c>
      <c r="W710" s="8">
        <f t="shared" si="148"/>
        <v>50.767486572410007</v>
      </c>
      <c r="X710" s="1">
        <f t="shared" si="155"/>
        <v>50.767486572410007</v>
      </c>
      <c r="Y710" s="18"/>
      <c r="Z710" s="7"/>
      <c r="AA710" s="1"/>
      <c r="AB710" s="1"/>
      <c r="AC710" s="1"/>
    </row>
    <row r="711" spans="1:29" x14ac:dyDescent="0.3">
      <c r="A711">
        <v>710</v>
      </c>
      <c r="E711">
        <v>-187.32580339090001</v>
      </c>
      <c r="F711">
        <v>147.74981233150999</v>
      </c>
      <c r="G711">
        <v>351.36607902732999</v>
      </c>
      <c r="H711">
        <v>51.963285266798998</v>
      </c>
      <c r="I711">
        <v>-22.281978337190001</v>
      </c>
      <c r="J711">
        <v>319.76819431652001</v>
      </c>
      <c r="L711" s="1">
        <f t="shared" si="156"/>
        <v>3.4202910335500007</v>
      </c>
      <c r="M711">
        <f t="shared" si="157"/>
        <v>2497.7702499785501</v>
      </c>
      <c r="N711">
        <f t="shared" si="149"/>
        <v>6.9382506943848616</v>
      </c>
      <c r="O711">
        <f t="shared" si="150"/>
        <v>51.963285266798998</v>
      </c>
      <c r="P711">
        <f t="shared" si="151"/>
        <v>657</v>
      </c>
      <c r="Q711">
        <f t="shared" si="145"/>
        <v>102.139929323693</v>
      </c>
      <c r="R711">
        <f t="shared" si="152"/>
        <v>102.139929323693</v>
      </c>
      <c r="S711">
        <f t="shared" si="147"/>
        <v>105.47087786299964</v>
      </c>
      <c r="T711">
        <f t="shared" si="153"/>
        <v>105.47087786299964</v>
      </c>
      <c r="U711" s="3">
        <f t="shared" si="154"/>
        <v>319.76819431652001</v>
      </c>
      <c r="V711">
        <f t="shared" si="146"/>
        <v>607</v>
      </c>
      <c r="W711" s="8">
        <f t="shared" si="148"/>
        <v>50.752688239589986</v>
      </c>
      <c r="X711" s="1">
        <f t="shared" si="155"/>
        <v>50.752688239589986</v>
      </c>
      <c r="Y711" s="18"/>
      <c r="Z711" s="7"/>
      <c r="AA711" s="1"/>
      <c r="AB711" s="1"/>
      <c r="AC711" s="1"/>
    </row>
    <row r="712" spans="1:29" x14ac:dyDescent="0.3">
      <c r="A712">
        <v>711</v>
      </c>
      <c r="E712">
        <v>-186.70171905960001</v>
      </c>
      <c r="F712">
        <v>149.11393263214001</v>
      </c>
      <c r="G712">
        <v>354.12752176232999</v>
      </c>
      <c r="H712">
        <v>51.824014305715998</v>
      </c>
      <c r="I712">
        <v>-18.851774786299998</v>
      </c>
      <c r="J712">
        <v>320.22344113371997</v>
      </c>
      <c r="L712" s="1">
        <f t="shared" si="156"/>
        <v>3.4302035508900026</v>
      </c>
      <c r="M712">
        <f t="shared" si="157"/>
        <v>2501.20045352944</v>
      </c>
      <c r="N712">
        <f t="shared" si="149"/>
        <v>6.9477790375817774</v>
      </c>
      <c r="O712">
        <f t="shared" si="150"/>
        <v>51.824014305715998</v>
      </c>
      <c r="P712">
        <f t="shared" si="151"/>
        <v>658</v>
      </c>
      <c r="Q712">
        <f t="shared" si="145"/>
        <v>102.106405512012</v>
      </c>
      <c r="R712">
        <f t="shared" si="152"/>
        <v>102.106405512012</v>
      </c>
      <c r="S712">
        <f t="shared" si="147"/>
        <v>105.42961141615432</v>
      </c>
      <c r="T712">
        <f t="shared" si="153"/>
        <v>105.42961141615432</v>
      </c>
      <c r="U712" s="3">
        <f t="shared" si="154"/>
        <v>320.22344113371997</v>
      </c>
      <c r="V712">
        <f t="shared" si="146"/>
        <v>608</v>
      </c>
      <c r="W712" s="8">
        <f t="shared" si="148"/>
        <v>50.728880164039992</v>
      </c>
      <c r="X712" s="1">
        <f t="shared" si="155"/>
        <v>50.728880164039992</v>
      </c>
      <c r="Y712" s="18"/>
      <c r="Z712" s="7"/>
      <c r="AA712" s="1"/>
      <c r="AB712" s="1"/>
      <c r="AC712" s="1"/>
    </row>
    <row r="713" spans="1:29" x14ac:dyDescent="0.3">
      <c r="A713">
        <v>712</v>
      </c>
      <c r="E713">
        <v>-186.04277032179999</v>
      </c>
      <c r="F713">
        <v>150.31111480349</v>
      </c>
      <c r="G713">
        <v>356.95741842045999</v>
      </c>
      <c r="H713">
        <v>51.688718882015998</v>
      </c>
      <c r="I713">
        <v>-15.416036932520001</v>
      </c>
      <c r="J713">
        <v>320.70118709024001</v>
      </c>
      <c r="L713" s="1">
        <f t="shared" si="156"/>
        <v>3.4357378537799974</v>
      </c>
      <c r="M713">
        <f t="shared" si="157"/>
        <v>2504.6361913832202</v>
      </c>
      <c r="N713">
        <f t="shared" si="149"/>
        <v>6.9573227538422779</v>
      </c>
      <c r="O713">
        <f t="shared" si="150"/>
        <v>51.688718882015998</v>
      </c>
      <c r="P713">
        <f t="shared" si="151"/>
        <v>659</v>
      </c>
      <c r="Q713">
        <f t="shared" si="145"/>
        <v>102.11930615879601</v>
      </c>
      <c r="R713">
        <f t="shared" si="152"/>
        <v>102.11930615879601</v>
      </c>
      <c r="S713">
        <f t="shared" si="147"/>
        <v>105.4424491346643</v>
      </c>
      <c r="T713">
        <f t="shared" si="153"/>
        <v>105.4424491346643</v>
      </c>
      <c r="U713" s="3">
        <f t="shared" si="154"/>
        <v>320.70118709024001</v>
      </c>
      <c r="V713">
        <f t="shared" si="146"/>
        <v>609</v>
      </c>
      <c r="W713" s="8">
        <f t="shared" si="148"/>
        <v>50.730128255300031</v>
      </c>
      <c r="X713" s="1">
        <f t="shared" si="155"/>
        <v>50.730128255300031</v>
      </c>
      <c r="Y713" s="18"/>
      <c r="Z713" s="7"/>
      <c r="AA713" s="1"/>
      <c r="AB713" s="1"/>
      <c r="AC713" s="1"/>
    </row>
    <row r="714" spans="1:29" x14ac:dyDescent="0.3">
      <c r="A714">
        <v>713</v>
      </c>
      <c r="E714">
        <v>-185.35279290899999</v>
      </c>
      <c r="F714">
        <v>151.28724787517001</v>
      </c>
      <c r="G714">
        <v>359.86388796104001</v>
      </c>
      <c r="H714">
        <v>51.504415680740003</v>
      </c>
      <c r="I714">
        <v>-11.9750909435</v>
      </c>
      <c r="J714">
        <v>321.19477736726998</v>
      </c>
      <c r="L714" s="1">
        <f t="shared" si="156"/>
        <v>3.4409459890200012</v>
      </c>
      <c r="M714">
        <f t="shared" si="157"/>
        <v>2508.07713737224</v>
      </c>
      <c r="N714">
        <f t="shared" si="149"/>
        <v>6.9668809371451115</v>
      </c>
      <c r="O714">
        <f t="shared" si="150"/>
        <v>51.504415680740003</v>
      </c>
      <c r="P714">
        <f t="shared" si="151"/>
        <v>660</v>
      </c>
      <c r="Q714">
        <f t="shared" si="145"/>
        <v>102.189453657461</v>
      </c>
      <c r="R714">
        <f t="shared" si="152"/>
        <v>102.189453657461</v>
      </c>
      <c r="S714">
        <f t="shared" si="147"/>
        <v>105.51995639661995</v>
      </c>
      <c r="T714">
        <f t="shared" si="153"/>
        <v>105.51995639661995</v>
      </c>
      <c r="U714" s="3">
        <f t="shared" si="154"/>
        <v>321.19477736726998</v>
      </c>
      <c r="V714">
        <f t="shared" si="146"/>
        <v>610</v>
      </c>
      <c r="W714" s="8">
        <f t="shared" si="148"/>
        <v>50.736479508089985</v>
      </c>
      <c r="X714" s="1">
        <f t="shared" si="155"/>
        <v>50.736479508089985</v>
      </c>
      <c r="Y714" s="18"/>
      <c r="Z714" s="7"/>
      <c r="AA714" s="1"/>
      <c r="AB714" s="1"/>
      <c r="AC714" s="1"/>
    </row>
    <row r="715" spans="1:29" x14ac:dyDescent="0.3">
      <c r="A715">
        <v>714</v>
      </c>
      <c r="E715">
        <v>-184.72775420790001</v>
      </c>
      <c r="F715">
        <v>152.17518550809999</v>
      </c>
      <c r="G715">
        <v>362.81285898548998</v>
      </c>
      <c r="H715">
        <v>51.414466156594003</v>
      </c>
      <c r="I715">
        <v>-8.5087398153959999</v>
      </c>
      <c r="J715">
        <v>321.61672465577999</v>
      </c>
      <c r="L715" s="1">
        <f t="shared" si="156"/>
        <v>3.4663511281039998</v>
      </c>
      <c r="M715">
        <f t="shared" si="157"/>
        <v>2511.5434885003442</v>
      </c>
      <c r="N715">
        <f t="shared" si="149"/>
        <v>6.9765096902787338</v>
      </c>
      <c r="O715">
        <f t="shared" si="150"/>
        <v>51.414466156594003</v>
      </c>
      <c r="P715">
        <f t="shared" si="151"/>
        <v>661</v>
      </c>
      <c r="Q715">
        <f t="shared" si="145"/>
        <v>102.268595724721</v>
      </c>
      <c r="R715">
        <f t="shared" si="152"/>
        <v>102.268595724721</v>
      </c>
      <c r="S715">
        <f t="shared" si="147"/>
        <v>105.58261250887534</v>
      </c>
      <c r="T715">
        <f t="shared" si="153"/>
        <v>105.58261250887534</v>
      </c>
      <c r="U715" s="3">
        <f t="shared" si="154"/>
        <v>321.61672465577999</v>
      </c>
      <c r="V715">
        <f t="shared" si="146"/>
        <v>611</v>
      </c>
      <c r="W715" s="8">
        <f t="shared" si="148"/>
        <v>50.611832337689975</v>
      </c>
      <c r="X715" s="1">
        <f t="shared" si="155"/>
        <v>50.611832337689975</v>
      </c>
      <c r="Y715" s="18"/>
      <c r="Z715" s="7"/>
      <c r="AA715" s="1"/>
      <c r="AB715" s="1"/>
      <c r="AC715" s="1"/>
    </row>
    <row r="716" spans="1:29" x14ac:dyDescent="0.3">
      <c r="A716">
        <v>715</v>
      </c>
      <c r="E716">
        <v>-184.0092928931</v>
      </c>
      <c r="F716">
        <v>152.88716772792</v>
      </c>
      <c r="G716">
        <v>365.78818649563999</v>
      </c>
      <c r="H716">
        <v>51.330442197347999</v>
      </c>
      <c r="I716">
        <v>-5.0502738998370003</v>
      </c>
      <c r="J716">
        <v>322.12250378816998</v>
      </c>
      <c r="L716" s="1">
        <f t="shared" si="156"/>
        <v>3.4584659155589996</v>
      </c>
      <c r="M716">
        <f t="shared" si="157"/>
        <v>2515.0019544159031</v>
      </c>
      <c r="N716">
        <f t="shared" si="149"/>
        <v>6.9861165400441756</v>
      </c>
      <c r="O716">
        <f t="shared" si="150"/>
        <v>51.330442197347999</v>
      </c>
      <c r="P716">
        <f t="shared" si="151"/>
        <v>662</v>
      </c>
      <c r="Q716">
        <f t="shared" si="145"/>
        <v>102.277739594148</v>
      </c>
      <c r="R716">
        <f t="shared" si="152"/>
        <v>102.277739594148</v>
      </c>
      <c r="S716">
        <f t="shared" si="147"/>
        <v>105.60194002434008</v>
      </c>
      <c r="T716">
        <f t="shared" si="153"/>
        <v>105.60194002434008</v>
      </c>
      <c r="U716" s="3">
        <f t="shared" si="154"/>
        <v>322.12250378816998</v>
      </c>
      <c r="V716">
        <f t="shared" si="146"/>
        <v>612</v>
      </c>
      <c r="W716" s="8">
        <f t="shared" si="148"/>
        <v>50.589439344799985</v>
      </c>
      <c r="X716" s="1">
        <f t="shared" si="155"/>
        <v>50.589439344799985</v>
      </c>
      <c r="Y716" s="18"/>
      <c r="Z716" s="7"/>
      <c r="AA716" s="1"/>
      <c r="AB716" s="1"/>
      <c r="AC716" s="1"/>
    </row>
    <row r="717" spans="1:29" x14ac:dyDescent="0.3">
      <c r="A717">
        <v>716</v>
      </c>
      <c r="E717">
        <v>-183.2597408885</v>
      </c>
      <c r="F717">
        <v>153.33436721230001</v>
      </c>
      <c r="G717">
        <v>368.80725984466</v>
      </c>
      <c r="H717">
        <v>51.164024454797001</v>
      </c>
      <c r="I717">
        <v>-1.5900215593939999</v>
      </c>
      <c r="J717">
        <v>322.64505564481999</v>
      </c>
      <c r="L717" s="1">
        <f t="shared" si="156"/>
        <v>3.4602523404430006</v>
      </c>
      <c r="M717">
        <f t="shared" si="157"/>
        <v>2518.4622067563459</v>
      </c>
      <c r="N717">
        <f t="shared" si="149"/>
        <v>6.9957283521009606</v>
      </c>
      <c r="O717">
        <f t="shared" si="150"/>
        <v>51.164024454797001</v>
      </c>
      <c r="P717">
        <f t="shared" si="151"/>
        <v>663</v>
      </c>
      <c r="Q717">
        <f t="shared" si="145"/>
        <v>102.27479262531401</v>
      </c>
      <c r="R717">
        <f t="shared" si="152"/>
        <v>102.27479262531401</v>
      </c>
      <c r="S717">
        <f t="shared" si="147"/>
        <v>105.60749840289176</v>
      </c>
      <c r="T717">
        <f t="shared" si="153"/>
        <v>105.60749840289176</v>
      </c>
      <c r="U717" s="3">
        <f t="shared" si="154"/>
        <v>322.64505564481999</v>
      </c>
      <c r="V717">
        <f t="shared" si="146"/>
        <v>613</v>
      </c>
      <c r="W717" s="8">
        <f t="shared" si="148"/>
        <v>50.646473439840008</v>
      </c>
      <c r="X717" s="1">
        <f t="shared" si="155"/>
        <v>50.646473439840008</v>
      </c>
      <c r="Y717" s="18"/>
      <c r="Z717" s="7"/>
      <c r="AA717" s="1"/>
      <c r="AB717" s="1"/>
      <c r="AC717" s="1"/>
    </row>
    <row r="718" spans="1:29" x14ac:dyDescent="0.3">
      <c r="A718">
        <v>717</v>
      </c>
      <c r="E718">
        <v>-182.56931312980001</v>
      </c>
      <c r="F718">
        <v>153.66790864866999</v>
      </c>
      <c r="G718">
        <v>371.85502945210999</v>
      </c>
      <c r="H718">
        <v>51.072100939546999</v>
      </c>
      <c r="I718">
        <v>1.8941387136164001</v>
      </c>
      <c r="J718">
        <v>323.10183462808999</v>
      </c>
      <c r="L718" s="1">
        <f t="shared" si="156"/>
        <v>3.4841602730104002</v>
      </c>
      <c r="M718">
        <f t="shared" si="157"/>
        <v>2521.9463670293562</v>
      </c>
      <c r="N718">
        <f t="shared" si="149"/>
        <v>7.0054065750815449</v>
      </c>
      <c r="O718">
        <f t="shared" si="150"/>
        <v>51.072100939546999</v>
      </c>
      <c r="P718">
        <f t="shared" si="151"/>
        <v>664</v>
      </c>
      <c r="Q718">
        <f t="shared" si="145"/>
        <v>102.325658426749</v>
      </c>
      <c r="R718">
        <f t="shared" si="152"/>
        <v>102.325658426749</v>
      </c>
      <c r="S718">
        <f t="shared" si="147"/>
        <v>105.64825794003997</v>
      </c>
      <c r="T718">
        <f t="shared" si="153"/>
        <v>105.64825794003997</v>
      </c>
      <c r="U718" s="3">
        <f t="shared" si="154"/>
        <v>323.10183462808999</v>
      </c>
      <c r="V718">
        <f t="shared" si="146"/>
        <v>614</v>
      </c>
      <c r="W718" s="8">
        <f t="shared" si="148"/>
        <v>50.71821747752</v>
      </c>
      <c r="X718" s="1">
        <f t="shared" si="155"/>
        <v>50.71821747752</v>
      </c>
      <c r="Y718" s="18"/>
      <c r="Z718" s="7"/>
      <c r="AA718" s="1"/>
      <c r="AB718" s="1"/>
      <c r="AC718" s="1"/>
    </row>
    <row r="719" spans="1:29" x14ac:dyDescent="0.3">
      <c r="A719">
        <v>718</v>
      </c>
      <c r="E719">
        <v>-181.89372228760001</v>
      </c>
      <c r="F719">
        <v>153.78020000711999</v>
      </c>
      <c r="G719">
        <v>374.92191560364</v>
      </c>
      <c r="H719">
        <v>50.948359088781999</v>
      </c>
      <c r="I719">
        <v>5.3881147773507001</v>
      </c>
      <c r="J719">
        <v>323.53337528496002</v>
      </c>
      <c r="L719" s="1">
        <f t="shared" si="156"/>
        <v>3.4939760637343</v>
      </c>
      <c r="M719">
        <f t="shared" si="157"/>
        <v>2525.4403430930906</v>
      </c>
      <c r="N719">
        <f t="shared" si="149"/>
        <v>7.0151120641474742</v>
      </c>
      <c r="O719">
        <f t="shared" si="150"/>
        <v>50.948359088781999</v>
      </c>
      <c r="P719">
        <f t="shared" si="151"/>
        <v>665</v>
      </c>
      <c r="Q719">
        <f t="shared" si="145"/>
        <v>102.24510361850599</v>
      </c>
      <c r="R719">
        <f t="shared" si="152"/>
        <v>102.24510361850599</v>
      </c>
      <c r="S719">
        <f t="shared" si="147"/>
        <v>105.56221162887387</v>
      </c>
      <c r="T719">
        <f t="shared" si="153"/>
        <v>105.56221162887387</v>
      </c>
      <c r="U719" s="3">
        <f t="shared" si="154"/>
        <v>323.53337528496002</v>
      </c>
      <c r="V719">
        <f t="shared" si="146"/>
        <v>615</v>
      </c>
      <c r="W719" s="8">
        <f t="shared" si="148"/>
        <v>50.680158016460041</v>
      </c>
      <c r="X719" s="1">
        <f t="shared" si="155"/>
        <v>50.680158016460041</v>
      </c>
      <c r="Y719" s="18"/>
      <c r="Z719" s="7"/>
      <c r="AA719" s="1"/>
      <c r="AB719" s="1"/>
      <c r="AC719" s="1"/>
    </row>
    <row r="720" spans="1:29" x14ac:dyDescent="0.3">
      <c r="A720">
        <v>719</v>
      </c>
      <c r="E720">
        <v>-181.1553843698</v>
      </c>
      <c r="F720">
        <v>153.69446055626</v>
      </c>
      <c r="G720">
        <v>377.97535089337998</v>
      </c>
      <c r="H720">
        <v>50.814019191033999</v>
      </c>
      <c r="I720">
        <v>8.8814053962501998</v>
      </c>
      <c r="J720">
        <v>324.02049629931997</v>
      </c>
      <c r="L720" s="1">
        <f t="shared" si="156"/>
        <v>3.4932906188994997</v>
      </c>
      <c r="M720">
        <f t="shared" si="157"/>
        <v>2528.9336337119903</v>
      </c>
      <c r="N720">
        <f t="shared" si="149"/>
        <v>7.0248156491999731</v>
      </c>
      <c r="O720">
        <f t="shared" si="150"/>
        <v>50.814019191033999</v>
      </c>
      <c r="P720">
        <f t="shared" si="151"/>
        <v>666</v>
      </c>
      <c r="Q720">
        <f t="shared" si="145"/>
        <v>102.25811001954901</v>
      </c>
      <c r="R720">
        <f t="shared" si="152"/>
        <v>102.25811001954901</v>
      </c>
      <c r="S720">
        <f t="shared" si="147"/>
        <v>105.58185044835398</v>
      </c>
      <c r="T720">
        <f t="shared" si="153"/>
        <v>105.58185044835398</v>
      </c>
      <c r="U720" s="3">
        <f t="shared" si="154"/>
        <v>324.02049629931997</v>
      </c>
      <c r="V720">
        <f t="shared" si="146"/>
        <v>616</v>
      </c>
      <c r="W720" s="8">
        <f t="shared" si="148"/>
        <v>50.681269151069955</v>
      </c>
      <c r="X720" s="1">
        <f t="shared" si="155"/>
        <v>50.681269151069955</v>
      </c>
      <c r="Y720" s="18"/>
      <c r="Z720" s="7"/>
      <c r="AA720" s="1"/>
      <c r="AB720" s="1"/>
      <c r="AC720" s="1"/>
    </row>
    <row r="721" spans="1:29" x14ac:dyDescent="0.3">
      <c r="A721">
        <v>720</v>
      </c>
      <c r="E721">
        <v>-180.310913446</v>
      </c>
      <c r="F721">
        <v>153.38813451339999</v>
      </c>
      <c r="G721">
        <v>380.98721991929</v>
      </c>
      <c r="H721">
        <v>50.642403722509997</v>
      </c>
      <c r="I721">
        <v>12.363926718947001</v>
      </c>
      <c r="J721">
        <v>324.60775210306002</v>
      </c>
      <c r="L721" s="1">
        <f t="shared" si="156"/>
        <v>3.482521322696801</v>
      </c>
      <c r="M721">
        <f t="shared" si="157"/>
        <v>2532.4161550346871</v>
      </c>
      <c r="N721">
        <f t="shared" si="149"/>
        <v>7.0344893195407971</v>
      </c>
      <c r="O721">
        <f t="shared" si="150"/>
        <v>50.642403722509997</v>
      </c>
      <c r="P721">
        <f t="shared" si="151"/>
        <v>667</v>
      </c>
      <c r="Q721">
        <f t="shared" si="145"/>
        <v>102.28184940679</v>
      </c>
      <c r="R721">
        <f t="shared" si="152"/>
        <v>102.28184940679</v>
      </c>
      <c r="S721">
        <f t="shared" si="147"/>
        <v>105.61581901139252</v>
      </c>
      <c r="T721">
        <f t="shared" si="153"/>
        <v>105.61581901139252</v>
      </c>
      <c r="U721" s="3">
        <f t="shared" si="154"/>
        <v>324.60775210306002</v>
      </c>
      <c r="V721">
        <f t="shared" si="146"/>
        <v>617</v>
      </c>
      <c r="W721" s="8">
        <f t="shared" si="148"/>
        <v>50.794157064440014</v>
      </c>
      <c r="X721" s="1">
        <f t="shared" si="155"/>
        <v>50.794157064440014</v>
      </c>
      <c r="Y721" s="18"/>
      <c r="Z721" s="7"/>
      <c r="AA721" s="1"/>
      <c r="AB721" s="1"/>
      <c r="AC721" s="1"/>
    </row>
    <row r="722" spans="1:29" x14ac:dyDescent="0.3">
      <c r="A722">
        <v>721</v>
      </c>
      <c r="E722">
        <v>-179.57301034310001</v>
      </c>
      <c r="F722">
        <v>152.95479669397</v>
      </c>
      <c r="G722">
        <v>384.01132020768</v>
      </c>
      <c r="H722">
        <v>50.537936954792002</v>
      </c>
      <c r="I722">
        <v>15.881021341265001</v>
      </c>
      <c r="J722">
        <v>325.08276392511999</v>
      </c>
      <c r="L722" s="1">
        <f t="shared" si="156"/>
        <v>3.517094622318</v>
      </c>
      <c r="M722">
        <f t="shared" si="157"/>
        <v>2535.933249657005</v>
      </c>
      <c r="N722">
        <f t="shared" si="149"/>
        <v>7.0442590268250136</v>
      </c>
      <c r="O722">
        <f t="shared" si="150"/>
        <v>50.537936954792002</v>
      </c>
      <c r="P722">
        <f t="shared" si="151"/>
        <v>668</v>
      </c>
      <c r="Q722">
        <f t="shared" ref="Q722:Q785" si="158">IF(P722=0,0,O722+INDEX(O:O,P722))</f>
        <v>102.24483315973301</v>
      </c>
      <c r="R722">
        <f t="shared" si="152"/>
        <v>102.24483315973301</v>
      </c>
      <c r="S722">
        <f t="shared" si="147"/>
        <v>105.57708456931907</v>
      </c>
      <c r="T722">
        <f t="shared" si="153"/>
        <v>105.57708456931907</v>
      </c>
      <c r="U722" s="3">
        <f t="shared" si="154"/>
        <v>325.08276392511999</v>
      </c>
      <c r="V722">
        <f t="shared" si="146"/>
        <v>618</v>
      </c>
      <c r="W722" s="8">
        <f t="shared" si="148"/>
        <v>50.791943039119985</v>
      </c>
      <c r="X722" s="1">
        <f t="shared" si="155"/>
        <v>50.791943039119985</v>
      </c>
      <c r="Y722" s="18"/>
      <c r="Z722" s="7"/>
      <c r="AA722" s="1"/>
      <c r="AB722" s="1"/>
      <c r="AC722" s="1"/>
    </row>
    <row r="723" spans="1:29" x14ac:dyDescent="0.3">
      <c r="A723">
        <v>722</v>
      </c>
      <c r="E723">
        <v>-178.8740453389</v>
      </c>
      <c r="F723">
        <v>152.36558465713</v>
      </c>
      <c r="G723">
        <v>387.01774287930999</v>
      </c>
      <c r="H723">
        <v>50.469037593636997</v>
      </c>
      <c r="I723">
        <v>19.411925306899001</v>
      </c>
      <c r="J723">
        <v>325.51412141076997</v>
      </c>
      <c r="L723" s="1">
        <f t="shared" si="156"/>
        <v>3.5309039656339998</v>
      </c>
      <c r="M723">
        <f t="shared" si="157"/>
        <v>2539.4641536226391</v>
      </c>
      <c r="N723">
        <f t="shared" si="149"/>
        <v>7.0540670933962195</v>
      </c>
      <c r="O723">
        <f t="shared" si="150"/>
        <v>50.469037593636997</v>
      </c>
      <c r="P723">
        <f t="shared" si="151"/>
        <v>669</v>
      </c>
      <c r="Q723">
        <f t="shared" si="158"/>
        <v>102.339147519026</v>
      </c>
      <c r="R723">
        <f t="shared" si="152"/>
        <v>102.339147519026</v>
      </c>
      <c r="S723">
        <f t="shared" si="147"/>
        <v>105.65026838670833</v>
      </c>
      <c r="T723">
        <f t="shared" si="153"/>
        <v>105.65026838670833</v>
      </c>
      <c r="U723" s="3">
        <f t="shared" si="154"/>
        <v>325.51412141076997</v>
      </c>
      <c r="V723">
        <f t="shared" si="146"/>
        <v>619</v>
      </c>
      <c r="W723" s="8">
        <f t="shared" si="148"/>
        <v>50.676042252939965</v>
      </c>
      <c r="X723" s="1">
        <f t="shared" si="155"/>
        <v>50.676042252939965</v>
      </c>
      <c r="Y723" s="18"/>
      <c r="Z723" s="7"/>
      <c r="AA723" s="1"/>
      <c r="AB723" s="1"/>
      <c r="AC723" s="1"/>
    </row>
    <row r="724" spans="1:29" x14ac:dyDescent="0.3">
      <c r="A724">
        <v>723</v>
      </c>
      <c r="E724">
        <v>-178.0113609018</v>
      </c>
      <c r="F724">
        <v>151.55427208059001</v>
      </c>
      <c r="G724">
        <v>389.92796849179001</v>
      </c>
      <c r="H724">
        <v>50.34937567395</v>
      </c>
      <c r="I724">
        <v>22.916803241383999</v>
      </c>
      <c r="J724">
        <v>326.10728606852001</v>
      </c>
      <c r="L724" s="1">
        <f t="shared" si="156"/>
        <v>3.5048779344849983</v>
      </c>
      <c r="M724">
        <f t="shared" si="157"/>
        <v>2542.9690315571243</v>
      </c>
      <c r="N724">
        <f t="shared" si="149"/>
        <v>7.0638028654364566</v>
      </c>
      <c r="O724">
        <f t="shared" si="150"/>
        <v>50.34937567395</v>
      </c>
      <c r="P724">
        <f t="shared" si="151"/>
        <v>670</v>
      </c>
      <c r="Q724">
        <f t="shared" si="158"/>
        <v>102.370275503649</v>
      </c>
      <c r="R724">
        <f t="shared" si="152"/>
        <v>102.370275503649</v>
      </c>
      <c r="S724">
        <f t="shared" si="147"/>
        <v>105.69633448231635</v>
      </c>
      <c r="T724">
        <f t="shared" si="153"/>
        <v>105.69633448231635</v>
      </c>
      <c r="U724" s="3">
        <f t="shared" si="154"/>
        <v>326.10728606852001</v>
      </c>
      <c r="V724">
        <f t="shared" si="146"/>
        <v>620</v>
      </c>
      <c r="W724" s="8">
        <f t="shared" si="148"/>
        <v>50.799801936810013</v>
      </c>
      <c r="X724" s="1">
        <f t="shared" si="155"/>
        <v>50.799801936810013</v>
      </c>
      <c r="Y724" s="18"/>
      <c r="Z724" s="7"/>
      <c r="AA724" s="1"/>
      <c r="AB724" s="1"/>
      <c r="AC724" s="1"/>
    </row>
    <row r="725" spans="1:29" x14ac:dyDescent="0.3">
      <c r="A725">
        <v>724</v>
      </c>
      <c r="E725">
        <v>-177.1820223176</v>
      </c>
      <c r="F725">
        <v>150.47435978903999</v>
      </c>
      <c r="G725">
        <v>392.75983226393998</v>
      </c>
      <c r="H725">
        <v>50.139530142268001</v>
      </c>
      <c r="I725">
        <v>26.436005577723002</v>
      </c>
      <c r="J725">
        <v>326.66268161231</v>
      </c>
      <c r="L725" s="1">
        <f t="shared" si="156"/>
        <v>3.5192023363390028</v>
      </c>
      <c r="M725">
        <f t="shared" si="157"/>
        <v>2546.4882338934631</v>
      </c>
      <c r="N725">
        <f t="shared" si="149"/>
        <v>7.0735784274818423</v>
      </c>
      <c r="O725">
        <f t="shared" si="150"/>
        <v>50.139530142268001</v>
      </c>
      <c r="P725">
        <f t="shared" si="151"/>
        <v>671</v>
      </c>
      <c r="Q725">
        <f t="shared" si="158"/>
        <v>102.276318678531</v>
      </c>
      <c r="R725">
        <f t="shared" si="152"/>
        <v>102.276318678531</v>
      </c>
      <c r="S725">
        <f t="shared" si="147"/>
        <v>105.62046986816658</v>
      </c>
      <c r="T725">
        <f t="shared" si="153"/>
        <v>105.62046986816658</v>
      </c>
      <c r="U725" s="3">
        <f t="shared" si="154"/>
        <v>326.66268161231</v>
      </c>
      <c r="V725">
        <f t="shared" si="146"/>
        <v>621</v>
      </c>
      <c r="W725" s="8">
        <f t="shared" si="148"/>
        <v>50.850747545129991</v>
      </c>
      <c r="X725" s="1">
        <f t="shared" si="155"/>
        <v>50.850747545129991</v>
      </c>
      <c r="Y725" s="18"/>
      <c r="Z725" s="7"/>
      <c r="AA725" s="1"/>
      <c r="AB725" s="1"/>
      <c r="AC725" s="1"/>
    </row>
    <row r="726" spans="1:29" x14ac:dyDescent="0.3">
      <c r="A726">
        <v>725</v>
      </c>
      <c r="E726">
        <v>-176.4080433222</v>
      </c>
      <c r="F726">
        <v>149.24239604554</v>
      </c>
      <c r="G726">
        <v>395.54554325585002</v>
      </c>
      <c r="H726">
        <v>49.962226610888997</v>
      </c>
      <c r="I726">
        <v>29.983032960801999</v>
      </c>
      <c r="J726">
        <v>327.16050457033998</v>
      </c>
      <c r="L726" s="1">
        <f t="shared" si="156"/>
        <v>3.5470273830789978</v>
      </c>
      <c r="M726">
        <f t="shared" si="157"/>
        <v>2550.0352612765419</v>
      </c>
      <c r="N726">
        <f t="shared" si="149"/>
        <v>7.083431281323727</v>
      </c>
      <c r="O726">
        <f t="shared" si="150"/>
        <v>49.962226610888997</v>
      </c>
      <c r="P726">
        <f t="shared" si="151"/>
        <v>672</v>
      </c>
      <c r="Q726">
        <f t="shared" si="158"/>
        <v>102.25545254425001</v>
      </c>
      <c r="R726">
        <f t="shared" si="152"/>
        <v>102.25545254425001</v>
      </c>
      <c r="S726">
        <f t="shared" si="147"/>
        <v>105.60325540645124</v>
      </c>
      <c r="T726">
        <f t="shared" si="153"/>
        <v>105.60325540645124</v>
      </c>
      <c r="U726" s="3">
        <f t="shared" si="154"/>
        <v>327.16050457033998</v>
      </c>
      <c r="V726">
        <f t="shared" si="146"/>
        <v>622</v>
      </c>
      <c r="W726" s="8">
        <f t="shared" si="148"/>
        <v>50.805699574439984</v>
      </c>
      <c r="X726" s="1">
        <f t="shared" si="155"/>
        <v>50.805699574439984</v>
      </c>
      <c r="Y726" s="18"/>
      <c r="Z726" s="7"/>
      <c r="AA726" s="1"/>
      <c r="AB726" s="1"/>
      <c r="AC726" s="1"/>
    </row>
    <row r="727" spans="1:29" x14ac:dyDescent="0.3">
      <c r="A727">
        <v>726</v>
      </c>
      <c r="E727">
        <v>-175.64684651650001</v>
      </c>
      <c r="F727">
        <v>147.88163635467001</v>
      </c>
      <c r="G727">
        <v>398.27398222084003</v>
      </c>
      <c r="H727">
        <v>49.836479902538997</v>
      </c>
      <c r="I727">
        <v>33.545876721272997</v>
      </c>
      <c r="J727">
        <v>327.64499038834998</v>
      </c>
      <c r="L727" s="1">
        <f t="shared" si="156"/>
        <v>3.5628437604709973</v>
      </c>
      <c r="M727">
        <f t="shared" si="157"/>
        <v>2553.5981050370128</v>
      </c>
      <c r="N727">
        <f t="shared" si="149"/>
        <v>7.0933280695472583</v>
      </c>
      <c r="O727">
        <f t="shared" si="150"/>
        <v>49.836479902538997</v>
      </c>
      <c r="P727">
        <f t="shared" si="151"/>
        <v>673</v>
      </c>
      <c r="Q727">
        <f t="shared" si="158"/>
        <v>102.267533300905</v>
      </c>
      <c r="R727">
        <f t="shared" si="152"/>
        <v>102.267533300905</v>
      </c>
      <c r="S727">
        <f t="shared" si="147"/>
        <v>105.60612575542329</v>
      </c>
      <c r="T727">
        <f t="shared" si="153"/>
        <v>105.60612575542329</v>
      </c>
      <c r="U727" s="3">
        <f t="shared" si="154"/>
        <v>327.64499038834998</v>
      </c>
      <c r="V727">
        <f t="shared" si="146"/>
        <v>623</v>
      </c>
      <c r="W727" s="8">
        <f t="shared" si="148"/>
        <v>50.754469412389994</v>
      </c>
      <c r="X727" s="1">
        <f t="shared" si="155"/>
        <v>50.754469412389994</v>
      </c>
      <c r="Y727" s="18"/>
      <c r="Z727" s="7"/>
      <c r="AA727" s="1"/>
      <c r="AB727" s="1"/>
      <c r="AC727" s="1"/>
    </row>
    <row r="728" spans="1:29" x14ac:dyDescent="0.3">
      <c r="A728">
        <v>727</v>
      </c>
      <c r="E728">
        <v>-174.8851156275</v>
      </c>
      <c r="F728">
        <v>146.37000917858001</v>
      </c>
      <c r="G728">
        <v>400.92169564637999</v>
      </c>
      <c r="H728">
        <v>49.732922952873999</v>
      </c>
      <c r="I728">
        <v>37.117738383785998</v>
      </c>
      <c r="J728">
        <v>328.13039101481002</v>
      </c>
      <c r="L728" s="1">
        <f t="shared" si="156"/>
        <v>3.5718616625130011</v>
      </c>
      <c r="M728">
        <f t="shared" si="157"/>
        <v>2557.169966699526</v>
      </c>
      <c r="N728">
        <f t="shared" si="149"/>
        <v>7.1032499074986832</v>
      </c>
      <c r="O728">
        <f t="shared" si="150"/>
        <v>49.732922952873999</v>
      </c>
      <c r="P728">
        <f t="shared" si="151"/>
        <v>674</v>
      </c>
      <c r="Q728">
        <f t="shared" si="158"/>
        <v>102.301765358686</v>
      </c>
      <c r="R728">
        <f t="shared" si="152"/>
        <v>102.301765358686</v>
      </c>
      <c r="S728">
        <f t="shared" si="147"/>
        <v>105.63428577023231</v>
      </c>
      <c r="T728">
        <f t="shared" si="153"/>
        <v>105.63428577023231</v>
      </c>
      <c r="U728" s="3">
        <f t="shared" si="154"/>
        <v>328.13039101481002</v>
      </c>
      <c r="V728">
        <f t="shared" si="146"/>
        <v>624</v>
      </c>
      <c r="W728" s="8">
        <f t="shared" si="148"/>
        <v>50.768012982030029</v>
      </c>
      <c r="X728" s="1">
        <f t="shared" si="155"/>
        <v>50.768012982030029</v>
      </c>
      <c r="Y728" s="18"/>
      <c r="Z728" s="7"/>
      <c r="AA728" s="1"/>
      <c r="AB728" s="1"/>
      <c r="AC728" s="1"/>
    </row>
    <row r="729" spans="1:29" x14ac:dyDescent="0.3">
      <c r="A729">
        <v>728</v>
      </c>
      <c r="E729">
        <v>-174.14929008039999</v>
      </c>
      <c r="F729">
        <v>144.70834733141001</v>
      </c>
      <c r="G729">
        <v>403.48573178996998</v>
      </c>
      <c r="H729">
        <v>49.651377988157002</v>
      </c>
      <c r="I729">
        <v>40.701651293401</v>
      </c>
      <c r="J729">
        <v>328.59064395868</v>
      </c>
      <c r="L729" s="1">
        <f t="shared" si="156"/>
        <v>3.5839129096150018</v>
      </c>
      <c r="M729">
        <f t="shared" si="157"/>
        <v>2560.7538796091408</v>
      </c>
      <c r="N729">
        <f t="shared" si="149"/>
        <v>7.1132052211365018</v>
      </c>
      <c r="O729">
        <f t="shared" si="150"/>
        <v>49.651377988157002</v>
      </c>
      <c r="P729">
        <f t="shared" si="151"/>
        <v>676</v>
      </c>
      <c r="Q729">
        <f t="shared" si="158"/>
        <v>102.526588765398</v>
      </c>
      <c r="R729">
        <f t="shared" si="152"/>
        <v>102.526588765398</v>
      </c>
      <c r="S729">
        <f t="shared" si="147"/>
        <v>105.73275869645812</v>
      </c>
      <c r="T729">
        <f t="shared" si="153"/>
        <v>105.73275869645812</v>
      </c>
      <c r="U729" s="3">
        <f t="shared" si="154"/>
        <v>328.59064395868</v>
      </c>
      <c r="V729">
        <f t="shared" si="146"/>
        <v>625</v>
      </c>
      <c r="W729" s="8">
        <f t="shared" si="148"/>
        <v>50.731260629799976</v>
      </c>
      <c r="X729" s="1">
        <f t="shared" si="155"/>
        <v>50.731260629799976</v>
      </c>
      <c r="Y729" s="18"/>
      <c r="Z729" s="7"/>
      <c r="AA729" s="1"/>
      <c r="AB729" s="1"/>
      <c r="AC729" s="1"/>
    </row>
    <row r="730" spans="1:29" x14ac:dyDescent="0.3">
      <c r="A730">
        <v>729</v>
      </c>
      <c r="E730">
        <v>-173.38692960220001</v>
      </c>
      <c r="F730">
        <v>142.86185718322</v>
      </c>
      <c r="G730">
        <v>405.91126697235001</v>
      </c>
      <c r="H730">
        <v>49.533773991669001</v>
      </c>
      <c r="I730">
        <v>44.285565806089998</v>
      </c>
      <c r="J730">
        <v>329.08096863689002</v>
      </c>
      <c r="L730" s="1">
        <f t="shared" si="156"/>
        <v>3.5839145126889989</v>
      </c>
      <c r="M730">
        <f t="shared" si="157"/>
        <v>2564.3377941218296</v>
      </c>
      <c r="N730">
        <f t="shared" si="149"/>
        <v>7.1231605392273041</v>
      </c>
      <c r="O730">
        <f t="shared" si="150"/>
        <v>49.533773991669001</v>
      </c>
      <c r="P730">
        <f t="shared" si="151"/>
        <v>677</v>
      </c>
      <c r="Q730">
        <f t="shared" si="158"/>
        <v>102.482694558489</v>
      </c>
      <c r="R730">
        <f t="shared" si="152"/>
        <v>102.482694558489</v>
      </c>
      <c r="S730">
        <f t="shared" si="147"/>
        <v>105.70773666755005</v>
      </c>
      <c r="T730">
        <f t="shared" si="153"/>
        <v>105.70773666755005</v>
      </c>
      <c r="U730" s="3">
        <f t="shared" si="154"/>
        <v>329.08096863689002</v>
      </c>
      <c r="V730">
        <f t="shared" si="146"/>
        <v>626</v>
      </c>
      <c r="W730" s="8">
        <f t="shared" si="148"/>
        <v>50.695921579170033</v>
      </c>
      <c r="X730" s="1">
        <f t="shared" si="155"/>
        <v>50.695921579170033</v>
      </c>
      <c r="Y730" s="18"/>
      <c r="Z730" s="7"/>
      <c r="AA730" s="1"/>
      <c r="AB730" s="1"/>
      <c r="AC730" s="1"/>
    </row>
    <row r="731" spans="1:29" x14ac:dyDescent="0.3">
      <c r="A731">
        <v>730</v>
      </c>
      <c r="E731">
        <v>-172.63294559229999</v>
      </c>
      <c r="F731">
        <v>140.84798945859001</v>
      </c>
      <c r="G731">
        <v>408.20329400050002</v>
      </c>
      <c r="H731">
        <v>49.396315061358997</v>
      </c>
      <c r="I731">
        <v>47.879252841857998</v>
      </c>
      <c r="J731">
        <v>329.56689853888997</v>
      </c>
      <c r="L731" s="1">
        <f t="shared" si="156"/>
        <v>3.5936870357679993</v>
      </c>
      <c r="M731">
        <f t="shared" si="157"/>
        <v>2567.9314811575978</v>
      </c>
      <c r="N731">
        <f t="shared" si="149"/>
        <v>7.1331430032155492</v>
      </c>
      <c r="O731">
        <f t="shared" si="150"/>
        <v>49.396315061358997</v>
      </c>
      <c r="P731">
        <f t="shared" si="151"/>
        <v>678</v>
      </c>
      <c r="Q731">
        <f t="shared" si="158"/>
        <v>102.428191718837</v>
      </c>
      <c r="R731">
        <f t="shared" si="152"/>
        <v>102.428191718837</v>
      </c>
      <c r="S731">
        <f t="shared" si="147"/>
        <v>105.65076488701017</v>
      </c>
      <c r="T731">
        <f t="shared" si="153"/>
        <v>105.65076488701017</v>
      </c>
      <c r="U731" s="3">
        <f t="shared" si="154"/>
        <v>329.56689853888997</v>
      </c>
      <c r="V731">
        <f t="shared" si="146"/>
        <v>627</v>
      </c>
      <c r="W731" s="8">
        <f t="shared" si="148"/>
        <v>50.677180628929989</v>
      </c>
      <c r="X731" s="1">
        <f t="shared" si="155"/>
        <v>50.677180628929989</v>
      </c>
      <c r="Y731" s="18"/>
      <c r="Z731" s="7"/>
      <c r="AA731" s="1"/>
      <c r="AB731" s="1"/>
      <c r="AC731" s="1"/>
    </row>
    <row r="732" spans="1:29" x14ac:dyDescent="0.3">
      <c r="A732">
        <v>731</v>
      </c>
      <c r="E732">
        <v>-171.88947795230001</v>
      </c>
      <c r="F732">
        <v>138.72552844971</v>
      </c>
      <c r="G732">
        <v>410.39835582849997</v>
      </c>
      <c r="H732">
        <v>49.308100364131001</v>
      </c>
      <c r="I732">
        <v>51.484204636598001</v>
      </c>
      <c r="J732">
        <v>330.04574526330998</v>
      </c>
      <c r="L732" s="1">
        <f t="shared" si="156"/>
        <v>3.6049517947400034</v>
      </c>
      <c r="M732">
        <f t="shared" si="157"/>
        <v>2571.5364329523377</v>
      </c>
      <c r="N732">
        <f t="shared" si="149"/>
        <v>7.1431567582009379</v>
      </c>
      <c r="O732">
        <f t="shared" si="150"/>
        <v>49.308100364131001</v>
      </c>
      <c r="P732">
        <f t="shared" si="151"/>
        <v>679</v>
      </c>
      <c r="Q732">
        <f t="shared" si="158"/>
        <v>102.42289188977</v>
      </c>
      <c r="R732">
        <f t="shared" si="152"/>
        <v>102.42289188977</v>
      </c>
      <c r="S732">
        <f t="shared" si="147"/>
        <v>105.64064842427001</v>
      </c>
      <c r="T732">
        <f t="shared" si="153"/>
        <v>105.64064842427001</v>
      </c>
      <c r="U732" s="3">
        <f t="shared" si="154"/>
        <v>330.04574526330998</v>
      </c>
      <c r="V732">
        <f t="shared" si="146"/>
        <v>628</v>
      </c>
      <c r="W732" s="8">
        <f t="shared" si="148"/>
        <v>50.685608675049991</v>
      </c>
      <c r="X732" s="1">
        <f t="shared" si="155"/>
        <v>50.685608675049991</v>
      </c>
      <c r="Y732" s="18"/>
      <c r="Z732" s="7"/>
      <c r="AA732" s="1"/>
      <c r="AB732" s="1"/>
      <c r="AC732" s="1"/>
    </row>
    <row r="733" spans="1:29" x14ac:dyDescent="0.3">
      <c r="A733">
        <v>732</v>
      </c>
      <c r="E733">
        <v>-171.16577817800001</v>
      </c>
      <c r="F733">
        <v>136.44346788678999</v>
      </c>
      <c r="G733">
        <v>412.43415082645998</v>
      </c>
      <c r="H733">
        <v>49.189555892508999</v>
      </c>
      <c r="I733">
        <v>55.097939703085999</v>
      </c>
      <c r="J733">
        <v>330.51123060872999</v>
      </c>
      <c r="L733" s="1">
        <f t="shared" si="156"/>
        <v>3.6137350664879975</v>
      </c>
      <c r="M733">
        <f t="shared" si="157"/>
        <v>2575.1501680188258</v>
      </c>
      <c r="N733">
        <f t="shared" si="149"/>
        <v>7.1531949111634052</v>
      </c>
      <c r="O733">
        <f t="shared" si="150"/>
        <v>49.189555892508999</v>
      </c>
      <c r="P733">
        <f t="shared" si="151"/>
        <v>680</v>
      </c>
      <c r="Q733">
        <f t="shared" si="158"/>
        <v>102.36435727576401</v>
      </c>
      <c r="R733">
        <f t="shared" si="152"/>
        <v>102.36435727576401</v>
      </c>
      <c r="S733">
        <f t="shared" si="147"/>
        <v>105.5819930442419</v>
      </c>
      <c r="T733">
        <f t="shared" si="153"/>
        <v>105.5819930442419</v>
      </c>
      <c r="U733" s="3">
        <f t="shared" si="154"/>
        <v>330.51123060872999</v>
      </c>
      <c r="V733">
        <f t="shared" si="146"/>
        <v>629</v>
      </c>
      <c r="W733" s="8">
        <f t="shared" si="148"/>
        <v>50.675224362550011</v>
      </c>
      <c r="X733" s="1">
        <f t="shared" si="155"/>
        <v>50.675224362550011</v>
      </c>
      <c r="Y733" s="18"/>
      <c r="Z733" s="7"/>
      <c r="AA733" s="1"/>
      <c r="AB733" s="1"/>
      <c r="AC733" s="1"/>
    </row>
    <row r="734" spans="1:29" x14ac:dyDescent="0.3">
      <c r="A734">
        <v>733</v>
      </c>
      <c r="E734">
        <v>-170.4455119074</v>
      </c>
      <c r="F734">
        <v>134.02460300641999</v>
      </c>
      <c r="G734">
        <v>414.30654211117002</v>
      </c>
      <c r="H734">
        <v>49.054117380081998</v>
      </c>
      <c r="I734">
        <v>58.719396895263003</v>
      </c>
      <c r="J734">
        <v>330.98087457864</v>
      </c>
      <c r="L734" s="1">
        <f t="shared" si="156"/>
        <v>3.6214571921770045</v>
      </c>
      <c r="M734">
        <f t="shared" si="157"/>
        <v>2578.7716252110026</v>
      </c>
      <c r="N734">
        <f t="shared" si="149"/>
        <v>7.1632545144750077</v>
      </c>
      <c r="O734">
        <f t="shared" si="150"/>
        <v>49.054117380081998</v>
      </c>
      <c r="P734">
        <f t="shared" si="151"/>
        <v>681</v>
      </c>
      <c r="Q734">
        <f t="shared" si="158"/>
        <v>102.282116667163</v>
      </c>
      <c r="R734">
        <f t="shared" si="152"/>
        <v>102.282116667163</v>
      </c>
      <c r="S734">
        <f t="shared" si="147"/>
        <v>105.50177647841177</v>
      </c>
      <c r="T734">
        <f t="shared" si="153"/>
        <v>105.50177647841177</v>
      </c>
      <c r="U734" s="3">
        <f t="shared" si="154"/>
        <v>330.98087457864</v>
      </c>
      <c r="V734">
        <f t="shared" si="146"/>
        <v>630</v>
      </c>
      <c r="W734" s="8">
        <f t="shared" si="148"/>
        <v>50.673384753420009</v>
      </c>
      <c r="X734" s="1">
        <f t="shared" si="155"/>
        <v>50.673384753420009</v>
      </c>
      <c r="Y734" s="18"/>
      <c r="Z734" s="7"/>
      <c r="AA734" s="1"/>
      <c r="AB734" s="1"/>
      <c r="AC734" s="1"/>
    </row>
    <row r="735" spans="1:29" x14ac:dyDescent="0.3">
      <c r="A735">
        <v>734</v>
      </c>
      <c r="E735">
        <v>-169.7266596435</v>
      </c>
      <c r="F735">
        <v>131.54681521809999</v>
      </c>
      <c r="G735">
        <v>416.10129933477998</v>
      </c>
      <c r="H735">
        <v>49.017893489876997</v>
      </c>
      <c r="I735">
        <v>62.350303154103003</v>
      </c>
      <c r="J735">
        <v>331.45295583799998</v>
      </c>
      <c r="L735" s="1">
        <f t="shared" si="156"/>
        <v>3.6309062588399996</v>
      </c>
      <c r="M735">
        <f t="shared" si="157"/>
        <v>2582.4025314698424</v>
      </c>
      <c r="N735">
        <f t="shared" si="149"/>
        <v>7.1733403651940071</v>
      </c>
      <c r="O735">
        <f t="shared" si="150"/>
        <v>49.017893489876997</v>
      </c>
      <c r="P735">
        <f t="shared" si="151"/>
        <v>682</v>
      </c>
      <c r="Q735">
        <f t="shared" si="158"/>
        <v>102.30541192000399</v>
      </c>
      <c r="R735">
        <f t="shared" si="152"/>
        <v>102.30541192000399</v>
      </c>
      <c r="S735">
        <f t="shared" si="147"/>
        <v>105.5197248652216</v>
      </c>
      <c r="T735">
        <f t="shared" si="153"/>
        <v>105.5197248652216</v>
      </c>
      <c r="U735" s="3">
        <f t="shared" si="154"/>
        <v>331.45295583799998</v>
      </c>
      <c r="V735">
        <f t="shared" si="146"/>
        <v>631</v>
      </c>
      <c r="W735" s="8">
        <f t="shared" si="148"/>
        <v>50.662145438969958</v>
      </c>
      <c r="X735" s="1">
        <f t="shared" si="155"/>
        <v>50.662145438969958</v>
      </c>
      <c r="Y735" s="18"/>
      <c r="Z735" s="7"/>
      <c r="AA735" s="1"/>
      <c r="AB735" s="1"/>
      <c r="AC735" s="1"/>
    </row>
    <row r="736" spans="1:29" x14ac:dyDescent="0.3">
      <c r="A736">
        <v>735</v>
      </c>
      <c r="E736">
        <v>-169.01982271220001</v>
      </c>
      <c r="F736">
        <v>128.95828218150001</v>
      </c>
      <c r="G736">
        <v>417.73648427088</v>
      </c>
      <c r="H736">
        <v>48.984041761733003</v>
      </c>
      <c r="I736">
        <v>65.983846166201999</v>
      </c>
      <c r="J736">
        <v>331.92139302736001</v>
      </c>
      <c r="L736" s="1">
        <f t="shared" si="156"/>
        <v>3.6335430120989969</v>
      </c>
      <c r="M736">
        <f t="shared" si="157"/>
        <v>2586.0360744819413</v>
      </c>
      <c r="N736">
        <f t="shared" si="149"/>
        <v>7.1834335402276146</v>
      </c>
      <c r="O736">
        <f t="shared" si="150"/>
        <v>48.984041761733003</v>
      </c>
      <c r="P736">
        <f t="shared" si="151"/>
        <v>683</v>
      </c>
      <c r="Q736">
        <f t="shared" si="158"/>
        <v>102.342574275537</v>
      </c>
      <c r="R736">
        <f t="shared" si="152"/>
        <v>102.342574275537</v>
      </c>
      <c r="S736">
        <f t="shared" si="147"/>
        <v>105.55207834141474</v>
      </c>
      <c r="T736">
        <f t="shared" si="153"/>
        <v>105.55207834141474</v>
      </c>
      <c r="U736" s="3">
        <f t="shared" si="154"/>
        <v>331.92139302736001</v>
      </c>
      <c r="V736">
        <f t="shared" si="146"/>
        <v>632</v>
      </c>
      <c r="W736" s="8">
        <f t="shared" si="148"/>
        <v>50.645488880550033</v>
      </c>
      <c r="X736" s="1">
        <f t="shared" si="155"/>
        <v>50.645488880550033</v>
      </c>
      <c r="Y736" s="18"/>
      <c r="Z736" s="7"/>
      <c r="AA736" s="1"/>
      <c r="AB736" s="1"/>
      <c r="AC736" s="1"/>
    </row>
    <row r="737" spans="1:29" x14ac:dyDescent="0.3">
      <c r="A737">
        <v>736</v>
      </c>
      <c r="E737">
        <v>-168.3287968162</v>
      </c>
      <c r="F737">
        <v>126.26711074473999</v>
      </c>
      <c r="G737">
        <v>419.20532838510002</v>
      </c>
      <c r="H737">
        <v>48.951374024156003</v>
      </c>
      <c r="I737">
        <v>69.621675248765996</v>
      </c>
      <c r="J737">
        <v>332.38327552001999</v>
      </c>
      <c r="L737" s="1">
        <f t="shared" si="156"/>
        <v>3.6378290825639965</v>
      </c>
      <c r="M737">
        <f t="shared" si="157"/>
        <v>2589.6739035645055</v>
      </c>
      <c r="N737">
        <f t="shared" si="149"/>
        <v>7.1935386210125154</v>
      </c>
      <c r="O737">
        <f t="shared" si="150"/>
        <v>48.951374024156003</v>
      </c>
      <c r="P737">
        <f t="shared" si="151"/>
        <v>684</v>
      </c>
      <c r="Q737">
        <f t="shared" si="158"/>
        <v>102.391700080871</v>
      </c>
      <c r="R737">
        <f t="shared" si="152"/>
        <v>102.391700080871</v>
      </c>
      <c r="S737">
        <f t="shared" si="147"/>
        <v>105.58758281249013</v>
      </c>
      <c r="T737">
        <f t="shared" si="153"/>
        <v>105.58758281249013</v>
      </c>
      <c r="U737" s="3">
        <f t="shared" si="154"/>
        <v>332.38327552001999</v>
      </c>
      <c r="V737">
        <f t="shared" si="146"/>
        <v>633</v>
      </c>
      <c r="W737" s="8">
        <f t="shared" si="148"/>
        <v>50.620898834130003</v>
      </c>
      <c r="X737" s="1">
        <f t="shared" si="155"/>
        <v>50.620898834130003</v>
      </c>
      <c r="Y737" s="18"/>
      <c r="Z737" s="7"/>
      <c r="AA737" s="1"/>
      <c r="AB737" s="1"/>
      <c r="AC737" s="1"/>
    </row>
    <row r="738" spans="1:29" x14ac:dyDescent="0.3">
      <c r="A738">
        <v>737</v>
      </c>
      <c r="E738">
        <v>-167.63235373079999</v>
      </c>
      <c r="F738">
        <v>123.48466385415</v>
      </c>
      <c r="G738">
        <v>420.48914565685999</v>
      </c>
      <c r="H738">
        <v>48.910264615216001</v>
      </c>
      <c r="I738">
        <v>73.258784107983999</v>
      </c>
      <c r="J738">
        <v>332.86170239263998</v>
      </c>
      <c r="L738" s="1">
        <f t="shared" si="156"/>
        <v>3.637108859218003</v>
      </c>
      <c r="M738">
        <f t="shared" si="157"/>
        <v>2593.3110124237237</v>
      </c>
      <c r="N738">
        <f t="shared" si="149"/>
        <v>7.20364170117701</v>
      </c>
      <c r="O738">
        <f t="shared" si="150"/>
        <v>48.910264615216001</v>
      </c>
      <c r="P738">
        <f t="shared" si="151"/>
        <v>685</v>
      </c>
      <c r="Q738">
        <f t="shared" si="158"/>
        <v>102.403286489124</v>
      </c>
      <c r="R738">
        <f t="shared" si="152"/>
        <v>102.403286489124</v>
      </c>
      <c r="S738">
        <f t="shared" si="147"/>
        <v>105.58408118765269</v>
      </c>
      <c r="T738">
        <f t="shared" si="153"/>
        <v>105.58408118765269</v>
      </c>
      <c r="U738" s="3">
        <f t="shared" si="154"/>
        <v>332.86170239263998</v>
      </c>
      <c r="V738">
        <f t="shared" si="146"/>
        <v>634</v>
      </c>
      <c r="W738" s="8">
        <f t="shared" si="148"/>
        <v>50.633021251989987</v>
      </c>
      <c r="X738" s="1">
        <f t="shared" si="155"/>
        <v>50.633021251989987</v>
      </c>
      <c r="Y738" s="18"/>
      <c r="Z738" s="7"/>
      <c r="AA738" s="1"/>
      <c r="AB738" s="1"/>
      <c r="AC738" s="1"/>
    </row>
    <row r="739" spans="1:29" x14ac:dyDescent="0.3">
      <c r="A739">
        <v>738</v>
      </c>
      <c r="E739">
        <v>-166.93989635849999</v>
      </c>
      <c r="F739">
        <v>120.62189092449999</v>
      </c>
      <c r="G739">
        <v>421.58508122264999</v>
      </c>
      <c r="H739">
        <v>48.862089317725001</v>
      </c>
      <c r="I739">
        <v>76.897819460855999</v>
      </c>
      <c r="J739">
        <v>333.34797942492003</v>
      </c>
      <c r="L739" s="1">
        <f t="shared" si="156"/>
        <v>3.6390353528719999</v>
      </c>
      <c r="M739">
        <f t="shared" si="157"/>
        <v>2596.9500477765955</v>
      </c>
      <c r="N739">
        <f t="shared" si="149"/>
        <v>7.2137501327127653</v>
      </c>
      <c r="O739">
        <f t="shared" si="150"/>
        <v>48.862089317725001</v>
      </c>
      <c r="P739">
        <f t="shared" si="151"/>
        <v>686</v>
      </c>
      <c r="Q739">
        <f t="shared" si="158"/>
        <v>102.402952889595</v>
      </c>
      <c r="R739">
        <f t="shared" si="152"/>
        <v>102.402952889595</v>
      </c>
      <c r="S739">
        <f t="shared" si="147"/>
        <v>105.57261937934547</v>
      </c>
      <c r="T739">
        <f t="shared" si="153"/>
        <v>105.57261937934547</v>
      </c>
      <c r="U739" s="3">
        <f t="shared" si="154"/>
        <v>333.34797942492003</v>
      </c>
      <c r="V739">
        <f t="shared" si="146"/>
        <v>635</v>
      </c>
      <c r="W739" s="8">
        <f t="shared" si="148"/>
        <v>50.629956542560024</v>
      </c>
      <c r="X739" s="1">
        <f t="shared" si="155"/>
        <v>50.629956542560024</v>
      </c>
      <c r="Y739" s="18"/>
      <c r="Z739" s="7"/>
      <c r="AA739" s="1"/>
      <c r="AB739" s="1"/>
      <c r="AC739" s="1"/>
    </row>
    <row r="740" spans="1:29" x14ac:dyDescent="0.3">
      <c r="A740">
        <v>739</v>
      </c>
      <c r="E740">
        <v>-166.27295044830001</v>
      </c>
      <c r="F740">
        <v>117.68702571217</v>
      </c>
      <c r="G740">
        <v>422.48964320274001</v>
      </c>
      <c r="H740">
        <v>48.805597199128997</v>
      </c>
      <c r="I740">
        <v>80.543028703290005</v>
      </c>
      <c r="J740">
        <v>333.82127994614001</v>
      </c>
      <c r="L740" s="1">
        <f t="shared" si="156"/>
        <v>3.6452092424340066</v>
      </c>
      <c r="M740">
        <f t="shared" si="157"/>
        <v>2600.5952570190293</v>
      </c>
      <c r="N740">
        <f t="shared" si="149"/>
        <v>7.223875713941748</v>
      </c>
      <c r="O740">
        <f t="shared" si="150"/>
        <v>48.805597199128997</v>
      </c>
      <c r="P740">
        <f t="shared" si="151"/>
        <v>687</v>
      </c>
      <c r="Q740">
        <f t="shared" si="158"/>
        <v>102.393054500842</v>
      </c>
      <c r="R740">
        <f t="shared" si="152"/>
        <v>102.393054500842</v>
      </c>
      <c r="S740">
        <f t="shared" si="147"/>
        <v>105.55476980078586</v>
      </c>
      <c r="T740">
        <f t="shared" si="153"/>
        <v>105.55476980078586</v>
      </c>
      <c r="U740" s="3">
        <f t="shared" si="154"/>
        <v>333.82127994614001</v>
      </c>
      <c r="V740">
        <f t="shared" si="146"/>
        <v>636</v>
      </c>
      <c r="W740" s="8">
        <f t="shared" si="148"/>
        <v>50.621255413500023</v>
      </c>
      <c r="X740" s="1">
        <f t="shared" si="155"/>
        <v>50.621255413500023</v>
      </c>
      <c r="Y740" s="18"/>
      <c r="Z740" s="7"/>
      <c r="AA740" s="1"/>
      <c r="AB740" s="1"/>
      <c r="AC740" s="1"/>
    </row>
    <row r="741" spans="1:29" x14ac:dyDescent="0.3">
      <c r="A741">
        <v>740</v>
      </c>
      <c r="E741">
        <v>-165.60869923140001</v>
      </c>
      <c r="F741">
        <v>114.71031781396</v>
      </c>
      <c r="G741">
        <v>423.24740906459999</v>
      </c>
      <c r="H741">
        <v>48.794308830596997</v>
      </c>
      <c r="I741">
        <v>84.189966865985994</v>
      </c>
      <c r="J741">
        <v>334.30197587395003</v>
      </c>
      <c r="L741" s="1">
        <f t="shared" si="156"/>
        <v>3.6469381626959887</v>
      </c>
      <c r="M741">
        <f t="shared" si="157"/>
        <v>2604.2421951817255</v>
      </c>
      <c r="N741">
        <f t="shared" si="149"/>
        <v>7.2340060977270149</v>
      </c>
      <c r="O741">
        <f t="shared" si="150"/>
        <v>48.794308830596997</v>
      </c>
      <c r="P741">
        <f t="shared" si="151"/>
        <v>689</v>
      </c>
      <c r="Q741">
        <f t="shared" si="158"/>
        <v>102.441924553294</v>
      </c>
      <c r="R741">
        <f t="shared" si="152"/>
        <v>102.441924553294</v>
      </c>
      <c r="S741">
        <f t="shared" si="147"/>
        <v>105.52009685683761</v>
      </c>
      <c r="T741">
        <f t="shared" si="153"/>
        <v>105.52009685683761</v>
      </c>
      <c r="U741" s="3">
        <f t="shared" si="154"/>
        <v>334.30197587395003</v>
      </c>
      <c r="V741">
        <f t="shared" si="146"/>
        <v>637</v>
      </c>
      <c r="W741" s="8">
        <f t="shared" si="148"/>
        <v>50.633088929750045</v>
      </c>
      <c r="X741" s="1">
        <f t="shared" si="155"/>
        <v>50.633088929750045</v>
      </c>
      <c r="Y741" s="18"/>
      <c r="Z741" s="7"/>
      <c r="AA741" s="1"/>
      <c r="AB741" s="1"/>
      <c r="AC741" s="1"/>
    </row>
    <row r="742" spans="1:29" x14ac:dyDescent="0.3">
      <c r="A742">
        <v>741</v>
      </c>
      <c r="E742">
        <v>-164.95710004259999</v>
      </c>
      <c r="F742">
        <v>111.68924957074999</v>
      </c>
      <c r="G742">
        <v>423.81703939035998</v>
      </c>
      <c r="H742">
        <v>48.786972712480001</v>
      </c>
      <c r="I742">
        <v>87.837429935016004</v>
      </c>
      <c r="J742">
        <v>334.78336240836001</v>
      </c>
      <c r="L742" s="1">
        <f t="shared" si="156"/>
        <v>3.6474630690300103</v>
      </c>
      <c r="M742">
        <f t="shared" si="157"/>
        <v>2607.8896582507555</v>
      </c>
      <c r="N742">
        <f t="shared" si="149"/>
        <v>7.244137939585432</v>
      </c>
      <c r="O742">
        <f t="shared" si="150"/>
        <v>48.786972712480001</v>
      </c>
      <c r="P742">
        <f t="shared" si="151"/>
        <v>690</v>
      </c>
      <c r="Q742">
        <f t="shared" si="158"/>
        <v>102.459236397306</v>
      </c>
      <c r="R742">
        <f t="shared" si="152"/>
        <v>102.459236397306</v>
      </c>
      <c r="S742">
        <f t="shared" si="147"/>
        <v>105.5377635318264</v>
      </c>
      <c r="T742">
        <f t="shared" si="153"/>
        <v>105.5377635318264</v>
      </c>
      <c r="U742" s="3">
        <f t="shared" si="154"/>
        <v>334.78336240836001</v>
      </c>
      <c r="V742">
        <f t="shared" si="146"/>
        <v>638</v>
      </c>
      <c r="W742" s="8">
        <f t="shared" si="148"/>
        <v>50.63096506674998</v>
      </c>
      <c r="X742" s="1">
        <f t="shared" si="155"/>
        <v>50.63096506674998</v>
      </c>
      <c r="Y742" s="18"/>
      <c r="Z742" s="7"/>
      <c r="AA742" s="1"/>
      <c r="AB742" s="1"/>
      <c r="AC742" s="1"/>
    </row>
    <row r="743" spans="1:29" x14ac:dyDescent="0.3">
      <c r="A743">
        <v>742</v>
      </c>
      <c r="E743">
        <v>-164.2916422486</v>
      </c>
      <c r="F743">
        <v>108.64139268060001</v>
      </c>
      <c r="G743">
        <v>424.19658068105002</v>
      </c>
      <c r="H743">
        <v>48.786666661920002</v>
      </c>
      <c r="I743">
        <v>91.480021176779005</v>
      </c>
      <c r="J743">
        <v>335.29270892430998</v>
      </c>
      <c r="L743" s="1">
        <f t="shared" si="156"/>
        <v>3.6425912417630002</v>
      </c>
      <c r="M743">
        <f t="shared" si="157"/>
        <v>2611.5322494925185</v>
      </c>
      <c r="N743">
        <f t="shared" si="149"/>
        <v>7.2542562485903295</v>
      </c>
      <c r="O743">
        <f t="shared" si="150"/>
        <v>48.786666661920002</v>
      </c>
      <c r="P743">
        <f t="shared" si="151"/>
        <v>691</v>
      </c>
      <c r="Q743">
        <f t="shared" si="158"/>
        <v>102.45671521353</v>
      </c>
      <c r="R743">
        <f t="shared" si="152"/>
        <v>102.45671521353</v>
      </c>
      <c r="S743">
        <f t="shared" si="147"/>
        <v>105.53561591897348</v>
      </c>
      <c r="T743">
        <f t="shared" si="153"/>
        <v>105.53561591897348</v>
      </c>
      <c r="U743" s="3">
        <f t="shared" si="154"/>
        <v>335.29270892430998</v>
      </c>
      <c r="V743">
        <f t="shared" si="146"/>
        <v>639</v>
      </c>
      <c r="W743" s="8">
        <f t="shared" si="148"/>
        <v>50.651341488009962</v>
      </c>
      <c r="X743" s="1">
        <f t="shared" si="155"/>
        <v>50.651341488009962</v>
      </c>
      <c r="Y743" s="18"/>
      <c r="Z743" s="7"/>
      <c r="AA743" s="1"/>
      <c r="AB743" s="1"/>
      <c r="AC743" s="1"/>
    </row>
    <row r="744" spans="1:29" x14ac:dyDescent="0.3">
      <c r="A744">
        <v>743</v>
      </c>
      <c r="E744">
        <v>-163.6615334832</v>
      </c>
      <c r="F744">
        <v>105.56871929301001</v>
      </c>
      <c r="G744">
        <v>424.39026731588001</v>
      </c>
      <c r="H744">
        <v>48.794114456880003</v>
      </c>
      <c r="I744">
        <v>95.126275134645994</v>
      </c>
      <c r="J744">
        <v>335.78074651336999</v>
      </c>
      <c r="L744" s="1">
        <f t="shared" si="156"/>
        <v>3.646253957866989</v>
      </c>
      <c r="M744">
        <f t="shared" si="157"/>
        <v>2615.1785034503855</v>
      </c>
      <c r="N744">
        <f t="shared" si="149"/>
        <v>7.2643847318066266</v>
      </c>
      <c r="O744">
        <f t="shared" si="150"/>
        <v>48.794114456880003</v>
      </c>
      <c r="P744">
        <f t="shared" si="151"/>
        <v>692</v>
      </c>
      <c r="Q744">
        <f t="shared" si="158"/>
        <v>102.45464297684501</v>
      </c>
      <c r="R744">
        <f t="shared" si="152"/>
        <v>102.45464297684501</v>
      </c>
      <c r="S744">
        <f t="shared" si="147"/>
        <v>105.52774315741637</v>
      </c>
      <c r="T744">
        <f t="shared" si="153"/>
        <v>105.52774315741637</v>
      </c>
      <c r="U744" s="3">
        <f t="shared" si="154"/>
        <v>335.78074651336999</v>
      </c>
      <c r="V744">
        <f t="shared" si="146"/>
        <v>640</v>
      </c>
      <c r="W744" s="8">
        <f t="shared" si="148"/>
        <v>50.640871268630008</v>
      </c>
      <c r="X744" s="1">
        <f t="shared" si="155"/>
        <v>50.640871268630008</v>
      </c>
      <c r="Y744" s="18"/>
      <c r="Z744" s="7"/>
      <c r="AA744" s="1"/>
      <c r="AB744" s="1"/>
      <c r="AC744" s="1"/>
    </row>
    <row r="745" spans="1:29" x14ac:dyDescent="0.3">
      <c r="A745">
        <v>744</v>
      </c>
      <c r="E745">
        <v>-163.07074763200001</v>
      </c>
      <c r="F745">
        <v>102.48208214744</v>
      </c>
      <c r="G745">
        <v>424.39712345363</v>
      </c>
      <c r="H745">
        <v>48.809551387261997</v>
      </c>
      <c r="I745">
        <v>98.776191454583</v>
      </c>
      <c r="J745">
        <v>336.24403353046</v>
      </c>
      <c r="L745" s="1">
        <f t="shared" si="156"/>
        <v>3.6499163199370059</v>
      </c>
      <c r="M745">
        <f t="shared" si="157"/>
        <v>2618.8284197703224</v>
      </c>
      <c r="N745">
        <f t="shared" si="149"/>
        <v>7.2745233882508957</v>
      </c>
      <c r="O745">
        <f t="shared" si="150"/>
        <v>48.809551387261997</v>
      </c>
      <c r="P745">
        <f t="shared" si="151"/>
        <v>693</v>
      </c>
      <c r="Q745">
        <f t="shared" si="158"/>
        <v>102.45925647216001</v>
      </c>
      <c r="R745">
        <f t="shared" si="152"/>
        <v>102.45925647216001</v>
      </c>
      <c r="S745">
        <f t="shared" si="147"/>
        <v>105.5201877118625</v>
      </c>
      <c r="T745">
        <f t="shared" si="153"/>
        <v>105.5201877118625</v>
      </c>
      <c r="U745" s="3">
        <f t="shared" si="154"/>
        <v>336.24403353046</v>
      </c>
      <c r="V745">
        <f t="shared" si="146"/>
        <v>641</v>
      </c>
      <c r="W745" s="8">
        <f t="shared" si="148"/>
        <v>50.605685499339984</v>
      </c>
      <c r="X745" s="1">
        <f t="shared" si="155"/>
        <v>50.605685499339984</v>
      </c>
      <c r="Y745" s="18"/>
      <c r="Z745" s="7"/>
      <c r="AA745" s="1"/>
      <c r="AB745" s="1"/>
      <c r="AC745" s="1"/>
    </row>
    <row r="746" spans="1:29" x14ac:dyDescent="0.3">
      <c r="A746">
        <v>745</v>
      </c>
      <c r="E746">
        <v>-162.4905199657</v>
      </c>
      <c r="F746">
        <v>99.398304569472998</v>
      </c>
      <c r="G746">
        <v>424.22662757033999</v>
      </c>
      <c r="H746">
        <v>48.845228159915997</v>
      </c>
      <c r="I746">
        <v>102.42314434804</v>
      </c>
      <c r="J746">
        <v>336.71113770967997</v>
      </c>
      <c r="L746" s="1">
        <f t="shared" si="156"/>
        <v>3.6469528934569979</v>
      </c>
      <c r="M746">
        <f t="shared" si="157"/>
        <v>2622.4753726637796</v>
      </c>
      <c r="N746">
        <f t="shared" si="149"/>
        <v>7.284653812954943</v>
      </c>
      <c r="O746">
        <f t="shared" si="150"/>
        <v>48.845228159915997</v>
      </c>
      <c r="P746">
        <f t="shared" si="151"/>
        <v>694</v>
      </c>
      <c r="Q746">
        <f t="shared" si="158"/>
        <v>102.462836976774</v>
      </c>
      <c r="R746">
        <f t="shared" si="152"/>
        <v>102.462836976774</v>
      </c>
      <c r="S746">
        <f t="shared" si="147"/>
        <v>105.51446908688092</v>
      </c>
      <c r="T746">
        <f t="shared" si="153"/>
        <v>105.51446908688092</v>
      </c>
      <c r="U746" s="3">
        <f t="shared" si="154"/>
        <v>336.71113770967997</v>
      </c>
      <c r="V746">
        <f t="shared" si="146"/>
        <v>642</v>
      </c>
      <c r="W746" s="8">
        <f t="shared" si="148"/>
        <v>50.609634311859963</v>
      </c>
      <c r="X746" s="1">
        <f t="shared" si="155"/>
        <v>50.609634311859963</v>
      </c>
      <c r="Y746" s="18"/>
      <c r="Z746" s="7"/>
      <c r="AA746" s="1"/>
      <c r="AB746" s="1"/>
      <c r="AC746" s="1"/>
    </row>
    <row r="747" spans="1:29" x14ac:dyDescent="0.3">
      <c r="A747">
        <v>746</v>
      </c>
      <c r="E747">
        <v>-161.90060795260001</v>
      </c>
      <c r="F747">
        <v>96.332222847211995</v>
      </c>
      <c r="G747">
        <v>423.86997587908002</v>
      </c>
      <c r="H747">
        <v>48.892811490924998</v>
      </c>
      <c r="I747">
        <v>106.06234103993999</v>
      </c>
      <c r="J747">
        <v>337.20352437904</v>
      </c>
      <c r="L747" s="1">
        <f t="shared" si="156"/>
        <v>3.6391966918999969</v>
      </c>
      <c r="M747">
        <f t="shared" si="157"/>
        <v>2626.1145693556796</v>
      </c>
      <c r="N747">
        <f t="shared" si="149"/>
        <v>7.2947626926546656</v>
      </c>
      <c r="O747">
        <f t="shared" si="150"/>
        <v>48.892811490924998</v>
      </c>
      <c r="P747">
        <f t="shared" si="151"/>
        <v>695</v>
      </c>
      <c r="Q747">
        <f t="shared" si="158"/>
        <v>102.486772235123</v>
      </c>
      <c r="R747">
        <f t="shared" si="152"/>
        <v>102.486772235123</v>
      </c>
      <c r="S747">
        <f t="shared" si="147"/>
        <v>105.53825162874848</v>
      </c>
      <c r="T747">
        <f t="shared" si="153"/>
        <v>105.53825162874848</v>
      </c>
      <c r="U747" s="3">
        <f t="shared" si="154"/>
        <v>337.20352437904</v>
      </c>
      <c r="V747">
        <f t="shared" si="146"/>
        <v>643</v>
      </c>
      <c r="W747" s="8">
        <f t="shared" si="148"/>
        <v>50.626213351930005</v>
      </c>
      <c r="X747" s="1">
        <f t="shared" si="155"/>
        <v>50.626213351930005</v>
      </c>
      <c r="Y747" s="18"/>
      <c r="Z747" s="7"/>
      <c r="AA747" s="1"/>
      <c r="AB747" s="1"/>
      <c r="AC747" s="1"/>
    </row>
    <row r="748" spans="1:29" x14ac:dyDescent="0.3">
      <c r="A748">
        <v>747</v>
      </c>
      <c r="E748">
        <v>-161.31802753689999</v>
      </c>
      <c r="F748">
        <v>93.290848784969</v>
      </c>
      <c r="G748">
        <v>423.33498421179002</v>
      </c>
      <c r="H748">
        <v>48.957273124624997</v>
      </c>
      <c r="I748">
        <v>109.69542347549</v>
      </c>
      <c r="J748">
        <v>337.70390268232001</v>
      </c>
      <c r="L748" s="1">
        <f t="shared" si="156"/>
        <v>3.6330824355500084</v>
      </c>
      <c r="M748">
        <f t="shared" si="157"/>
        <v>2629.7476517912296</v>
      </c>
      <c r="N748">
        <f t="shared" si="149"/>
        <v>7.3048545883089711</v>
      </c>
      <c r="O748">
        <f t="shared" si="150"/>
        <v>48.957273124624997</v>
      </c>
      <c r="P748">
        <f t="shared" si="151"/>
        <v>696</v>
      </c>
      <c r="Q748">
        <f t="shared" si="158"/>
        <v>102.519048200933</v>
      </c>
      <c r="R748">
        <f t="shared" si="152"/>
        <v>102.519048200933</v>
      </c>
      <c r="S748">
        <f t="shared" si="147"/>
        <v>105.56546877797545</v>
      </c>
      <c r="T748">
        <f t="shared" si="153"/>
        <v>105.56546877797545</v>
      </c>
      <c r="U748" s="3">
        <f t="shared" si="154"/>
        <v>337.70390268232001</v>
      </c>
      <c r="V748">
        <f t="shared" si="146"/>
        <v>644</v>
      </c>
      <c r="W748" s="8">
        <f t="shared" si="148"/>
        <v>50.644998273660008</v>
      </c>
      <c r="X748" s="1">
        <f t="shared" si="155"/>
        <v>50.644998273660008</v>
      </c>
      <c r="Y748" s="18"/>
      <c r="Z748" s="7"/>
      <c r="AA748" s="1"/>
      <c r="AB748" s="1"/>
      <c r="AC748" s="1"/>
    </row>
    <row r="749" spans="1:29" x14ac:dyDescent="0.3">
      <c r="A749">
        <v>748</v>
      </c>
      <c r="E749">
        <v>-160.7640573994</v>
      </c>
      <c r="F749">
        <v>90.284981990516002</v>
      </c>
      <c r="G749">
        <v>422.60433198513999</v>
      </c>
      <c r="H749">
        <v>49.017883621370999</v>
      </c>
      <c r="I749">
        <v>113.32615493864</v>
      </c>
      <c r="J749">
        <v>338.19290413878002</v>
      </c>
      <c r="L749" s="1">
        <f t="shared" si="156"/>
        <v>3.6307314631499992</v>
      </c>
      <c r="M749">
        <f t="shared" si="157"/>
        <v>2633.3783832543795</v>
      </c>
      <c r="N749">
        <f t="shared" si="149"/>
        <v>7.3149399534843873</v>
      </c>
      <c r="O749">
        <f t="shared" si="150"/>
        <v>49.017883621370999</v>
      </c>
      <c r="P749">
        <f t="shared" si="151"/>
        <v>697</v>
      </c>
      <c r="Q749">
        <f t="shared" si="158"/>
        <v>102.52660790595701</v>
      </c>
      <c r="R749">
        <f t="shared" si="152"/>
        <v>102.52660790595701</v>
      </c>
      <c r="S749">
        <f t="shared" si="147"/>
        <v>105.56599828989786</v>
      </c>
      <c r="T749">
        <f t="shared" si="153"/>
        <v>105.56599828989786</v>
      </c>
      <c r="U749" s="3">
        <f t="shared" si="154"/>
        <v>338.19290413878002</v>
      </c>
      <c r="V749">
        <f t="shared" si="146"/>
        <v>645</v>
      </c>
      <c r="W749" s="8">
        <f t="shared" si="148"/>
        <v>50.641611047959998</v>
      </c>
      <c r="X749" s="1">
        <f t="shared" si="155"/>
        <v>50.641611047959998</v>
      </c>
      <c r="Y749" s="18"/>
      <c r="Z749" s="7"/>
      <c r="AA749" s="1"/>
      <c r="AB749" s="1"/>
      <c r="AC749" s="1"/>
    </row>
    <row r="750" spans="1:29" x14ac:dyDescent="0.3">
      <c r="A750">
        <v>749</v>
      </c>
      <c r="E750">
        <v>-160.24253255279999</v>
      </c>
      <c r="F750">
        <v>87.324182705878002</v>
      </c>
      <c r="G750">
        <v>421.68869575359003</v>
      </c>
      <c r="H750">
        <v>49.082778129809</v>
      </c>
      <c r="I750">
        <v>116.95511528618999</v>
      </c>
      <c r="J750">
        <v>338.66623914693997</v>
      </c>
      <c r="L750" s="1">
        <f t="shared" si="156"/>
        <v>3.6289603475499916</v>
      </c>
      <c r="M750">
        <f t="shared" si="157"/>
        <v>2637.0073436019293</v>
      </c>
      <c r="N750">
        <f t="shared" si="149"/>
        <v>7.3250203988942477</v>
      </c>
      <c r="O750">
        <f t="shared" si="150"/>
        <v>49.082778129809</v>
      </c>
      <c r="P750">
        <f t="shared" si="151"/>
        <v>698</v>
      </c>
      <c r="Q750">
        <f t="shared" si="158"/>
        <v>102.540113353487</v>
      </c>
      <c r="R750">
        <f t="shared" si="152"/>
        <v>102.540113353487</v>
      </c>
      <c r="S750">
        <f t="shared" si="147"/>
        <v>105.56624870823447</v>
      </c>
      <c r="T750">
        <f t="shared" si="153"/>
        <v>105.56624870823447</v>
      </c>
      <c r="U750" s="3">
        <f t="shared" si="154"/>
        <v>338.66623914693997</v>
      </c>
      <c r="V750">
        <f t="shared" si="146"/>
        <v>646</v>
      </c>
      <c r="W750" s="8">
        <f t="shared" si="148"/>
        <v>50.613979166949946</v>
      </c>
      <c r="X750" s="1">
        <f t="shared" si="155"/>
        <v>50.613979166949946</v>
      </c>
      <c r="Y750" s="18"/>
      <c r="Z750" s="7"/>
      <c r="AA750" s="1"/>
      <c r="AB750" s="1"/>
      <c r="AC750" s="1"/>
    </row>
    <row r="751" spans="1:29" x14ac:dyDescent="0.3">
      <c r="A751">
        <v>750</v>
      </c>
      <c r="E751">
        <v>-159.72403168139999</v>
      </c>
      <c r="F751">
        <v>84.420214727205007</v>
      </c>
      <c r="G751">
        <v>420.60506652366001</v>
      </c>
      <c r="H751">
        <v>49.167188562515001</v>
      </c>
      <c r="I751">
        <v>120.57560373723</v>
      </c>
      <c r="J751">
        <v>339.15232295592</v>
      </c>
      <c r="L751" s="1">
        <f t="shared" si="156"/>
        <v>3.6204884510400035</v>
      </c>
      <c r="M751">
        <f t="shared" si="157"/>
        <v>2640.6278320529691</v>
      </c>
      <c r="N751">
        <f t="shared" si="149"/>
        <v>7.3350773112582477</v>
      </c>
      <c r="O751">
        <f t="shared" si="150"/>
        <v>49.167188562515001</v>
      </c>
      <c r="P751">
        <f t="shared" si="151"/>
        <v>699</v>
      </c>
      <c r="Q751">
        <f t="shared" si="158"/>
        <v>102.554689415328</v>
      </c>
      <c r="R751">
        <f t="shared" si="152"/>
        <v>102.554689415328</v>
      </c>
      <c r="S751">
        <f t="shared" si="147"/>
        <v>105.56878198492211</v>
      </c>
      <c r="T751">
        <f t="shared" si="153"/>
        <v>105.56878198492211</v>
      </c>
      <c r="U751" s="3">
        <f t="shared" si="154"/>
        <v>339.15232295592</v>
      </c>
      <c r="V751">
        <f t="shared" si="146"/>
        <v>647</v>
      </c>
      <c r="W751" s="8">
        <f t="shared" si="148"/>
        <v>50.578342083979976</v>
      </c>
      <c r="X751" s="1">
        <f t="shared" si="155"/>
        <v>50.578342083979976</v>
      </c>
      <c r="Y751" s="18"/>
      <c r="Z751" s="7"/>
      <c r="AA751" s="1"/>
      <c r="AB751" s="1"/>
      <c r="AC751" s="1"/>
    </row>
    <row r="752" spans="1:29" x14ac:dyDescent="0.3">
      <c r="A752">
        <v>751</v>
      </c>
      <c r="E752">
        <v>-159.2184266495</v>
      </c>
      <c r="F752">
        <v>81.589380670257</v>
      </c>
      <c r="G752">
        <v>419.33761097588001</v>
      </c>
      <c r="H752">
        <v>49.249318272057998</v>
      </c>
      <c r="I752">
        <v>124.18906692524</v>
      </c>
      <c r="J752">
        <v>339.64325072264</v>
      </c>
      <c r="L752" s="1">
        <f t="shared" si="156"/>
        <v>3.6134631880100017</v>
      </c>
      <c r="M752">
        <f t="shared" si="157"/>
        <v>2644.2412952409791</v>
      </c>
      <c r="N752">
        <f t="shared" si="149"/>
        <v>7.3451147090027193</v>
      </c>
      <c r="O752">
        <f t="shared" si="150"/>
        <v>49.249318272057998</v>
      </c>
      <c r="P752">
        <f t="shared" si="151"/>
        <v>701</v>
      </c>
      <c r="Q752">
        <f t="shared" si="158"/>
        <v>102.454008851393</v>
      </c>
      <c r="R752">
        <f t="shared" si="152"/>
        <v>102.454008851393</v>
      </c>
      <c r="S752">
        <f t="shared" si="147"/>
        <v>105.40025619896544</v>
      </c>
      <c r="T752">
        <f t="shared" si="153"/>
        <v>105.40025619896544</v>
      </c>
      <c r="U752" s="3">
        <f t="shared" si="154"/>
        <v>339.64325072264</v>
      </c>
      <c r="V752">
        <f t="shared" si="146"/>
        <v>648</v>
      </c>
      <c r="W752" s="8">
        <f t="shared" si="148"/>
        <v>50.629314538630013</v>
      </c>
      <c r="X752" s="1">
        <f t="shared" si="155"/>
        <v>50.629314538630013</v>
      </c>
      <c r="Y752" s="18"/>
      <c r="Z752" s="7"/>
      <c r="AA752" s="1"/>
      <c r="AB752" s="1"/>
      <c r="AC752" s="1"/>
    </row>
    <row r="753" spans="1:29" x14ac:dyDescent="0.3">
      <c r="A753">
        <v>752</v>
      </c>
      <c r="E753">
        <v>-158.72522417459999</v>
      </c>
      <c r="F753">
        <v>78.841770007842001</v>
      </c>
      <c r="G753">
        <v>417.89417678810003</v>
      </c>
      <c r="H753">
        <v>49.331951450433998</v>
      </c>
      <c r="I753">
        <v>127.79560493101</v>
      </c>
      <c r="J753">
        <v>340.13929180695999</v>
      </c>
      <c r="L753" s="1">
        <f t="shared" si="156"/>
        <v>3.6065380057700054</v>
      </c>
      <c r="M753">
        <f t="shared" si="157"/>
        <v>2647.8478332467489</v>
      </c>
      <c r="N753">
        <f t="shared" si="149"/>
        <v>7.3551328701298582</v>
      </c>
      <c r="O753">
        <f t="shared" si="150"/>
        <v>49.331951450433998</v>
      </c>
      <c r="P753">
        <f t="shared" si="151"/>
        <v>702</v>
      </c>
      <c r="Q753">
        <f t="shared" si="158"/>
        <v>102.42281248299901</v>
      </c>
      <c r="R753">
        <f t="shared" si="152"/>
        <v>102.42281248299901</v>
      </c>
      <c r="S753">
        <f t="shared" si="147"/>
        <v>105.36681445639805</v>
      </c>
      <c r="T753">
        <f t="shared" si="153"/>
        <v>105.36681445639805</v>
      </c>
      <c r="U753" s="3">
        <f t="shared" si="154"/>
        <v>340.13929180695999</v>
      </c>
      <c r="V753">
        <f t="shared" ref="V753:V816" si="159">IFERROR(MATCH(N753-1,N:N,1),0)</f>
        <v>649</v>
      </c>
      <c r="W753" s="8">
        <f t="shared" si="148"/>
        <v>50.673083344309987</v>
      </c>
      <c r="X753" s="1">
        <f t="shared" si="155"/>
        <v>50.673083344309987</v>
      </c>
      <c r="Y753" s="18"/>
      <c r="Z753" s="7"/>
      <c r="AA753" s="1"/>
      <c r="AB753" s="1"/>
      <c r="AC753" s="1"/>
    </row>
    <row r="754" spans="1:29" x14ac:dyDescent="0.3">
      <c r="A754">
        <v>753</v>
      </c>
      <c r="E754">
        <v>-158.2662861872</v>
      </c>
      <c r="F754">
        <v>76.161401328810001</v>
      </c>
      <c r="G754">
        <v>416.31893839522002</v>
      </c>
      <c r="H754">
        <v>49.459558166160001</v>
      </c>
      <c r="I754">
        <v>131.39653383013001</v>
      </c>
      <c r="J754">
        <v>340.61448633376</v>
      </c>
      <c r="L754" s="1">
        <f t="shared" si="156"/>
        <v>3.6009288991200066</v>
      </c>
      <c r="M754">
        <f t="shared" si="157"/>
        <v>2651.4487621458688</v>
      </c>
      <c r="N754">
        <f t="shared" si="149"/>
        <v>7.3651354504051909</v>
      </c>
      <c r="O754">
        <f t="shared" si="150"/>
        <v>49.459558166160001</v>
      </c>
      <c r="P754">
        <f t="shared" si="151"/>
        <v>703</v>
      </c>
      <c r="Q754">
        <f t="shared" si="158"/>
        <v>102.44354284281201</v>
      </c>
      <c r="R754">
        <f t="shared" si="152"/>
        <v>102.44354284281201</v>
      </c>
      <c r="S754">
        <f t="shared" si="147"/>
        <v>105.38147568152442</v>
      </c>
      <c r="T754">
        <f t="shared" si="153"/>
        <v>105.38147568152442</v>
      </c>
      <c r="U754" s="3">
        <f t="shared" si="154"/>
        <v>340.61448633376</v>
      </c>
      <c r="V754">
        <f t="shared" si="159"/>
        <v>650</v>
      </c>
      <c r="W754" s="8">
        <f t="shared" si="148"/>
        <v>50.656670797359993</v>
      </c>
      <c r="X754" s="1">
        <f t="shared" si="155"/>
        <v>50.656670797359993</v>
      </c>
      <c r="Y754" s="18"/>
      <c r="Z754" s="7"/>
      <c r="AA754" s="1"/>
      <c r="AB754" s="1"/>
      <c r="AC754" s="1"/>
    </row>
    <row r="755" spans="1:29" x14ac:dyDescent="0.3">
      <c r="A755">
        <v>754</v>
      </c>
      <c r="E755">
        <v>-157.8395975864</v>
      </c>
      <c r="F755">
        <v>73.578035788814006</v>
      </c>
      <c r="G755">
        <v>414.58114258609999</v>
      </c>
      <c r="H755">
        <v>49.590926347414999</v>
      </c>
      <c r="I755">
        <v>134.99039619688</v>
      </c>
      <c r="J755">
        <v>341.07450763573001</v>
      </c>
      <c r="L755" s="1">
        <f t="shared" si="156"/>
        <v>3.5938623667499883</v>
      </c>
      <c r="M755">
        <f t="shared" si="157"/>
        <v>2655.0426245126187</v>
      </c>
      <c r="N755">
        <f t="shared" si="149"/>
        <v>7.3751184014239408</v>
      </c>
      <c r="O755">
        <f t="shared" si="150"/>
        <v>49.590926347414999</v>
      </c>
      <c r="P755">
        <f t="shared" si="151"/>
        <v>704</v>
      </c>
      <c r="Q755">
        <f t="shared" si="158"/>
        <v>102.46057058775699</v>
      </c>
      <c r="R755">
        <f t="shared" si="152"/>
        <v>102.46057058775699</v>
      </c>
      <c r="S755">
        <f t="shared" si="147"/>
        <v>105.39160802466961</v>
      </c>
      <c r="T755">
        <f t="shared" si="153"/>
        <v>105.39160802466961</v>
      </c>
      <c r="U755" s="3">
        <f t="shared" si="154"/>
        <v>341.07450763573001</v>
      </c>
      <c r="V755">
        <f t="shared" si="159"/>
        <v>651</v>
      </c>
      <c r="W755" s="8">
        <f t="shared" si="148"/>
        <v>50.627184691410037</v>
      </c>
      <c r="X755" s="1">
        <f t="shared" si="155"/>
        <v>50.627184691410037</v>
      </c>
      <c r="Y755" s="18"/>
      <c r="Z755" s="7"/>
      <c r="AA755" s="1"/>
      <c r="AB755" s="1"/>
      <c r="AC755" s="1"/>
    </row>
    <row r="756" spans="1:29" x14ac:dyDescent="0.3">
      <c r="A756">
        <v>755</v>
      </c>
      <c r="E756">
        <v>-157.4227617958</v>
      </c>
      <c r="F756">
        <v>71.118117489943998</v>
      </c>
      <c r="G756">
        <v>412.67063556447999</v>
      </c>
      <c r="H756">
        <v>49.704557227226999</v>
      </c>
      <c r="I756">
        <v>138.57449204848999</v>
      </c>
      <c r="J756">
        <v>341.54354306301002</v>
      </c>
      <c r="L756" s="1">
        <f t="shared" si="156"/>
        <v>3.5840958516099874</v>
      </c>
      <c r="M756">
        <f t="shared" si="157"/>
        <v>2658.6267203642287</v>
      </c>
      <c r="N756">
        <f t="shared" si="149"/>
        <v>7.3850742232339686</v>
      </c>
      <c r="O756">
        <f t="shared" si="150"/>
        <v>49.704557227226999</v>
      </c>
      <c r="P756">
        <f t="shared" si="151"/>
        <v>705</v>
      </c>
      <c r="Q756">
        <f t="shared" si="158"/>
        <v>102.454929825641</v>
      </c>
      <c r="R756">
        <f t="shared" si="152"/>
        <v>102.454929825641</v>
      </c>
      <c r="S756">
        <f t="shared" si="147"/>
        <v>105.38037847470912</v>
      </c>
      <c r="T756">
        <f t="shared" si="153"/>
        <v>105.38037847470912</v>
      </c>
      <c r="U756" s="3">
        <f t="shared" si="154"/>
        <v>341.54354306301002</v>
      </c>
      <c r="V756">
        <f t="shared" si="159"/>
        <v>652</v>
      </c>
      <c r="W756" s="8">
        <f t="shared" si="148"/>
        <v>50.602073594970022</v>
      </c>
      <c r="X756" s="1">
        <f t="shared" si="155"/>
        <v>50.602073594970022</v>
      </c>
      <c r="Y756" s="18"/>
      <c r="Z756" s="7"/>
      <c r="AA756" s="1"/>
      <c r="AB756" s="1"/>
      <c r="AC756" s="1"/>
    </row>
    <row r="757" spans="1:29" x14ac:dyDescent="0.3">
      <c r="A757">
        <v>756</v>
      </c>
      <c r="E757">
        <v>-156.99436138179999</v>
      </c>
      <c r="F757">
        <v>68.780621271895996</v>
      </c>
      <c r="G757">
        <v>410.61420137952001</v>
      </c>
      <c r="H757">
        <v>49.823186414676996</v>
      </c>
      <c r="I757">
        <v>142.14520678650999</v>
      </c>
      <c r="J757">
        <v>342.04073511476997</v>
      </c>
      <c r="L757" s="1">
        <f t="shared" si="156"/>
        <v>3.5707147380200013</v>
      </c>
      <c r="M757">
        <f t="shared" si="157"/>
        <v>2662.1974351022486</v>
      </c>
      <c r="N757">
        <f t="shared" si="149"/>
        <v>7.3949928752840242</v>
      </c>
      <c r="O757">
        <f t="shared" si="150"/>
        <v>49.823186414676996</v>
      </c>
      <c r="P757">
        <f t="shared" si="151"/>
        <v>706</v>
      </c>
      <c r="Q757">
        <f t="shared" si="158"/>
        <v>102.462185683478</v>
      </c>
      <c r="R757">
        <f t="shared" si="152"/>
        <v>102.462185683478</v>
      </c>
      <c r="S757">
        <f t="shared" si="147"/>
        <v>105.38890416746548</v>
      </c>
      <c r="T757">
        <f t="shared" si="153"/>
        <v>105.38890416746548</v>
      </c>
      <c r="U757" s="3">
        <f t="shared" si="154"/>
        <v>342.04073511476997</v>
      </c>
      <c r="V757">
        <f t="shared" si="159"/>
        <v>653</v>
      </c>
      <c r="W757" s="8">
        <f t="shared" si="148"/>
        <v>50.632212030029962</v>
      </c>
      <c r="X757" s="1">
        <f t="shared" si="155"/>
        <v>50.632212030029962</v>
      </c>
      <c r="Y757" s="18"/>
      <c r="Z757" s="7"/>
      <c r="AA757" s="1"/>
      <c r="AB757" s="1"/>
      <c r="AC757" s="1"/>
    </row>
    <row r="758" spans="1:29" x14ac:dyDescent="0.3">
      <c r="A758">
        <v>757</v>
      </c>
      <c r="E758">
        <v>-156.58991454220001</v>
      </c>
      <c r="F758">
        <v>66.567519243394003</v>
      </c>
      <c r="G758">
        <v>408.42005976950003</v>
      </c>
      <c r="H758">
        <v>49.948096326371001</v>
      </c>
      <c r="I758">
        <v>145.70821848867999</v>
      </c>
      <c r="J758">
        <v>342.53012958703999</v>
      </c>
      <c r="L758" s="1">
        <f t="shared" si="156"/>
        <v>3.5630117021700016</v>
      </c>
      <c r="M758">
        <f t="shared" si="157"/>
        <v>2665.7604468044187</v>
      </c>
      <c r="N758">
        <f t="shared" si="149"/>
        <v>7.4048901300122747</v>
      </c>
      <c r="O758">
        <f t="shared" si="150"/>
        <v>49.948096326371001</v>
      </c>
      <c r="P758">
        <f t="shared" si="151"/>
        <v>707</v>
      </c>
      <c r="Q758">
        <f t="shared" si="158"/>
        <v>102.45505871412399</v>
      </c>
      <c r="R758">
        <f t="shared" si="152"/>
        <v>102.45505871412399</v>
      </c>
      <c r="S758">
        <f t="shared" si="147"/>
        <v>105.37733171348323</v>
      </c>
      <c r="T758">
        <f t="shared" si="153"/>
        <v>105.37733171348323</v>
      </c>
      <c r="U758" s="3">
        <f t="shared" si="154"/>
        <v>342.53012958703999</v>
      </c>
      <c r="V758">
        <f t="shared" si="159"/>
        <v>654</v>
      </c>
      <c r="W758" s="8">
        <f t="shared" si="148"/>
        <v>50.635556172989993</v>
      </c>
      <c r="X758" s="1">
        <f t="shared" si="155"/>
        <v>50.635556172989993</v>
      </c>
      <c r="Y758" s="18"/>
      <c r="Z758" s="7"/>
      <c r="AA758" s="1"/>
      <c r="AB758" s="1"/>
      <c r="AC758" s="1"/>
    </row>
    <row r="759" spans="1:29" x14ac:dyDescent="0.3">
      <c r="A759">
        <v>758</v>
      </c>
      <c r="E759">
        <v>-156.20850731359999</v>
      </c>
      <c r="F759">
        <v>64.488535400692001</v>
      </c>
      <c r="G759">
        <v>406.09449557200003</v>
      </c>
      <c r="H759">
        <v>50.076831430604997</v>
      </c>
      <c r="I759">
        <v>149.26331364040001</v>
      </c>
      <c r="J759">
        <v>343.01252535792003</v>
      </c>
      <c r="L759" s="1">
        <f t="shared" si="156"/>
        <v>3.5550951517200247</v>
      </c>
      <c r="M759">
        <f t="shared" si="157"/>
        <v>2669.315541956139</v>
      </c>
      <c r="N759">
        <f t="shared" si="149"/>
        <v>7.4147653943226084</v>
      </c>
      <c r="O759">
        <f t="shared" si="150"/>
        <v>50.076831430604997</v>
      </c>
      <c r="P759">
        <f t="shared" si="151"/>
        <v>708</v>
      </c>
      <c r="Q759">
        <f t="shared" si="158"/>
        <v>102.441741198367</v>
      </c>
      <c r="R759">
        <f t="shared" si="152"/>
        <v>102.441741198367</v>
      </c>
      <c r="S759">
        <f t="shared" si="147"/>
        <v>105.36235551742797</v>
      </c>
      <c r="T759">
        <f t="shared" si="153"/>
        <v>105.36235551742797</v>
      </c>
      <c r="U759" s="3">
        <f t="shared" si="154"/>
        <v>343.01252535792003</v>
      </c>
      <c r="V759">
        <f t="shared" si="159"/>
        <v>655</v>
      </c>
      <c r="W759" s="8">
        <f t="shared" si="148"/>
        <v>50.633620243620044</v>
      </c>
      <c r="X759" s="1">
        <f t="shared" si="155"/>
        <v>50.633620243620044</v>
      </c>
      <c r="Y759" s="18"/>
      <c r="Z759" s="7"/>
      <c r="AA759" s="1"/>
      <c r="AB759" s="1"/>
      <c r="AC759" s="1"/>
    </row>
    <row r="760" spans="1:29" x14ac:dyDescent="0.3">
      <c r="A760">
        <v>759</v>
      </c>
      <c r="E760">
        <v>-155.83318866100001</v>
      </c>
      <c r="F760">
        <v>62.555154138146001</v>
      </c>
      <c r="G760">
        <v>403.64525123326001</v>
      </c>
      <c r="H760">
        <v>50.206949774453001</v>
      </c>
      <c r="I760">
        <v>152.80773576293001</v>
      </c>
      <c r="J760">
        <v>343.50464785164002</v>
      </c>
      <c r="L760" s="1">
        <f t="shared" si="156"/>
        <v>3.5444221225299941</v>
      </c>
      <c r="M760">
        <f t="shared" si="157"/>
        <v>2672.8599640786688</v>
      </c>
      <c r="N760">
        <f t="shared" si="149"/>
        <v>7.4246110113296355</v>
      </c>
      <c r="O760">
        <f t="shared" si="150"/>
        <v>50.206949774453001</v>
      </c>
      <c r="P760">
        <f t="shared" si="151"/>
        <v>709</v>
      </c>
      <c r="Q760">
        <f t="shared" si="158"/>
        <v>102.431918521208</v>
      </c>
      <c r="R760">
        <f t="shared" si="152"/>
        <v>102.431918521208</v>
      </c>
      <c r="S760">
        <f t="shared" si="147"/>
        <v>105.35323827115242</v>
      </c>
      <c r="T760">
        <f t="shared" si="153"/>
        <v>105.35323827115242</v>
      </c>
      <c r="U760" s="3">
        <f t="shared" si="154"/>
        <v>343.50464785164002</v>
      </c>
      <c r="V760">
        <f t="shared" si="159"/>
        <v>656</v>
      </c>
      <c r="W760" s="8">
        <f t="shared" si="148"/>
        <v>50.633969919210017</v>
      </c>
      <c r="X760" s="1">
        <f t="shared" si="155"/>
        <v>50.633969919210017</v>
      </c>
      <c r="Y760" s="18"/>
      <c r="Z760" s="7"/>
      <c r="AA760" s="1"/>
      <c r="AB760" s="1"/>
      <c r="AC760" s="1"/>
    </row>
    <row r="761" spans="1:29" x14ac:dyDescent="0.3">
      <c r="A761">
        <v>760</v>
      </c>
      <c r="E761">
        <v>-155.46467607279999</v>
      </c>
      <c r="F761">
        <v>60.737780874302999</v>
      </c>
      <c r="G761">
        <v>401.10835912466001</v>
      </c>
      <c r="H761">
        <v>50.383072736068002</v>
      </c>
      <c r="I761">
        <v>156.33729911200999</v>
      </c>
      <c r="J761">
        <v>344.00169963255001</v>
      </c>
      <c r="L761" s="1">
        <f t="shared" si="156"/>
        <v>3.5295633490799787</v>
      </c>
      <c r="M761">
        <f t="shared" si="157"/>
        <v>2676.3895274277488</v>
      </c>
      <c r="N761">
        <f t="shared" si="149"/>
        <v>7.434415353965969</v>
      </c>
      <c r="O761">
        <f t="shared" si="150"/>
        <v>50.383072736068002</v>
      </c>
      <c r="P761">
        <f t="shared" si="151"/>
        <v>710</v>
      </c>
      <c r="Q761">
        <f t="shared" si="158"/>
        <v>102.474121682993</v>
      </c>
      <c r="R761">
        <f t="shared" si="152"/>
        <v>102.474121682993</v>
      </c>
      <c r="S761">
        <f t="shared" si="147"/>
        <v>105.39285332188564</v>
      </c>
      <c r="T761">
        <f t="shared" si="153"/>
        <v>105.39285332188564</v>
      </c>
      <c r="U761" s="3">
        <f t="shared" si="154"/>
        <v>344.00169963255001</v>
      </c>
      <c r="V761">
        <f t="shared" si="159"/>
        <v>657</v>
      </c>
      <c r="W761" s="8">
        <f t="shared" si="148"/>
        <v>50.627661893190009</v>
      </c>
      <c r="X761" s="1">
        <f t="shared" si="155"/>
        <v>50.627661893190009</v>
      </c>
      <c r="Y761" s="18"/>
      <c r="Z761" s="7"/>
      <c r="AA761" s="1"/>
      <c r="AB761" s="1"/>
      <c r="AC761" s="1"/>
    </row>
    <row r="762" spans="1:29" x14ac:dyDescent="0.3">
      <c r="A762">
        <v>761</v>
      </c>
      <c r="E762">
        <v>-155.12982927780001</v>
      </c>
      <c r="F762">
        <v>59.081819713681</v>
      </c>
      <c r="G762">
        <v>398.45835007850002</v>
      </c>
      <c r="H762">
        <v>50.551249798831002</v>
      </c>
      <c r="I762">
        <v>159.85897107100001</v>
      </c>
      <c r="J762">
        <v>344.48080342921003</v>
      </c>
      <c r="L762" s="1">
        <f t="shared" si="156"/>
        <v>3.5216719589900265</v>
      </c>
      <c r="M762">
        <f t="shared" si="157"/>
        <v>2679.9111993867386</v>
      </c>
      <c r="N762">
        <f t="shared" si="149"/>
        <v>7.4441977760742741</v>
      </c>
      <c r="O762">
        <f t="shared" si="150"/>
        <v>50.551249798831002</v>
      </c>
      <c r="P762">
        <f t="shared" si="151"/>
        <v>711</v>
      </c>
      <c r="Q762">
        <f t="shared" si="158"/>
        <v>102.51453506563</v>
      </c>
      <c r="R762">
        <f t="shared" si="152"/>
        <v>102.51453506563</v>
      </c>
      <c r="S762">
        <f t="shared" si="147"/>
        <v>105.43375008375472</v>
      </c>
      <c r="T762">
        <f t="shared" si="153"/>
        <v>105.43375008375472</v>
      </c>
      <c r="U762" s="3">
        <f t="shared" si="154"/>
        <v>344.48080342921003</v>
      </c>
      <c r="V762">
        <f t="shared" si="159"/>
        <v>658</v>
      </c>
      <c r="W762" s="8">
        <f t="shared" si="148"/>
        <v>50.608282257560006</v>
      </c>
      <c r="X762" s="1">
        <f t="shared" si="155"/>
        <v>50.608282257560006</v>
      </c>
      <c r="Y762" s="18"/>
      <c r="Z762" s="7"/>
      <c r="AA762" s="1"/>
      <c r="AB762" s="1"/>
      <c r="AC762" s="1"/>
    </row>
    <row r="763" spans="1:29" x14ac:dyDescent="0.3">
      <c r="A763">
        <v>762</v>
      </c>
      <c r="E763">
        <v>-154.7836547956</v>
      </c>
      <c r="F763">
        <v>57.594314160979003</v>
      </c>
      <c r="G763">
        <v>395.71183711825</v>
      </c>
      <c r="H763">
        <v>50.716805453592002</v>
      </c>
      <c r="I763">
        <v>163.36436463832001</v>
      </c>
      <c r="J763">
        <v>344.98572361944002</v>
      </c>
      <c r="L763" s="1">
        <f t="shared" si="156"/>
        <v>3.5053935673199987</v>
      </c>
      <c r="M763">
        <f t="shared" si="157"/>
        <v>2683.4165929540586</v>
      </c>
      <c r="N763">
        <f t="shared" si="149"/>
        <v>7.4539349804279409</v>
      </c>
      <c r="O763">
        <f t="shared" si="150"/>
        <v>50.716805453592002</v>
      </c>
      <c r="P763">
        <f t="shared" si="151"/>
        <v>712</v>
      </c>
      <c r="Q763">
        <f t="shared" si="158"/>
        <v>102.54081975930799</v>
      </c>
      <c r="R763">
        <f t="shared" si="152"/>
        <v>102.54081975930799</v>
      </c>
      <c r="S763">
        <f t="shared" si="147"/>
        <v>105.46970501090972</v>
      </c>
      <c r="T763">
        <f t="shared" si="153"/>
        <v>105.46970501090972</v>
      </c>
      <c r="U763" s="3">
        <f t="shared" si="154"/>
        <v>344.98572361944002</v>
      </c>
      <c r="V763">
        <f t="shared" si="159"/>
        <v>659</v>
      </c>
      <c r="W763" s="8">
        <f t="shared" si="148"/>
        <v>50.630098540040024</v>
      </c>
      <c r="X763" s="1">
        <f t="shared" si="155"/>
        <v>50.630098540040024</v>
      </c>
      <c r="Y763" s="18"/>
      <c r="Z763" s="7"/>
      <c r="AA763" s="1"/>
      <c r="AB763" s="1"/>
      <c r="AC763" s="1"/>
    </row>
    <row r="764" spans="1:29" x14ac:dyDescent="0.3">
      <c r="A764">
        <v>763</v>
      </c>
      <c r="E764">
        <v>-154.45221219570001</v>
      </c>
      <c r="F764">
        <v>56.296870849378998</v>
      </c>
      <c r="G764">
        <v>392.86902246695001</v>
      </c>
      <c r="H764">
        <v>50.858248034058001</v>
      </c>
      <c r="I764">
        <v>166.8601869872</v>
      </c>
      <c r="J764">
        <v>345.49136155159999</v>
      </c>
      <c r="L764" s="1">
        <f t="shared" si="156"/>
        <v>3.4958223488799831</v>
      </c>
      <c r="M764">
        <f t="shared" si="157"/>
        <v>2686.9124153029388</v>
      </c>
      <c r="N764">
        <f t="shared" si="149"/>
        <v>7.4636455980637191</v>
      </c>
      <c r="O764">
        <f t="shared" si="150"/>
        <v>50.858248034058001</v>
      </c>
      <c r="P764">
        <f t="shared" si="151"/>
        <v>713</v>
      </c>
      <c r="Q764">
        <f t="shared" si="158"/>
        <v>102.546966916074</v>
      </c>
      <c r="R764">
        <f t="shared" si="152"/>
        <v>102.546966916074</v>
      </c>
      <c r="S764">
        <f t="shared" si="147"/>
        <v>105.48120559689048</v>
      </c>
      <c r="T764">
        <f t="shared" si="153"/>
        <v>105.48120559689048</v>
      </c>
      <c r="U764" s="3">
        <f t="shared" si="154"/>
        <v>345.49136155159999</v>
      </c>
      <c r="V764">
        <f t="shared" si="159"/>
        <v>660</v>
      </c>
      <c r="W764" s="8">
        <f t="shared" si="148"/>
        <v>50.675643019989991</v>
      </c>
      <c r="X764" s="1">
        <f t="shared" si="155"/>
        <v>50.675643019989991</v>
      </c>
      <c r="Y764" s="18"/>
      <c r="Z764" s="7"/>
      <c r="AA764" s="1"/>
      <c r="AB764" s="1"/>
      <c r="AC764" s="1"/>
    </row>
    <row r="765" spans="1:29" x14ac:dyDescent="0.3">
      <c r="A765">
        <v>764</v>
      </c>
      <c r="E765">
        <v>-154.1423572427</v>
      </c>
      <c r="F765">
        <v>55.221473468599001</v>
      </c>
      <c r="G765">
        <v>389.93229441964002</v>
      </c>
      <c r="H765">
        <v>50.946832164659</v>
      </c>
      <c r="I765">
        <v>170.35160347295999</v>
      </c>
      <c r="J765">
        <v>345.99198841289001</v>
      </c>
      <c r="L765" s="1">
        <f t="shared" si="156"/>
        <v>3.4914164857599985</v>
      </c>
      <c r="M765">
        <f t="shared" si="157"/>
        <v>2690.4038317886989</v>
      </c>
      <c r="N765">
        <f t="shared" si="149"/>
        <v>7.4733439771908303</v>
      </c>
      <c r="O765">
        <f t="shared" si="150"/>
        <v>50.946832164659</v>
      </c>
      <c r="P765">
        <f t="shared" si="151"/>
        <v>714</v>
      </c>
      <c r="Q765">
        <f t="shared" si="158"/>
        <v>102.451247845399</v>
      </c>
      <c r="R765">
        <f t="shared" si="152"/>
        <v>102.451247845399</v>
      </c>
      <c r="S765">
        <f t="shared" si="147"/>
        <v>105.38896229574529</v>
      </c>
      <c r="T765">
        <f t="shared" si="153"/>
        <v>105.38896229574529</v>
      </c>
      <c r="U765" s="3">
        <f t="shared" si="154"/>
        <v>345.99198841289001</v>
      </c>
      <c r="V765">
        <f t="shared" si="159"/>
        <v>661</v>
      </c>
      <c r="W765" s="8">
        <f t="shared" si="148"/>
        <v>50.696064702790011</v>
      </c>
      <c r="X765" s="1">
        <f t="shared" si="155"/>
        <v>50.696064702790011</v>
      </c>
      <c r="Y765" s="18"/>
      <c r="Z765" s="7"/>
      <c r="AA765" s="1"/>
      <c r="AB765" s="1"/>
      <c r="AC765" s="1"/>
    </row>
    <row r="766" spans="1:29" x14ac:dyDescent="0.3">
      <c r="A766">
        <v>765</v>
      </c>
      <c r="E766">
        <v>-153.8172978234</v>
      </c>
      <c r="F766">
        <v>54.310690318044003</v>
      </c>
      <c r="G766">
        <v>386.94212104334002</v>
      </c>
      <c r="H766">
        <v>51.052139422445997</v>
      </c>
      <c r="I766">
        <v>173.83083937455001</v>
      </c>
      <c r="J766">
        <v>346.51868600812003</v>
      </c>
      <c r="L766" s="1">
        <f t="shared" si="156"/>
        <v>3.4792359015900161</v>
      </c>
      <c r="M766">
        <f t="shared" si="157"/>
        <v>2693.883067690289</v>
      </c>
      <c r="N766">
        <f t="shared" si="149"/>
        <v>7.4830085213619135</v>
      </c>
      <c r="O766">
        <f t="shared" si="150"/>
        <v>51.052139422445997</v>
      </c>
      <c r="P766">
        <f t="shared" si="151"/>
        <v>715</v>
      </c>
      <c r="Q766">
        <f t="shared" si="158"/>
        <v>102.46660557903999</v>
      </c>
      <c r="R766">
        <f t="shared" si="152"/>
        <v>102.46660557903999</v>
      </c>
      <c r="S766">
        <f t="shared" si="147"/>
        <v>105.42835017280204</v>
      </c>
      <c r="T766">
        <f t="shared" si="153"/>
        <v>105.42835017280204</v>
      </c>
      <c r="U766" s="3">
        <f t="shared" si="154"/>
        <v>346.51868600812003</v>
      </c>
      <c r="V766">
        <f t="shared" si="159"/>
        <v>662</v>
      </c>
      <c r="W766" s="8">
        <f t="shared" si="148"/>
        <v>50.756387183220056</v>
      </c>
      <c r="X766" s="1">
        <f t="shared" si="155"/>
        <v>50.756387183220056</v>
      </c>
      <c r="Y766" s="18"/>
      <c r="Z766" s="7"/>
      <c r="AA766" s="1"/>
      <c r="AB766" s="1"/>
      <c r="AC766" s="1"/>
    </row>
    <row r="767" spans="1:29" x14ac:dyDescent="0.3">
      <c r="A767">
        <v>766</v>
      </c>
      <c r="E767">
        <v>-153.49279032390001</v>
      </c>
      <c r="F767">
        <v>53.577478061511002</v>
      </c>
      <c r="G767">
        <v>383.90358857843</v>
      </c>
      <c r="H767">
        <v>51.161440632800002</v>
      </c>
      <c r="I767">
        <v>177.30045596356999</v>
      </c>
      <c r="J767">
        <v>347.05587668405002</v>
      </c>
      <c r="L767" s="1">
        <f t="shared" si="156"/>
        <v>3.4696165890199779</v>
      </c>
      <c r="M767">
        <f t="shared" si="157"/>
        <v>2697.352684279309</v>
      </c>
      <c r="N767">
        <f t="shared" si="149"/>
        <v>7.4926463452203027</v>
      </c>
      <c r="O767">
        <f t="shared" si="150"/>
        <v>51.161440632800002</v>
      </c>
      <c r="P767">
        <f t="shared" si="151"/>
        <v>716</v>
      </c>
      <c r="Q767">
        <f t="shared" si="158"/>
        <v>102.491882830148</v>
      </c>
      <c r="R767">
        <f t="shared" si="152"/>
        <v>102.491882830148</v>
      </c>
      <c r="S767">
        <f t="shared" si="147"/>
        <v>105.46013077611654</v>
      </c>
      <c r="T767">
        <f t="shared" si="153"/>
        <v>105.46013077611654</v>
      </c>
      <c r="U767" s="3">
        <f t="shared" si="154"/>
        <v>347.05587668405002</v>
      </c>
      <c r="V767">
        <f t="shared" si="159"/>
        <v>663</v>
      </c>
      <c r="W767" s="8">
        <f t="shared" si="148"/>
        <v>50.80332164001004</v>
      </c>
      <c r="X767" s="1">
        <f t="shared" si="155"/>
        <v>50.80332164001004</v>
      </c>
      <c r="Y767" s="18"/>
      <c r="Z767" s="7"/>
      <c r="AA767" s="1"/>
      <c r="AB767" s="1"/>
      <c r="AC767" s="1"/>
    </row>
    <row r="768" spans="1:29" x14ac:dyDescent="0.3">
      <c r="A768">
        <v>767</v>
      </c>
      <c r="E768">
        <v>-153.2074143282</v>
      </c>
      <c r="F768">
        <v>53.029868229065002</v>
      </c>
      <c r="G768">
        <v>380.82178968420999</v>
      </c>
      <c r="H768">
        <v>51.266063475495002</v>
      </c>
      <c r="I768">
        <v>-179.2311174036</v>
      </c>
      <c r="J768">
        <v>347.56505242146</v>
      </c>
      <c r="L768" s="1">
        <f t="shared" si="156"/>
        <v>-356.53157336716998</v>
      </c>
      <c r="M768">
        <f t="shared" si="157"/>
        <v>2700.822300868329</v>
      </c>
      <c r="N768">
        <f t="shared" si="149"/>
        <v>7.5022841690786919</v>
      </c>
      <c r="O768">
        <f t="shared" si="150"/>
        <v>51.266063475495002</v>
      </c>
      <c r="P768">
        <f t="shared" si="151"/>
        <v>717</v>
      </c>
      <c r="Q768">
        <f t="shared" si="158"/>
        <v>102.430087930292</v>
      </c>
      <c r="R768">
        <f t="shared" si="152"/>
        <v>102.430087930292</v>
      </c>
      <c r="S768">
        <f t="shared" si="147"/>
        <v>105.39679205379139</v>
      </c>
      <c r="T768">
        <f t="shared" si="153"/>
        <v>105.39679205379139</v>
      </c>
      <c r="U768" s="3">
        <f t="shared" si="154"/>
        <v>347.56505242146</v>
      </c>
      <c r="V768">
        <f t="shared" si="159"/>
        <v>664</v>
      </c>
      <c r="W768" s="8">
        <f t="shared" si="148"/>
        <v>50.822533619979993</v>
      </c>
      <c r="X768" s="1">
        <f t="shared" si="155"/>
        <v>50.822533619979993</v>
      </c>
      <c r="Y768" s="18"/>
      <c r="Z768" s="7"/>
      <c r="AA768" s="1"/>
      <c r="AB768" s="1"/>
      <c r="AC768" s="1"/>
    </row>
    <row r="769" spans="1:29" x14ac:dyDescent="0.3">
      <c r="A769">
        <v>768</v>
      </c>
      <c r="E769">
        <v>-152.95128581419999</v>
      </c>
      <c r="F769">
        <v>52.604891263593998</v>
      </c>
      <c r="G769">
        <v>377.71867536092998</v>
      </c>
      <c r="H769">
        <v>51.432556029381999</v>
      </c>
      <c r="I769">
        <v>-175.77142752399999</v>
      </c>
      <c r="J769">
        <v>348.05175644940999</v>
      </c>
      <c r="L769" s="1">
        <f t="shared" si="156"/>
        <v>3.4596898796000062</v>
      </c>
      <c r="M769">
        <f t="shared" si="157"/>
        <v>2704.2819907479288</v>
      </c>
      <c r="N769">
        <f t="shared" si="149"/>
        <v>7.5118944187442471</v>
      </c>
      <c r="O769">
        <f t="shared" si="150"/>
        <v>51.432556029381999</v>
      </c>
      <c r="P769">
        <f t="shared" si="151"/>
        <v>718</v>
      </c>
      <c r="Q769">
        <f t="shared" si="158"/>
        <v>102.504656968929</v>
      </c>
      <c r="R769">
        <f t="shared" si="152"/>
        <v>102.504656968929</v>
      </c>
      <c r="S769">
        <f t="shared" si="147"/>
        <v>105.47674325834971</v>
      </c>
      <c r="T769">
        <f t="shared" si="153"/>
        <v>105.47674325834971</v>
      </c>
      <c r="U769" s="3">
        <f t="shared" si="154"/>
        <v>348.05175644940999</v>
      </c>
      <c r="V769">
        <f t="shared" si="159"/>
        <v>665</v>
      </c>
      <c r="W769" s="8">
        <f t="shared" si="148"/>
        <v>50.846775423699967</v>
      </c>
      <c r="X769" s="1">
        <f t="shared" si="155"/>
        <v>50.846775423699967</v>
      </c>
      <c r="Y769" s="18"/>
      <c r="Z769" s="7"/>
      <c r="AA769" s="1"/>
      <c r="AB769" s="1"/>
      <c r="AC769" s="1"/>
    </row>
    <row r="770" spans="1:29" x14ac:dyDescent="0.3">
      <c r="A770">
        <v>769</v>
      </c>
      <c r="E770">
        <v>-152.6726936542</v>
      </c>
      <c r="F770">
        <v>52.399674044160001</v>
      </c>
      <c r="G770">
        <v>374.59542125907001</v>
      </c>
      <c r="H770">
        <v>51.566362477760002</v>
      </c>
      <c r="I770">
        <v>-172.32619932060001</v>
      </c>
      <c r="J770">
        <v>348.57131663766</v>
      </c>
      <c r="L770" s="1">
        <f t="shared" si="156"/>
        <v>3.4452282033999779</v>
      </c>
      <c r="M770">
        <f t="shared" si="157"/>
        <v>2707.7272189513287</v>
      </c>
      <c r="N770">
        <f t="shared" si="149"/>
        <v>7.5214644970870239</v>
      </c>
      <c r="O770">
        <f t="shared" si="150"/>
        <v>51.566362477760002</v>
      </c>
      <c r="P770">
        <f t="shared" si="151"/>
        <v>719</v>
      </c>
      <c r="Q770">
        <f t="shared" si="158"/>
        <v>102.51472156654199</v>
      </c>
      <c r="R770">
        <f t="shared" si="152"/>
        <v>102.51472156654199</v>
      </c>
      <c r="S770">
        <f t="shared" ref="S770:S833" si="160">IF(P770=0,0,SQRT((E770-INDEX(E:E,P770))^2+(F770-INDEX(F:F,P770))^2+(G770-INDEX(G:G,P770))^2))</f>
        <v>105.50822791364388</v>
      </c>
      <c r="T770">
        <f t="shared" si="153"/>
        <v>105.50822791364388</v>
      </c>
      <c r="U770" s="3">
        <f t="shared" si="154"/>
        <v>348.57131663766</v>
      </c>
      <c r="V770">
        <f t="shared" si="159"/>
        <v>666</v>
      </c>
      <c r="W770" s="8">
        <f t="shared" ref="W770:W833" si="161">IF(V770=0,0,U770-INDEX(U:U,V770))</f>
        <v>50.909377495479987</v>
      </c>
      <c r="X770" s="1">
        <f t="shared" si="155"/>
        <v>50.909377495479987</v>
      </c>
      <c r="Y770" s="18"/>
      <c r="Z770" s="7"/>
      <c r="AA770" s="1"/>
      <c r="AB770" s="1"/>
      <c r="AC770" s="1"/>
    </row>
    <row r="771" spans="1:29" x14ac:dyDescent="0.3">
      <c r="A771">
        <v>770</v>
      </c>
      <c r="E771">
        <v>-152.37832019379999</v>
      </c>
      <c r="F771">
        <v>52.371410172768002</v>
      </c>
      <c r="G771">
        <v>371.46712135547</v>
      </c>
      <c r="H771">
        <v>51.709647149237</v>
      </c>
      <c r="I771">
        <v>-168.895252613</v>
      </c>
      <c r="J771">
        <v>349.11414010191999</v>
      </c>
      <c r="L771" s="1">
        <f t="shared" si="156"/>
        <v>3.4309467076000146</v>
      </c>
      <c r="M771">
        <f t="shared" si="157"/>
        <v>2711.1581656589287</v>
      </c>
      <c r="N771">
        <f t="shared" ref="N771:N834" si="162">M771/360</f>
        <v>7.5309949046081357</v>
      </c>
      <c r="O771">
        <f t="shared" ref="O771:O834" si="163">H771</f>
        <v>51.709647149237</v>
      </c>
      <c r="P771">
        <f t="shared" ref="P771:P834" si="164">IFERROR(MATCH(N771-0.5,N:N,1),0)</f>
        <v>720</v>
      </c>
      <c r="Q771">
        <f t="shared" si="158"/>
        <v>102.52366634027101</v>
      </c>
      <c r="R771">
        <f t="shared" ref="R771:R834" si="165">IF(Q771=0,MAX(Q:Q),Q771)</f>
        <v>102.52366634027101</v>
      </c>
      <c r="S771">
        <f t="shared" si="160"/>
        <v>105.53121345518302</v>
      </c>
      <c r="T771">
        <f t="shared" ref="T771:T834" si="166">IF(S771=0,MAX(S:S),S771)</f>
        <v>105.53121345518302</v>
      </c>
      <c r="U771" s="3">
        <f t="shared" ref="U771:U834" si="167">J771</f>
        <v>349.11414010191999</v>
      </c>
      <c r="V771">
        <f t="shared" si="159"/>
        <v>667</v>
      </c>
      <c r="W771" s="8">
        <f t="shared" si="161"/>
        <v>50.912154624450011</v>
      </c>
      <c r="X771" s="1">
        <f t="shared" ref="X771:X834" si="168">IF(W771=0,MAX(W:W),W771)</f>
        <v>50.912154624450011</v>
      </c>
      <c r="Y771" s="18"/>
      <c r="Z771" s="7"/>
      <c r="AA771" s="1"/>
      <c r="AB771" s="1"/>
      <c r="AC771" s="1"/>
    </row>
    <row r="772" spans="1:29" x14ac:dyDescent="0.3">
      <c r="A772">
        <v>771</v>
      </c>
      <c r="E772">
        <v>-152.18361692529999</v>
      </c>
      <c r="F772">
        <v>52.526502940227999</v>
      </c>
      <c r="G772">
        <v>368.33466808247999</v>
      </c>
      <c r="H772">
        <v>51.852529373768</v>
      </c>
      <c r="I772">
        <v>-165.45742526070001</v>
      </c>
      <c r="J772">
        <v>349.56542814085998</v>
      </c>
      <c r="L772" s="1">
        <f t="shared" ref="L772:L835" si="169">I772-I771</f>
        <v>3.4378273522999905</v>
      </c>
      <c r="M772">
        <f t="shared" ref="M772:M835" si="170">IF(L772&gt;0,M771+L772,M771+L771)</f>
        <v>2714.5959930112285</v>
      </c>
      <c r="N772">
        <f t="shared" si="162"/>
        <v>7.5405444250311904</v>
      </c>
      <c r="O772">
        <f t="shared" si="163"/>
        <v>51.852529373768</v>
      </c>
      <c r="P772">
        <f t="shared" si="164"/>
        <v>721</v>
      </c>
      <c r="Q772">
        <f t="shared" si="158"/>
        <v>102.494933096278</v>
      </c>
      <c r="R772">
        <f t="shared" si="165"/>
        <v>102.494933096278</v>
      </c>
      <c r="S772">
        <f t="shared" si="160"/>
        <v>105.47180002801143</v>
      </c>
      <c r="T772">
        <f t="shared" si="166"/>
        <v>105.47180002801143</v>
      </c>
      <c r="U772" s="3">
        <f t="shared" si="167"/>
        <v>349.56542814085998</v>
      </c>
      <c r="V772">
        <f t="shared" si="159"/>
        <v>668</v>
      </c>
      <c r="W772" s="8">
        <f t="shared" si="161"/>
        <v>50.881987345850007</v>
      </c>
      <c r="X772" s="1">
        <f t="shared" si="168"/>
        <v>50.881987345850007</v>
      </c>
      <c r="Y772" s="18"/>
      <c r="Z772" s="7"/>
      <c r="AA772" s="1"/>
      <c r="AB772" s="1"/>
      <c r="AC772" s="1"/>
    </row>
    <row r="773" spans="1:29" x14ac:dyDescent="0.3">
      <c r="A773">
        <v>772</v>
      </c>
      <c r="E773">
        <v>-151.96498380279999</v>
      </c>
      <c r="F773">
        <v>52.878333916155</v>
      </c>
      <c r="G773">
        <v>365.21905234639001</v>
      </c>
      <c r="H773">
        <v>51.984814580593998</v>
      </c>
      <c r="I773">
        <v>-162.03245375040001</v>
      </c>
      <c r="J773">
        <v>350.04713930038002</v>
      </c>
      <c r="L773" s="1">
        <f t="shared" si="169"/>
        <v>3.4249715102999971</v>
      </c>
      <c r="M773">
        <f t="shared" si="170"/>
        <v>2718.0209645215286</v>
      </c>
      <c r="N773">
        <f t="shared" si="162"/>
        <v>7.550058234782024</v>
      </c>
      <c r="O773">
        <f t="shared" si="163"/>
        <v>51.984814580593998</v>
      </c>
      <c r="P773">
        <f t="shared" si="164"/>
        <v>722</v>
      </c>
      <c r="Q773">
        <f t="shared" si="158"/>
        <v>102.52275153538599</v>
      </c>
      <c r="R773">
        <f t="shared" si="165"/>
        <v>102.52275153538599</v>
      </c>
      <c r="S773">
        <f t="shared" si="160"/>
        <v>105.50189980725358</v>
      </c>
      <c r="T773">
        <f t="shared" si="166"/>
        <v>105.50189980725358</v>
      </c>
      <c r="U773" s="3">
        <f t="shared" si="167"/>
        <v>350.04713930038002</v>
      </c>
      <c r="V773">
        <f t="shared" si="159"/>
        <v>669</v>
      </c>
      <c r="W773" s="8">
        <f t="shared" si="161"/>
        <v>50.867156617820001</v>
      </c>
      <c r="X773" s="1">
        <f t="shared" si="168"/>
        <v>50.867156617820001</v>
      </c>
      <c r="Y773" s="18"/>
      <c r="Z773" s="7"/>
      <c r="AA773" s="1"/>
      <c r="AB773" s="1"/>
      <c r="AC773" s="1"/>
    </row>
    <row r="774" spans="1:29" x14ac:dyDescent="0.3">
      <c r="A774">
        <v>773</v>
      </c>
      <c r="E774">
        <v>-151.7512233599</v>
      </c>
      <c r="F774">
        <v>53.441972818642</v>
      </c>
      <c r="G774">
        <v>362.13503162569998</v>
      </c>
      <c r="H774">
        <v>52.088264862507003</v>
      </c>
      <c r="I774">
        <v>-158.61496027140001</v>
      </c>
      <c r="J774">
        <v>350.53001241418002</v>
      </c>
      <c r="L774" s="1">
        <f t="shared" si="169"/>
        <v>3.4174934790000009</v>
      </c>
      <c r="M774">
        <f t="shared" si="170"/>
        <v>2721.4384580005285</v>
      </c>
      <c r="N774">
        <f t="shared" si="162"/>
        <v>7.5595512722236906</v>
      </c>
      <c r="O774">
        <f t="shared" si="163"/>
        <v>52.088264862507003</v>
      </c>
      <c r="P774">
        <f t="shared" si="164"/>
        <v>723</v>
      </c>
      <c r="Q774">
        <f t="shared" si="158"/>
        <v>102.557302456144</v>
      </c>
      <c r="R774">
        <f t="shared" si="165"/>
        <v>102.557302456144</v>
      </c>
      <c r="S774">
        <f t="shared" si="160"/>
        <v>105.54940914380762</v>
      </c>
      <c r="T774">
        <f t="shared" si="166"/>
        <v>105.54940914380762</v>
      </c>
      <c r="U774" s="3">
        <f t="shared" si="167"/>
        <v>350.53001241418002</v>
      </c>
      <c r="V774">
        <f t="shared" si="159"/>
        <v>670</v>
      </c>
      <c r="W774" s="8">
        <f t="shared" si="161"/>
        <v>50.827533217030009</v>
      </c>
      <c r="X774" s="1">
        <f t="shared" si="168"/>
        <v>50.827533217030009</v>
      </c>
      <c r="Y774" s="18"/>
      <c r="Z774" s="7"/>
      <c r="AA774" s="1"/>
      <c r="AB774" s="1"/>
      <c r="AC774" s="1"/>
    </row>
    <row r="775" spans="1:29" x14ac:dyDescent="0.3">
      <c r="A775">
        <v>774</v>
      </c>
      <c r="E775">
        <v>-151.54354532569999</v>
      </c>
      <c r="F775">
        <v>54.153397780260001</v>
      </c>
      <c r="G775">
        <v>359.08097840403002</v>
      </c>
      <c r="H775">
        <v>52.225816445467999</v>
      </c>
      <c r="I775">
        <v>-155.20605116909999</v>
      </c>
      <c r="J775">
        <v>351.01038942329001</v>
      </c>
      <c r="L775" s="1">
        <f t="shared" si="169"/>
        <v>3.4089091023000151</v>
      </c>
      <c r="M775">
        <f t="shared" si="170"/>
        <v>2724.8473671028287</v>
      </c>
      <c r="N775">
        <f t="shared" si="162"/>
        <v>7.5690204641745238</v>
      </c>
      <c r="O775">
        <f t="shared" si="163"/>
        <v>52.225816445467999</v>
      </c>
      <c r="P775">
        <f t="shared" si="164"/>
        <v>724</v>
      </c>
      <c r="Q775">
        <f t="shared" si="158"/>
        <v>102.57519211941801</v>
      </c>
      <c r="R775">
        <f t="shared" si="165"/>
        <v>102.57519211941801</v>
      </c>
      <c r="S775">
        <f t="shared" si="160"/>
        <v>105.54151966554912</v>
      </c>
      <c r="T775">
        <f t="shared" si="166"/>
        <v>105.54151966554912</v>
      </c>
      <c r="U775" s="3">
        <f t="shared" si="167"/>
        <v>351.01038942329001</v>
      </c>
      <c r="V775">
        <f t="shared" si="159"/>
        <v>671</v>
      </c>
      <c r="W775" s="8">
        <f t="shared" si="161"/>
        <v>50.821013228819993</v>
      </c>
      <c r="X775" s="1">
        <f t="shared" si="168"/>
        <v>50.821013228819993</v>
      </c>
      <c r="Y775" s="18"/>
      <c r="Z775" s="7"/>
      <c r="AA775" s="1"/>
      <c r="AB775" s="1"/>
      <c r="AC775" s="1"/>
    </row>
    <row r="776" spans="1:29" x14ac:dyDescent="0.3">
      <c r="A776">
        <v>775</v>
      </c>
      <c r="E776">
        <v>-151.3626894839</v>
      </c>
      <c r="F776">
        <v>55.028710822283998</v>
      </c>
      <c r="G776">
        <v>356.06800553854998</v>
      </c>
      <c r="H776">
        <v>52.378793399785003</v>
      </c>
      <c r="I776">
        <v>-151.80346329389999</v>
      </c>
      <c r="J776">
        <v>351.46737320236002</v>
      </c>
      <c r="L776" s="1">
        <f t="shared" si="169"/>
        <v>3.4025878751999983</v>
      </c>
      <c r="M776">
        <f t="shared" si="170"/>
        <v>2728.2499549780287</v>
      </c>
      <c r="N776">
        <f t="shared" si="162"/>
        <v>7.5784720971611907</v>
      </c>
      <c r="O776">
        <f t="shared" si="163"/>
        <v>52.378793399785003</v>
      </c>
      <c r="P776">
        <f t="shared" si="164"/>
        <v>725</v>
      </c>
      <c r="Q776">
        <f t="shared" si="158"/>
        <v>102.518323542053</v>
      </c>
      <c r="R776">
        <f t="shared" si="165"/>
        <v>102.518323542053</v>
      </c>
      <c r="S776">
        <f t="shared" si="160"/>
        <v>105.46468604755164</v>
      </c>
      <c r="T776">
        <f t="shared" si="166"/>
        <v>105.46468604755164</v>
      </c>
      <c r="U776" s="3">
        <f t="shared" si="167"/>
        <v>351.46737320236002</v>
      </c>
      <c r="V776">
        <f t="shared" si="159"/>
        <v>672</v>
      </c>
      <c r="W776" s="8">
        <f t="shared" si="161"/>
        <v>50.803660704620029</v>
      </c>
      <c r="X776" s="1">
        <f t="shared" si="168"/>
        <v>50.803660704620029</v>
      </c>
      <c r="Y776" s="18"/>
      <c r="Z776" s="7"/>
      <c r="AA776" s="1"/>
      <c r="AB776" s="1"/>
      <c r="AC776" s="1"/>
    </row>
    <row r="777" spans="1:29" x14ac:dyDescent="0.3">
      <c r="A777">
        <v>776</v>
      </c>
      <c r="E777">
        <v>-151.0914337756</v>
      </c>
      <c r="F777">
        <v>56.093500806118001</v>
      </c>
      <c r="G777">
        <v>353.12383014452001</v>
      </c>
      <c r="H777">
        <v>52.514358408524998</v>
      </c>
      <c r="I777">
        <v>-148.42594806779999</v>
      </c>
      <c r="J777">
        <v>352.01652348640999</v>
      </c>
      <c r="L777" s="1">
        <f t="shared" si="169"/>
        <v>3.3775152261000017</v>
      </c>
      <c r="M777">
        <f t="shared" si="170"/>
        <v>2731.6274702041287</v>
      </c>
      <c r="N777">
        <f t="shared" si="162"/>
        <v>7.5878540839003579</v>
      </c>
      <c r="O777">
        <f t="shared" si="163"/>
        <v>52.514358408524998</v>
      </c>
      <c r="P777">
        <f t="shared" si="164"/>
        <v>726</v>
      </c>
      <c r="Q777">
        <f t="shared" si="158"/>
        <v>102.47658501941399</v>
      </c>
      <c r="R777">
        <f t="shared" si="165"/>
        <v>102.47658501941399</v>
      </c>
      <c r="S777">
        <f t="shared" si="160"/>
        <v>105.43836657763531</v>
      </c>
      <c r="T777">
        <f t="shared" si="166"/>
        <v>105.43836657763531</v>
      </c>
      <c r="U777" s="3">
        <f t="shared" si="167"/>
        <v>352.01652348640999</v>
      </c>
      <c r="V777">
        <f t="shared" si="159"/>
        <v>673</v>
      </c>
      <c r="W777" s="8">
        <f t="shared" si="161"/>
        <v>50.847986485769979</v>
      </c>
      <c r="X777" s="1">
        <f t="shared" si="168"/>
        <v>50.847986485769979</v>
      </c>
      <c r="Y777" s="18"/>
      <c r="Z777" s="7"/>
      <c r="AA777" s="1"/>
      <c r="AB777" s="1"/>
      <c r="AC777" s="1"/>
    </row>
    <row r="778" spans="1:29" x14ac:dyDescent="0.3">
      <c r="A778">
        <v>777</v>
      </c>
      <c r="E778">
        <v>-150.85421274699999</v>
      </c>
      <c r="F778">
        <v>57.336830575442001</v>
      </c>
      <c r="G778">
        <v>350.24738015128003</v>
      </c>
      <c r="H778">
        <v>52.641445800644</v>
      </c>
      <c r="I778">
        <v>-145.0503438849</v>
      </c>
      <c r="J778">
        <v>352.53355246071999</v>
      </c>
      <c r="L778" s="1">
        <f t="shared" si="169"/>
        <v>3.3756041828999912</v>
      </c>
      <c r="M778">
        <f t="shared" si="170"/>
        <v>2735.0030743870288</v>
      </c>
      <c r="N778">
        <f t="shared" si="162"/>
        <v>7.5972307621861912</v>
      </c>
      <c r="O778">
        <f t="shared" si="163"/>
        <v>52.641445800644</v>
      </c>
      <c r="P778">
        <f t="shared" si="164"/>
        <v>727</v>
      </c>
      <c r="Q778">
        <f t="shared" si="158"/>
        <v>102.47792570318299</v>
      </c>
      <c r="R778">
        <f t="shared" si="165"/>
        <v>102.47792570318299</v>
      </c>
      <c r="S778">
        <f t="shared" si="160"/>
        <v>105.44947154525971</v>
      </c>
      <c r="T778">
        <f t="shared" si="166"/>
        <v>105.44947154525971</v>
      </c>
      <c r="U778" s="3">
        <f t="shared" si="167"/>
        <v>352.53355246071999</v>
      </c>
      <c r="V778">
        <f t="shared" si="159"/>
        <v>674</v>
      </c>
      <c r="W778" s="8">
        <f t="shared" si="161"/>
        <v>50.876934292680005</v>
      </c>
      <c r="X778" s="1">
        <f t="shared" si="168"/>
        <v>50.876934292680005</v>
      </c>
      <c r="Y778" s="18"/>
      <c r="Z778" s="7"/>
      <c r="AA778" s="1"/>
      <c r="AB778" s="1"/>
      <c r="AC778" s="1"/>
    </row>
    <row r="779" spans="1:29" x14ac:dyDescent="0.3">
      <c r="A779">
        <v>778</v>
      </c>
      <c r="E779">
        <v>-150.68389127680001</v>
      </c>
      <c r="F779">
        <v>58.767633988535998</v>
      </c>
      <c r="G779">
        <v>347.45447240063999</v>
      </c>
      <c r="H779">
        <v>52.746591466641</v>
      </c>
      <c r="I779">
        <v>-141.67004964949999</v>
      </c>
      <c r="J779">
        <v>352.98482046460998</v>
      </c>
      <c r="L779" s="1">
        <f t="shared" si="169"/>
        <v>3.3802942354000152</v>
      </c>
      <c r="M779">
        <f t="shared" si="170"/>
        <v>2738.3833686224289</v>
      </c>
      <c r="N779">
        <f t="shared" si="162"/>
        <v>7.6066204683956355</v>
      </c>
      <c r="O779">
        <f t="shared" si="163"/>
        <v>52.746591466641</v>
      </c>
      <c r="P779">
        <f t="shared" si="164"/>
        <v>728</v>
      </c>
      <c r="Q779">
        <f t="shared" si="158"/>
        <v>102.479514419515</v>
      </c>
      <c r="R779">
        <f t="shared" si="165"/>
        <v>102.479514419515</v>
      </c>
      <c r="S779">
        <f t="shared" si="160"/>
        <v>105.4448640789107</v>
      </c>
      <c r="T779">
        <f t="shared" si="166"/>
        <v>105.4448640789107</v>
      </c>
      <c r="U779" s="3">
        <f t="shared" si="167"/>
        <v>352.98482046460998</v>
      </c>
      <c r="V779">
        <f t="shared" si="159"/>
        <v>675</v>
      </c>
      <c r="W779" s="8">
        <f t="shared" si="161"/>
        <v>50.751981989469982</v>
      </c>
      <c r="X779" s="1">
        <f t="shared" si="168"/>
        <v>50.751981989469982</v>
      </c>
      <c r="Y779" s="18"/>
      <c r="Z779" s="7"/>
      <c r="AA779" s="1"/>
      <c r="AB779" s="1"/>
      <c r="AC779" s="1"/>
    </row>
    <row r="780" spans="1:29" x14ac:dyDescent="0.3">
      <c r="A780">
        <v>779</v>
      </c>
      <c r="E780">
        <v>-150.4318771959</v>
      </c>
      <c r="F780">
        <v>60.365592722902001</v>
      </c>
      <c r="G780">
        <v>344.76016682723002</v>
      </c>
      <c r="H780">
        <v>52.839603777062003</v>
      </c>
      <c r="I780">
        <v>-138.30952254659999</v>
      </c>
      <c r="J780">
        <v>353.51629276112999</v>
      </c>
      <c r="L780" s="1">
        <f t="shared" si="169"/>
        <v>3.3605271028999937</v>
      </c>
      <c r="M780">
        <f t="shared" si="170"/>
        <v>2741.7438957253289</v>
      </c>
      <c r="N780">
        <f t="shared" si="162"/>
        <v>7.6159552659036915</v>
      </c>
      <c r="O780">
        <f t="shared" si="163"/>
        <v>52.839603777062003</v>
      </c>
      <c r="P780">
        <f t="shared" si="164"/>
        <v>729</v>
      </c>
      <c r="Q780">
        <f t="shared" si="158"/>
        <v>102.490981765219</v>
      </c>
      <c r="R780">
        <f t="shared" si="165"/>
        <v>102.490981765219</v>
      </c>
      <c r="S780">
        <f t="shared" si="160"/>
        <v>105.47467899490303</v>
      </c>
      <c r="T780">
        <f t="shared" si="166"/>
        <v>105.47467899490303</v>
      </c>
      <c r="U780" s="3">
        <f t="shared" si="167"/>
        <v>353.51629276112999</v>
      </c>
      <c r="V780">
        <f t="shared" si="159"/>
        <v>676</v>
      </c>
      <c r="W780" s="8">
        <f t="shared" si="161"/>
        <v>50.765832766699987</v>
      </c>
      <c r="X780" s="1">
        <f t="shared" si="168"/>
        <v>50.765832766699987</v>
      </c>
      <c r="Y780" s="18"/>
      <c r="Z780" s="7"/>
      <c r="AA780" s="1"/>
      <c r="AB780" s="1"/>
      <c r="AC780" s="1"/>
    </row>
    <row r="781" spans="1:29" x14ac:dyDescent="0.3">
      <c r="A781">
        <v>780</v>
      </c>
      <c r="E781">
        <v>-150.20488362059999</v>
      </c>
      <c r="F781">
        <v>62.106000705630997</v>
      </c>
      <c r="G781">
        <v>342.15345938669998</v>
      </c>
      <c r="H781">
        <v>52.947469260139997</v>
      </c>
      <c r="I781">
        <v>-134.9512894115</v>
      </c>
      <c r="J781">
        <v>354.02157197862999</v>
      </c>
      <c r="L781" s="1">
        <f t="shared" si="169"/>
        <v>3.3582331350999937</v>
      </c>
      <c r="M781">
        <f t="shared" si="170"/>
        <v>2745.1021288604288</v>
      </c>
      <c r="N781">
        <f t="shared" si="162"/>
        <v>7.6252836912789688</v>
      </c>
      <c r="O781">
        <f t="shared" si="163"/>
        <v>52.947469260139997</v>
      </c>
      <c r="P781">
        <f t="shared" si="164"/>
        <v>730</v>
      </c>
      <c r="Q781">
        <f t="shared" si="158"/>
        <v>102.48124325180899</v>
      </c>
      <c r="R781">
        <f t="shared" si="165"/>
        <v>102.48124325180899</v>
      </c>
      <c r="S781">
        <f t="shared" si="160"/>
        <v>105.47025002080322</v>
      </c>
      <c r="T781">
        <f t="shared" si="166"/>
        <v>105.47025002080322</v>
      </c>
      <c r="U781" s="3">
        <f t="shared" si="167"/>
        <v>354.02157197862999</v>
      </c>
      <c r="V781">
        <f t="shared" si="159"/>
        <v>677</v>
      </c>
      <c r="W781" s="8">
        <f t="shared" si="161"/>
        <v>50.85324152533002</v>
      </c>
      <c r="X781" s="1">
        <f t="shared" si="168"/>
        <v>50.85324152533002</v>
      </c>
      <c r="Y781" s="18"/>
      <c r="Z781" s="7"/>
      <c r="AA781" s="1"/>
      <c r="AB781" s="1"/>
      <c r="AC781" s="1"/>
    </row>
    <row r="782" spans="1:29" x14ac:dyDescent="0.3">
      <c r="A782">
        <v>781</v>
      </c>
      <c r="E782">
        <v>-150.02094619170001</v>
      </c>
      <c r="F782">
        <v>63.997191578340001</v>
      </c>
      <c r="G782">
        <v>339.65012185977997</v>
      </c>
      <c r="H782">
        <v>53.055417712009998</v>
      </c>
      <c r="I782">
        <v>-131.5920240454</v>
      </c>
      <c r="J782">
        <v>354.48176723866999</v>
      </c>
      <c r="L782" s="1">
        <f t="shared" si="169"/>
        <v>3.3592653661000043</v>
      </c>
      <c r="M782">
        <f t="shared" si="170"/>
        <v>2748.4613942265287</v>
      </c>
      <c r="N782">
        <f t="shared" si="162"/>
        <v>7.6346149839625799</v>
      </c>
      <c r="O782">
        <f t="shared" si="163"/>
        <v>53.055417712009998</v>
      </c>
      <c r="P782">
        <f t="shared" si="164"/>
        <v>731</v>
      </c>
      <c r="Q782">
        <f t="shared" si="158"/>
        <v>102.451732773369</v>
      </c>
      <c r="R782">
        <f t="shared" si="165"/>
        <v>102.451732773369</v>
      </c>
      <c r="S782">
        <f t="shared" si="160"/>
        <v>105.43664003693863</v>
      </c>
      <c r="T782">
        <f t="shared" si="166"/>
        <v>105.43664003693863</v>
      </c>
      <c r="U782" s="3">
        <f t="shared" si="167"/>
        <v>354.48176723866999</v>
      </c>
      <c r="V782">
        <f t="shared" si="159"/>
        <v>678</v>
      </c>
      <c r="W782" s="8">
        <f t="shared" si="161"/>
        <v>50.813229272039962</v>
      </c>
      <c r="X782" s="1">
        <f t="shared" si="168"/>
        <v>50.813229272039962</v>
      </c>
      <c r="Y782" s="18"/>
      <c r="Z782" s="7"/>
      <c r="AA782" s="1"/>
      <c r="AB782" s="1"/>
      <c r="AC782" s="1"/>
    </row>
    <row r="783" spans="1:29" x14ac:dyDescent="0.3">
      <c r="A783">
        <v>782</v>
      </c>
      <c r="E783">
        <v>-149.8053291665</v>
      </c>
      <c r="F783">
        <v>66.044279709460994</v>
      </c>
      <c r="G783">
        <v>337.27541758784002</v>
      </c>
      <c r="H783">
        <v>53.142394229479002</v>
      </c>
      <c r="I783">
        <v>-128.2429010994</v>
      </c>
      <c r="J783">
        <v>354.96949385169</v>
      </c>
      <c r="L783" s="1">
        <f t="shared" si="169"/>
        <v>3.3491229459999943</v>
      </c>
      <c r="M783">
        <f t="shared" si="170"/>
        <v>2751.8105171725288</v>
      </c>
      <c r="N783">
        <f t="shared" si="162"/>
        <v>7.6439181032570245</v>
      </c>
      <c r="O783">
        <f t="shared" si="163"/>
        <v>53.142394229479002</v>
      </c>
      <c r="P783">
        <f t="shared" si="164"/>
        <v>732</v>
      </c>
      <c r="Q783">
        <f t="shared" si="158"/>
        <v>102.45049459361</v>
      </c>
      <c r="R783">
        <f t="shared" si="165"/>
        <v>102.45049459361</v>
      </c>
      <c r="S783">
        <f t="shared" si="160"/>
        <v>105.43831202642932</v>
      </c>
      <c r="T783">
        <f t="shared" si="166"/>
        <v>105.43831202642932</v>
      </c>
      <c r="U783" s="3">
        <f t="shared" si="167"/>
        <v>354.96949385169</v>
      </c>
      <c r="V783">
        <f t="shared" si="159"/>
        <v>679</v>
      </c>
      <c r="W783" s="8">
        <f t="shared" si="161"/>
        <v>50.806486411799995</v>
      </c>
      <c r="X783" s="1">
        <f t="shared" si="168"/>
        <v>50.806486411799995</v>
      </c>
      <c r="Y783" s="18"/>
      <c r="Z783" s="7"/>
      <c r="AA783" s="1"/>
      <c r="AB783" s="1"/>
      <c r="AC783" s="1"/>
    </row>
    <row r="784" spans="1:29" x14ac:dyDescent="0.3">
      <c r="A784">
        <v>783</v>
      </c>
      <c r="E784">
        <v>-149.60859496929999</v>
      </c>
      <c r="F784">
        <v>68.238759660811994</v>
      </c>
      <c r="G784">
        <v>335.03436488750998</v>
      </c>
      <c r="H784">
        <v>53.212565177499997</v>
      </c>
      <c r="I784">
        <v>-124.8942921708</v>
      </c>
      <c r="J784">
        <v>355.43364790633001</v>
      </c>
      <c r="L784" s="1">
        <f t="shared" si="169"/>
        <v>3.3486089286000009</v>
      </c>
      <c r="M784">
        <f t="shared" si="170"/>
        <v>2755.1591261011285</v>
      </c>
      <c r="N784">
        <f t="shared" si="162"/>
        <v>7.6532197947253575</v>
      </c>
      <c r="O784">
        <f t="shared" si="163"/>
        <v>53.212565177499997</v>
      </c>
      <c r="P784">
        <f t="shared" si="164"/>
        <v>733</v>
      </c>
      <c r="Q784">
        <f t="shared" si="158"/>
        <v>102.402121070009</v>
      </c>
      <c r="R784">
        <f t="shared" si="165"/>
        <v>102.402121070009</v>
      </c>
      <c r="S784">
        <f t="shared" si="160"/>
        <v>105.39127684718281</v>
      </c>
      <c r="T784">
        <f t="shared" si="166"/>
        <v>105.39127684718281</v>
      </c>
      <c r="U784" s="3">
        <f t="shared" si="167"/>
        <v>355.43364790633001</v>
      </c>
      <c r="V784">
        <f t="shared" si="159"/>
        <v>680</v>
      </c>
      <c r="W784" s="8">
        <f t="shared" si="161"/>
        <v>50.804310102379986</v>
      </c>
      <c r="X784" s="1">
        <f t="shared" si="168"/>
        <v>50.804310102379986</v>
      </c>
      <c r="Y784" s="18"/>
      <c r="Z784" s="7"/>
      <c r="AA784" s="1"/>
      <c r="AB784" s="1"/>
      <c r="AC784" s="1"/>
    </row>
    <row r="785" spans="1:29" x14ac:dyDescent="0.3">
      <c r="A785">
        <v>784</v>
      </c>
      <c r="E785">
        <v>-149.42239335330001</v>
      </c>
      <c r="F785">
        <v>70.550058749353994</v>
      </c>
      <c r="G785">
        <v>332.91355369389998</v>
      </c>
      <c r="H785">
        <v>53.297139730623996</v>
      </c>
      <c r="I785">
        <v>-121.54887097770001</v>
      </c>
      <c r="J785">
        <v>355.88238716401997</v>
      </c>
      <c r="L785" s="1">
        <f t="shared" si="169"/>
        <v>3.3454211930999946</v>
      </c>
      <c r="M785">
        <f t="shared" si="170"/>
        <v>2758.5045472942284</v>
      </c>
      <c r="N785">
        <f t="shared" si="162"/>
        <v>7.6625126313728567</v>
      </c>
      <c r="O785">
        <f t="shared" si="163"/>
        <v>53.297139730623996</v>
      </c>
      <c r="P785">
        <f t="shared" si="164"/>
        <v>733</v>
      </c>
      <c r="Q785">
        <f t="shared" si="158"/>
        <v>102.48669562313299</v>
      </c>
      <c r="R785">
        <f t="shared" si="165"/>
        <v>102.48669562313299</v>
      </c>
      <c r="S785">
        <f t="shared" si="160"/>
        <v>105.53786770494956</v>
      </c>
      <c r="T785">
        <f t="shared" si="166"/>
        <v>105.53786770494956</v>
      </c>
      <c r="U785" s="3">
        <f t="shared" si="167"/>
        <v>355.88238716401997</v>
      </c>
      <c r="V785">
        <f t="shared" si="159"/>
        <v>681</v>
      </c>
      <c r="W785" s="8">
        <f t="shared" si="161"/>
        <v>50.790873838789992</v>
      </c>
      <c r="X785" s="1">
        <f t="shared" si="168"/>
        <v>50.790873838789992</v>
      </c>
      <c r="Y785" s="18"/>
      <c r="Z785" s="7"/>
      <c r="AA785" s="1"/>
      <c r="AB785" s="1"/>
      <c r="AC785" s="1"/>
    </row>
    <row r="786" spans="1:29" x14ac:dyDescent="0.3">
      <c r="A786">
        <v>785</v>
      </c>
      <c r="E786">
        <v>-149.20872545040001</v>
      </c>
      <c r="F786">
        <v>72.989641641193998</v>
      </c>
      <c r="G786">
        <v>330.94383831290997</v>
      </c>
      <c r="H786">
        <v>53.363902781085002</v>
      </c>
      <c r="I786">
        <v>-118.2105611316</v>
      </c>
      <c r="J786">
        <v>356.35154639404999</v>
      </c>
      <c r="L786" s="1">
        <f t="shared" si="169"/>
        <v>3.3383098461000031</v>
      </c>
      <c r="M786">
        <f t="shared" si="170"/>
        <v>2761.8428571403283</v>
      </c>
      <c r="N786">
        <f t="shared" si="162"/>
        <v>7.6717857142786894</v>
      </c>
      <c r="O786">
        <f t="shared" si="163"/>
        <v>53.363902781085002</v>
      </c>
      <c r="P786">
        <f t="shared" si="164"/>
        <v>734</v>
      </c>
      <c r="Q786">
        <f t="shared" ref="Q786:Q849" si="171">IF(P786=0,0,O786+INDEX(O:O,P786))</f>
        <v>102.41802016116699</v>
      </c>
      <c r="R786">
        <f t="shared" si="165"/>
        <v>102.41802016116699</v>
      </c>
      <c r="S786">
        <f t="shared" si="160"/>
        <v>105.47799766980452</v>
      </c>
      <c r="T786">
        <f t="shared" si="166"/>
        <v>105.47799766980452</v>
      </c>
      <c r="U786" s="3">
        <f t="shared" si="167"/>
        <v>356.35154639404999</v>
      </c>
      <c r="V786">
        <f t="shared" si="159"/>
        <v>682</v>
      </c>
      <c r="W786" s="8">
        <f t="shared" si="161"/>
        <v>50.781589819539988</v>
      </c>
      <c r="X786" s="1">
        <f t="shared" si="168"/>
        <v>50.781589819539988</v>
      </c>
      <c r="Y786" s="18"/>
      <c r="Z786" s="7"/>
      <c r="AA786" s="1"/>
      <c r="AB786" s="1"/>
      <c r="AC786" s="1"/>
    </row>
    <row r="787" spans="1:29" x14ac:dyDescent="0.3">
      <c r="A787">
        <v>786</v>
      </c>
      <c r="E787">
        <v>-148.977310983</v>
      </c>
      <c r="F787">
        <v>75.542113910545993</v>
      </c>
      <c r="G787">
        <v>329.12512043419002</v>
      </c>
      <c r="H787">
        <v>53.422377552367003</v>
      </c>
      <c r="I787">
        <v>-114.8777508708</v>
      </c>
      <c r="J787">
        <v>356.83083171930002</v>
      </c>
      <c r="L787" s="1">
        <f t="shared" si="169"/>
        <v>3.3328102608000023</v>
      </c>
      <c r="M787">
        <f t="shared" si="170"/>
        <v>2765.1756674011285</v>
      </c>
      <c r="N787">
        <f t="shared" si="162"/>
        <v>7.6810435205586902</v>
      </c>
      <c r="O787">
        <f t="shared" si="163"/>
        <v>53.422377552367003</v>
      </c>
      <c r="P787">
        <f t="shared" si="164"/>
        <v>735</v>
      </c>
      <c r="Q787">
        <f t="shared" si="171"/>
        <v>102.44027104224401</v>
      </c>
      <c r="R787">
        <f t="shared" si="165"/>
        <v>102.44027104224401</v>
      </c>
      <c r="S787">
        <f t="shared" si="160"/>
        <v>105.50790365906605</v>
      </c>
      <c r="T787">
        <f t="shared" si="166"/>
        <v>105.50790365906605</v>
      </c>
      <c r="U787" s="3">
        <f t="shared" si="167"/>
        <v>356.83083171930002</v>
      </c>
      <c r="V787">
        <f t="shared" si="159"/>
        <v>683</v>
      </c>
      <c r="W787" s="8">
        <f t="shared" si="161"/>
        <v>50.792868625820006</v>
      </c>
      <c r="X787" s="1">
        <f t="shared" si="168"/>
        <v>50.792868625820006</v>
      </c>
      <c r="Y787" s="18"/>
      <c r="Z787" s="7"/>
      <c r="AA787" s="1"/>
      <c r="AB787" s="1"/>
      <c r="AC787" s="1"/>
    </row>
    <row r="788" spans="1:29" x14ac:dyDescent="0.3">
      <c r="A788">
        <v>787</v>
      </c>
      <c r="E788">
        <v>-148.75306336560001</v>
      </c>
      <c r="F788">
        <v>78.204222614984005</v>
      </c>
      <c r="G788">
        <v>327.47030727714002</v>
      </c>
      <c r="H788">
        <v>53.464899675852998</v>
      </c>
      <c r="I788">
        <v>-111.5453858987</v>
      </c>
      <c r="J788">
        <v>357.29426428914002</v>
      </c>
      <c r="L788" s="1">
        <f t="shared" si="169"/>
        <v>3.3323649720999953</v>
      </c>
      <c r="M788">
        <f t="shared" si="170"/>
        <v>2768.5080323732286</v>
      </c>
      <c r="N788">
        <f t="shared" si="162"/>
        <v>7.6903000899256346</v>
      </c>
      <c r="O788">
        <f t="shared" si="163"/>
        <v>53.464899675852998</v>
      </c>
      <c r="P788">
        <f t="shared" si="164"/>
        <v>736</v>
      </c>
      <c r="Q788">
        <f t="shared" si="171"/>
        <v>102.448941437586</v>
      </c>
      <c r="R788">
        <f t="shared" si="165"/>
        <v>102.448941437586</v>
      </c>
      <c r="S788">
        <f t="shared" si="160"/>
        <v>105.52108228197646</v>
      </c>
      <c r="T788">
        <f t="shared" si="166"/>
        <v>105.52108228197646</v>
      </c>
      <c r="U788" s="3">
        <f t="shared" si="167"/>
        <v>357.29426428914002</v>
      </c>
      <c r="V788">
        <f t="shared" si="159"/>
        <v>684</v>
      </c>
      <c r="W788" s="8">
        <f t="shared" si="161"/>
        <v>50.763947440510037</v>
      </c>
      <c r="X788" s="1">
        <f t="shared" si="168"/>
        <v>50.763947440510037</v>
      </c>
      <c r="Y788" s="18"/>
      <c r="Z788" s="7"/>
      <c r="AA788" s="1"/>
      <c r="AB788" s="1"/>
      <c r="AC788" s="1"/>
    </row>
    <row r="789" spans="1:29" x14ac:dyDescent="0.3">
      <c r="A789">
        <v>788</v>
      </c>
      <c r="E789">
        <v>-148.50775179089999</v>
      </c>
      <c r="F789">
        <v>80.952155217696003</v>
      </c>
      <c r="G789">
        <v>325.96541042960001</v>
      </c>
      <c r="H789">
        <v>53.514392755136001</v>
      </c>
      <c r="I789">
        <v>-108.2179232045</v>
      </c>
      <c r="J789">
        <v>357.77012137201001</v>
      </c>
      <c r="L789" s="1">
        <f t="shared" si="169"/>
        <v>3.3274626942000083</v>
      </c>
      <c r="M789">
        <f t="shared" si="170"/>
        <v>2771.8354950674288</v>
      </c>
      <c r="N789">
        <f t="shared" si="162"/>
        <v>7.6995430418539694</v>
      </c>
      <c r="O789">
        <f t="shared" si="163"/>
        <v>53.514392755136001</v>
      </c>
      <c r="P789">
        <f t="shared" si="164"/>
        <v>737</v>
      </c>
      <c r="Q789">
        <f t="shared" si="171"/>
        <v>102.46576677929201</v>
      </c>
      <c r="R789">
        <f t="shared" si="165"/>
        <v>102.46576677929201</v>
      </c>
      <c r="S789">
        <f t="shared" si="160"/>
        <v>105.54620467198863</v>
      </c>
      <c r="T789">
        <f t="shared" si="166"/>
        <v>105.54620467198863</v>
      </c>
      <c r="U789" s="3">
        <f t="shared" si="167"/>
        <v>357.77012137201001</v>
      </c>
      <c r="V789">
        <f t="shared" si="159"/>
        <v>685</v>
      </c>
      <c r="W789" s="8">
        <f t="shared" si="161"/>
        <v>50.723635482530028</v>
      </c>
      <c r="X789" s="1">
        <f t="shared" si="168"/>
        <v>50.723635482530028</v>
      </c>
      <c r="Y789" s="18"/>
      <c r="Z789" s="7"/>
      <c r="AA789" s="1"/>
      <c r="AB789" s="1"/>
      <c r="AC789" s="1"/>
    </row>
    <row r="790" spans="1:29" x14ac:dyDescent="0.3">
      <c r="A790">
        <v>789</v>
      </c>
      <c r="E790">
        <v>-148.23074413270001</v>
      </c>
      <c r="F790">
        <v>83.782368338786</v>
      </c>
      <c r="G790">
        <v>324.62744493437998</v>
      </c>
      <c r="H790">
        <v>53.556419323848999</v>
      </c>
      <c r="I790">
        <v>-104.896630703</v>
      </c>
      <c r="J790">
        <v>358.26748518682001</v>
      </c>
      <c r="L790" s="1">
        <f t="shared" si="169"/>
        <v>3.3212925014999968</v>
      </c>
      <c r="M790">
        <f t="shared" si="170"/>
        <v>2775.1567875689288</v>
      </c>
      <c r="N790">
        <f t="shared" si="162"/>
        <v>7.7087688543581354</v>
      </c>
      <c r="O790">
        <f t="shared" si="163"/>
        <v>53.556419323848999</v>
      </c>
      <c r="P790">
        <f t="shared" si="164"/>
        <v>738</v>
      </c>
      <c r="Q790">
        <f t="shared" si="171"/>
        <v>102.46668393906501</v>
      </c>
      <c r="R790">
        <f t="shared" si="165"/>
        <v>102.46668393906501</v>
      </c>
      <c r="S790">
        <f t="shared" si="160"/>
        <v>105.55643225115513</v>
      </c>
      <c r="T790">
        <f t="shared" si="166"/>
        <v>105.55643225115513</v>
      </c>
      <c r="U790" s="3">
        <f t="shared" si="167"/>
        <v>358.26748518682001</v>
      </c>
      <c r="V790">
        <f t="shared" si="159"/>
        <v>686</v>
      </c>
      <c r="W790" s="8">
        <f t="shared" si="161"/>
        <v>50.714983606970009</v>
      </c>
      <c r="X790" s="1">
        <f t="shared" si="168"/>
        <v>50.714983606970009</v>
      </c>
      <c r="Y790" s="18"/>
      <c r="Z790" s="7"/>
      <c r="AA790" s="1"/>
      <c r="AB790" s="1"/>
      <c r="AC790" s="1"/>
    </row>
    <row r="791" spans="1:29" x14ac:dyDescent="0.3">
      <c r="A791">
        <v>790</v>
      </c>
      <c r="E791">
        <v>-147.95308060369999</v>
      </c>
      <c r="F791">
        <v>86.686834597168001</v>
      </c>
      <c r="G791">
        <v>323.46018963402003</v>
      </c>
      <c r="H791">
        <v>53.592445212232001</v>
      </c>
      <c r="I791">
        <v>-101.57623033510001</v>
      </c>
      <c r="J791">
        <v>358.75481390378002</v>
      </c>
      <c r="L791" s="1">
        <f t="shared" si="169"/>
        <v>3.3204003678999925</v>
      </c>
      <c r="M791">
        <f t="shared" si="170"/>
        <v>2778.4771879368291</v>
      </c>
      <c r="N791">
        <f t="shared" si="162"/>
        <v>7.7179921887134144</v>
      </c>
      <c r="O791">
        <f t="shared" si="163"/>
        <v>53.592445212232001</v>
      </c>
      <c r="P791">
        <f t="shared" si="164"/>
        <v>739</v>
      </c>
      <c r="Q791">
        <f t="shared" si="171"/>
        <v>102.454534529957</v>
      </c>
      <c r="R791">
        <f t="shared" si="165"/>
        <v>102.454534529957</v>
      </c>
      <c r="S791">
        <f t="shared" si="160"/>
        <v>105.54895342790614</v>
      </c>
      <c r="T791">
        <f t="shared" si="166"/>
        <v>105.54895342790614</v>
      </c>
      <c r="U791" s="3">
        <f t="shared" si="167"/>
        <v>358.75481390378002</v>
      </c>
      <c r="V791">
        <f t="shared" si="159"/>
        <v>687</v>
      </c>
      <c r="W791" s="8">
        <f t="shared" si="161"/>
        <v>50.724599081320036</v>
      </c>
      <c r="X791" s="1">
        <f t="shared" si="168"/>
        <v>50.724599081320036</v>
      </c>
      <c r="Y791" s="18"/>
      <c r="Z791" s="7"/>
      <c r="AA791" s="1"/>
      <c r="AB791" s="1"/>
      <c r="AC791" s="1"/>
    </row>
    <row r="792" spans="1:29" x14ac:dyDescent="0.3">
      <c r="A792">
        <v>791</v>
      </c>
      <c r="E792">
        <v>-147.6654307668</v>
      </c>
      <c r="F792">
        <v>89.654028618583993</v>
      </c>
      <c r="G792">
        <v>322.46578986106999</v>
      </c>
      <c r="H792">
        <v>53.624167048696997</v>
      </c>
      <c r="I792">
        <v>-98.257594316080002</v>
      </c>
      <c r="J792">
        <v>359.24076320577001</v>
      </c>
      <c r="L792" s="1">
        <f t="shared" si="169"/>
        <v>3.3186360190200048</v>
      </c>
      <c r="M792">
        <f t="shared" si="170"/>
        <v>2781.7958239558493</v>
      </c>
      <c r="N792">
        <f t="shared" si="162"/>
        <v>7.7272106220995811</v>
      </c>
      <c r="O792">
        <f t="shared" si="163"/>
        <v>53.624167048696997</v>
      </c>
      <c r="P792">
        <f t="shared" si="164"/>
        <v>740</v>
      </c>
      <c r="Q792">
        <f t="shared" si="171"/>
        <v>102.429764247826</v>
      </c>
      <c r="R792">
        <f t="shared" si="165"/>
        <v>102.429764247826</v>
      </c>
      <c r="S792">
        <f t="shared" si="160"/>
        <v>105.53132213737456</v>
      </c>
      <c r="T792">
        <f t="shared" si="166"/>
        <v>105.53132213737456</v>
      </c>
      <c r="U792" s="3">
        <f t="shared" si="167"/>
        <v>359.24076320577001</v>
      </c>
      <c r="V792">
        <f t="shared" si="159"/>
        <v>688</v>
      </c>
      <c r="W792" s="8">
        <f t="shared" si="161"/>
        <v>50.723211976110008</v>
      </c>
      <c r="X792" s="1">
        <f t="shared" si="168"/>
        <v>50.723211976110008</v>
      </c>
      <c r="Y792" s="18"/>
      <c r="Z792" s="7"/>
      <c r="AA792" s="1"/>
      <c r="AB792" s="1"/>
      <c r="AC792" s="1"/>
    </row>
    <row r="793" spans="1:29" x14ac:dyDescent="0.3">
      <c r="A793">
        <v>792</v>
      </c>
      <c r="E793">
        <v>-147.3629969941</v>
      </c>
      <c r="F793">
        <v>92.672652177133997</v>
      </c>
      <c r="G793">
        <v>321.64546978512999</v>
      </c>
      <c r="H793">
        <v>53.653524391931001</v>
      </c>
      <c r="I793">
        <v>-94.941186148400007</v>
      </c>
      <c r="J793">
        <v>359.72955727054</v>
      </c>
      <c r="L793" s="1">
        <f t="shared" si="169"/>
        <v>3.3164081676799952</v>
      </c>
      <c r="M793">
        <f t="shared" si="170"/>
        <v>2785.1122321235293</v>
      </c>
      <c r="N793">
        <f t="shared" si="162"/>
        <v>7.7364228670098036</v>
      </c>
      <c r="O793">
        <f t="shared" si="163"/>
        <v>53.653524391931001</v>
      </c>
      <c r="P793">
        <f t="shared" si="164"/>
        <v>741</v>
      </c>
      <c r="Q793">
        <f t="shared" si="171"/>
        <v>102.447833222528</v>
      </c>
      <c r="R793">
        <f t="shared" si="165"/>
        <v>102.447833222528</v>
      </c>
      <c r="S793">
        <f t="shared" si="160"/>
        <v>105.55339133444204</v>
      </c>
      <c r="T793">
        <f t="shared" si="166"/>
        <v>105.55339133444204</v>
      </c>
      <c r="U793" s="3">
        <f t="shared" si="167"/>
        <v>359.72955727054</v>
      </c>
      <c r="V793">
        <f t="shared" si="159"/>
        <v>689</v>
      </c>
      <c r="W793" s="8">
        <f t="shared" si="161"/>
        <v>50.728857628790024</v>
      </c>
      <c r="X793" s="1">
        <f t="shared" si="168"/>
        <v>50.728857628790024</v>
      </c>
      <c r="Y793" s="18"/>
      <c r="Z793" s="7"/>
      <c r="AA793" s="1"/>
      <c r="AB793" s="1"/>
      <c r="AC793" s="1"/>
    </row>
    <row r="794" spans="1:29" x14ac:dyDescent="0.3">
      <c r="A794">
        <v>793</v>
      </c>
      <c r="E794">
        <v>-147.03913714879999</v>
      </c>
      <c r="F794">
        <v>95.736547679202005</v>
      </c>
      <c r="G794">
        <v>321.02599253745001</v>
      </c>
      <c r="H794">
        <v>53.655557876739003</v>
      </c>
      <c r="I794">
        <v>-91.626864828590001</v>
      </c>
      <c r="J794">
        <v>360.22541747922998</v>
      </c>
      <c r="L794" s="1">
        <f t="shared" si="169"/>
        <v>3.3143213198100057</v>
      </c>
      <c r="M794">
        <f t="shared" si="170"/>
        <v>2788.4265534433393</v>
      </c>
      <c r="N794">
        <f t="shared" si="162"/>
        <v>7.7456293151203868</v>
      </c>
      <c r="O794">
        <f t="shared" si="163"/>
        <v>53.655557876739003</v>
      </c>
      <c r="P794">
        <f t="shared" si="164"/>
        <v>742</v>
      </c>
      <c r="Q794">
        <f t="shared" si="171"/>
        <v>102.442530589219</v>
      </c>
      <c r="R794">
        <f t="shared" si="165"/>
        <v>102.442530589219</v>
      </c>
      <c r="S794">
        <f t="shared" si="160"/>
        <v>105.55350020260495</v>
      </c>
      <c r="T794">
        <f t="shared" si="166"/>
        <v>105.55350020260495</v>
      </c>
      <c r="U794" s="3">
        <f t="shared" si="167"/>
        <v>360.22541747922998</v>
      </c>
      <c r="V794">
        <f t="shared" si="159"/>
        <v>690</v>
      </c>
      <c r="W794" s="8">
        <f t="shared" si="161"/>
        <v>50.749889803359963</v>
      </c>
      <c r="X794" s="1">
        <f t="shared" si="168"/>
        <v>50.749889803359963</v>
      </c>
      <c r="Y794" s="18"/>
      <c r="Z794" s="7"/>
      <c r="AA794" s="1"/>
      <c r="AB794" s="1"/>
      <c r="AC794" s="1"/>
    </row>
    <row r="795" spans="1:29" x14ac:dyDescent="0.3">
      <c r="A795">
        <v>794</v>
      </c>
      <c r="E795">
        <v>-146.69891961939999</v>
      </c>
      <c r="F795">
        <v>98.830828309362005</v>
      </c>
      <c r="G795">
        <v>320.59481684562002</v>
      </c>
      <c r="H795">
        <v>53.645630255253998</v>
      </c>
      <c r="I795">
        <v>-88.312706363459995</v>
      </c>
      <c r="J795">
        <v>360.72370048683001</v>
      </c>
      <c r="L795" s="1">
        <f t="shared" si="169"/>
        <v>3.3141584651300064</v>
      </c>
      <c r="M795">
        <f t="shared" si="170"/>
        <v>2791.7407119084692</v>
      </c>
      <c r="N795">
        <f t="shared" si="162"/>
        <v>7.7548353108568584</v>
      </c>
      <c r="O795">
        <f t="shared" si="163"/>
        <v>53.645630255253998</v>
      </c>
      <c r="P795">
        <f t="shared" si="164"/>
        <v>743</v>
      </c>
      <c r="Q795">
        <f t="shared" si="171"/>
        <v>102.432296917174</v>
      </c>
      <c r="R795">
        <f t="shared" si="165"/>
        <v>102.432296917174</v>
      </c>
      <c r="S795">
        <f t="shared" si="160"/>
        <v>105.54182361794959</v>
      </c>
      <c r="T795">
        <f t="shared" si="166"/>
        <v>105.54182361794959</v>
      </c>
      <c r="U795" s="3">
        <f t="shared" si="167"/>
        <v>360.72370048683001</v>
      </c>
      <c r="V795">
        <f t="shared" si="159"/>
        <v>691</v>
      </c>
      <c r="W795" s="8">
        <f t="shared" si="161"/>
        <v>50.746489325189998</v>
      </c>
      <c r="X795" s="1">
        <f t="shared" si="168"/>
        <v>50.746489325189998</v>
      </c>
      <c r="Y795" s="18"/>
      <c r="Z795" s="7"/>
      <c r="AA795" s="1"/>
      <c r="AB795" s="1"/>
      <c r="AC795" s="1"/>
    </row>
    <row r="796" spans="1:29" x14ac:dyDescent="0.3">
      <c r="A796">
        <v>795</v>
      </c>
      <c r="E796">
        <v>-146.369626794</v>
      </c>
      <c r="F796">
        <v>101.94527017225001</v>
      </c>
      <c r="G796">
        <v>320.33440621298001</v>
      </c>
      <c r="H796">
        <v>53.644769322915998</v>
      </c>
      <c r="I796">
        <v>-84.994261863890003</v>
      </c>
      <c r="J796">
        <v>361.19822721345002</v>
      </c>
      <c r="L796" s="1">
        <f t="shared" si="169"/>
        <v>3.318444499569992</v>
      </c>
      <c r="M796">
        <f t="shared" si="170"/>
        <v>2795.0591564080391</v>
      </c>
      <c r="N796">
        <f t="shared" si="162"/>
        <v>7.7640532122445531</v>
      </c>
      <c r="O796">
        <f t="shared" si="163"/>
        <v>53.644769322915998</v>
      </c>
      <c r="P796">
        <f t="shared" si="164"/>
        <v>743</v>
      </c>
      <c r="Q796">
        <f t="shared" si="171"/>
        <v>102.431435984836</v>
      </c>
      <c r="R796">
        <f t="shared" si="165"/>
        <v>102.431435984836</v>
      </c>
      <c r="S796">
        <f t="shared" si="160"/>
        <v>105.60960174073931</v>
      </c>
      <c r="T796">
        <f t="shared" si="166"/>
        <v>105.60960174073931</v>
      </c>
      <c r="U796" s="3">
        <f t="shared" si="167"/>
        <v>361.19822721345002</v>
      </c>
      <c r="V796">
        <f t="shared" si="159"/>
        <v>692</v>
      </c>
      <c r="W796" s="8">
        <f t="shared" si="161"/>
        <v>50.718506808020038</v>
      </c>
      <c r="X796" s="1">
        <f t="shared" si="168"/>
        <v>50.718506808020038</v>
      </c>
      <c r="Y796" s="18"/>
      <c r="Z796" s="7"/>
      <c r="AA796" s="1"/>
      <c r="AB796" s="1"/>
      <c r="AC796" s="1"/>
    </row>
    <row r="797" spans="1:29" x14ac:dyDescent="0.3">
      <c r="A797">
        <v>796</v>
      </c>
      <c r="E797">
        <v>-146.02964115890001</v>
      </c>
      <c r="F797">
        <v>105.06857262772</v>
      </c>
      <c r="G797">
        <v>320.26504657496997</v>
      </c>
      <c r="H797">
        <v>53.632335342243998</v>
      </c>
      <c r="I797">
        <v>-81.674831557749997</v>
      </c>
      <c r="J797">
        <v>361.66844566941</v>
      </c>
      <c r="L797" s="1">
        <f t="shared" si="169"/>
        <v>3.3194303061400063</v>
      </c>
      <c r="M797">
        <f t="shared" si="170"/>
        <v>2798.3785867141792</v>
      </c>
      <c r="N797">
        <f t="shared" si="162"/>
        <v>7.7732738519838307</v>
      </c>
      <c r="O797">
        <f t="shared" si="163"/>
        <v>53.632335342243998</v>
      </c>
      <c r="P797">
        <f t="shared" si="164"/>
        <v>744</v>
      </c>
      <c r="Q797">
        <f t="shared" si="171"/>
        <v>102.426449799124</v>
      </c>
      <c r="R797">
        <f t="shared" si="165"/>
        <v>102.426449799124</v>
      </c>
      <c r="S797">
        <f t="shared" si="160"/>
        <v>105.60868983168834</v>
      </c>
      <c r="T797">
        <f t="shared" si="166"/>
        <v>105.60868983168834</v>
      </c>
      <c r="U797" s="3">
        <f t="shared" si="167"/>
        <v>361.66844566941</v>
      </c>
      <c r="V797">
        <f t="shared" si="159"/>
        <v>693</v>
      </c>
      <c r="W797" s="8">
        <f t="shared" si="161"/>
        <v>50.688821471159997</v>
      </c>
      <c r="X797" s="1">
        <f t="shared" si="168"/>
        <v>50.688821471159997</v>
      </c>
      <c r="Y797" s="18"/>
      <c r="Z797" s="7"/>
      <c r="AA797" s="1"/>
      <c r="AB797" s="1"/>
      <c r="AC797" s="1"/>
    </row>
    <row r="798" spans="1:29" x14ac:dyDescent="0.3">
      <c r="A798">
        <v>797</v>
      </c>
      <c r="E798">
        <v>-145.677461403</v>
      </c>
      <c r="F798">
        <v>108.18893652673</v>
      </c>
      <c r="G798">
        <v>320.3898012967</v>
      </c>
      <c r="H798">
        <v>53.605454886008999</v>
      </c>
      <c r="I798">
        <v>-78.353566414420001</v>
      </c>
      <c r="J798">
        <v>362.13512936493998</v>
      </c>
      <c r="L798" s="1">
        <f t="shared" si="169"/>
        <v>3.3212651433299953</v>
      </c>
      <c r="M798">
        <f t="shared" si="170"/>
        <v>2801.6998518575092</v>
      </c>
      <c r="N798">
        <f t="shared" si="162"/>
        <v>7.7824995884930814</v>
      </c>
      <c r="O798">
        <f t="shared" si="163"/>
        <v>53.605454886008999</v>
      </c>
      <c r="P798">
        <f t="shared" si="164"/>
        <v>745</v>
      </c>
      <c r="Q798">
        <f t="shared" si="171"/>
        <v>102.41500627327099</v>
      </c>
      <c r="R798">
        <f t="shared" si="165"/>
        <v>102.41500627327099</v>
      </c>
      <c r="S798">
        <f t="shared" si="160"/>
        <v>105.60595463801161</v>
      </c>
      <c r="T798">
        <f t="shared" si="166"/>
        <v>105.60595463801161</v>
      </c>
      <c r="U798" s="3">
        <f t="shared" si="167"/>
        <v>362.13512936493998</v>
      </c>
      <c r="V798">
        <f t="shared" si="159"/>
        <v>694</v>
      </c>
      <c r="W798" s="8">
        <f t="shared" si="161"/>
        <v>50.666853467159967</v>
      </c>
      <c r="X798" s="1">
        <f t="shared" si="168"/>
        <v>50.666853467159967</v>
      </c>
      <c r="Y798" s="18"/>
      <c r="Z798" s="7"/>
      <c r="AA798" s="1"/>
      <c r="AB798" s="1"/>
      <c r="AC798" s="1"/>
    </row>
    <row r="799" spans="1:29" x14ac:dyDescent="0.3">
      <c r="A799">
        <v>798</v>
      </c>
      <c r="E799">
        <v>-145.2923063074</v>
      </c>
      <c r="F799">
        <v>111.29280111161999</v>
      </c>
      <c r="G799">
        <v>320.69627965875998</v>
      </c>
      <c r="H799">
        <v>53.574043476467999</v>
      </c>
      <c r="I799">
        <v>-75.033425661609996</v>
      </c>
      <c r="J799">
        <v>362.61942168843001</v>
      </c>
      <c r="L799" s="1">
        <f t="shared" si="169"/>
        <v>3.3201407528100049</v>
      </c>
      <c r="M799">
        <f t="shared" si="170"/>
        <v>2805.0199926103192</v>
      </c>
      <c r="N799">
        <f t="shared" si="162"/>
        <v>7.7917222016953307</v>
      </c>
      <c r="O799">
        <f t="shared" si="163"/>
        <v>53.574043476467999</v>
      </c>
      <c r="P799">
        <f t="shared" si="164"/>
        <v>746</v>
      </c>
      <c r="Q799">
        <f t="shared" si="171"/>
        <v>102.419271636384</v>
      </c>
      <c r="R799">
        <f t="shared" si="165"/>
        <v>102.419271636384</v>
      </c>
      <c r="S799">
        <f t="shared" si="160"/>
        <v>105.62097585101401</v>
      </c>
      <c r="T799">
        <f t="shared" si="166"/>
        <v>105.62097585101401</v>
      </c>
      <c r="U799" s="3">
        <f t="shared" si="167"/>
        <v>362.61942168843001</v>
      </c>
      <c r="V799">
        <f t="shared" si="159"/>
        <v>695</v>
      </c>
      <c r="W799" s="8">
        <f t="shared" si="161"/>
        <v>50.680519417660037</v>
      </c>
      <c r="X799" s="1">
        <f t="shared" si="168"/>
        <v>50.680519417660037</v>
      </c>
      <c r="Y799" s="18"/>
      <c r="Z799" s="7"/>
      <c r="AA799" s="1"/>
      <c r="AB799" s="1"/>
      <c r="AC799" s="1"/>
    </row>
    <row r="800" spans="1:29" x14ac:dyDescent="0.3">
      <c r="A800">
        <v>799</v>
      </c>
      <c r="E800">
        <v>-144.87204057490001</v>
      </c>
      <c r="F800">
        <v>114.36767302318</v>
      </c>
      <c r="G800">
        <v>321.19030130608002</v>
      </c>
      <c r="H800">
        <v>53.530394326842</v>
      </c>
      <c r="I800">
        <v>-71.714436829579995</v>
      </c>
      <c r="J800">
        <v>363.12247860602997</v>
      </c>
      <c r="L800" s="1">
        <f t="shared" si="169"/>
        <v>3.3189888320300014</v>
      </c>
      <c r="M800">
        <f t="shared" si="170"/>
        <v>2808.338981442349</v>
      </c>
      <c r="N800">
        <f t="shared" si="162"/>
        <v>7.8009416151176358</v>
      </c>
      <c r="O800">
        <f t="shared" si="163"/>
        <v>53.530394326842</v>
      </c>
      <c r="P800">
        <f t="shared" si="164"/>
        <v>747</v>
      </c>
      <c r="Q800">
        <f t="shared" si="171"/>
        <v>102.423205817767</v>
      </c>
      <c r="R800">
        <f t="shared" si="165"/>
        <v>102.423205817767</v>
      </c>
      <c r="S800">
        <f t="shared" si="160"/>
        <v>105.63316307109181</v>
      </c>
      <c r="T800">
        <f t="shared" si="166"/>
        <v>105.63316307109181</v>
      </c>
      <c r="U800" s="3">
        <f t="shared" si="167"/>
        <v>363.12247860602997</v>
      </c>
      <c r="V800">
        <f t="shared" si="159"/>
        <v>696</v>
      </c>
      <c r="W800" s="8">
        <f t="shared" si="161"/>
        <v>50.688412930479956</v>
      </c>
      <c r="X800" s="1">
        <f t="shared" si="168"/>
        <v>50.688412930479956</v>
      </c>
      <c r="Y800" s="18"/>
      <c r="Z800" s="7"/>
      <c r="AA800" s="1"/>
      <c r="AB800" s="1"/>
      <c r="AC800" s="1"/>
    </row>
    <row r="801" spans="1:29" x14ac:dyDescent="0.3">
      <c r="A801">
        <v>800</v>
      </c>
      <c r="E801">
        <v>-144.4194266291</v>
      </c>
      <c r="F801">
        <v>117.39979785401</v>
      </c>
      <c r="G801">
        <v>321.88130760259003</v>
      </c>
      <c r="H801">
        <v>53.462775974940001</v>
      </c>
      <c r="I801">
        <v>-68.394943407270006</v>
      </c>
      <c r="J801">
        <v>363.64023690406998</v>
      </c>
      <c r="L801" s="1">
        <f t="shared" si="169"/>
        <v>3.3194934223099892</v>
      </c>
      <c r="M801">
        <f t="shared" si="170"/>
        <v>2811.6584748646592</v>
      </c>
      <c r="N801">
        <f t="shared" si="162"/>
        <v>7.8101624301796084</v>
      </c>
      <c r="O801">
        <f t="shared" si="163"/>
        <v>53.462775974940001</v>
      </c>
      <c r="P801">
        <f t="shared" si="164"/>
        <v>748</v>
      </c>
      <c r="Q801">
        <f t="shared" si="171"/>
        <v>102.42004909956501</v>
      </c>
      <c r="R801">
        <f t="shared" si="165"/>
        <v>102.42004909956501</v>
      </c>
      <c r="S801">
        <f t="shared" si="160"/>
        <v>105.63925707509895</v>
      </c>
      <c r="T801">
        <f t="shared" si="166"/>
        <v>105.63925707509895</v>
      </c>
      <c r="U801" s="3">
        <f t="shared" si="167"/>
        <v>363.64023690406998</v>
      </c>
      <c r="V801">
        <f t="shared" si="159"/>
        <v>697</v>
      </c>
      <c r="W801" s="8">
        <f t="shared" si="161"/>
        <v>50.713793513829955</v>
      </c>
      <c r="X801" s="1">
        <f t="shared" si="168"/>
        <v>50.713793513829955</v>
      </c>
      <c r="Y801" s="18"/>
      <c r="Z801" s="7"/>
      <c r="AA801" s="1"/>
      <c r="AB801" s="1"/>
      <c r="AC801" s="1"/>
    </row>
    <row r="802" spans="1:29" x14ac:dyDescent="0.3">
      <c r="A802">
        <v>801</v>
      </c>
      <c r="E802">
        <v>-143.9941186728</v>
      </c>
      <c r="F802">
        <v>120.39368426386</v>
      </c>
      <c r="G802">
        <v>322.73701127103999</v>
      </c>
      <c r="H802">
        <v>53.409179166548</v>
      </c>
      <c r="I802">
        <v>-65.064127193399997</v>
      </c>
      <c r="J802">
        <v>364.11605336814</v>
      </c>
      <c r="L802" s="1">
        <f t="shared" si="169"/>
        <v>3.3308162138700084</v>
      </c>
      <c r="M802">
        <f t="shared" si="170"/>
        <v>2814.9892910785293</v>
      </c>
      <c r="N802">
        <f t="shared" si="162"/>
        <v>7.8194146974403589</v>
      </c>
      <c r="O802">
        <f t="shared" si="163"/>
        <v>53.409179166548</v>
      </c>
      <c r="P802">
        <f t="shared" si="164"/>
        <v>749</v>
      </c>
      <c r="Q802">
        <f t="shared" si="171"/>
        <v>102.427062787919</v>
      </c>
      <c r="R802">
        <f t="shared" si="165"/>
        <v>102.427062787919</v>
      </c>
      <c r="S802">
        <f t="shared" si="160"/>
        <v>105.64680091745181</v>
      </c>
      <c r="T802">
        <f t="shared" si="166"/>
        <v>105.64680091745181</v>
      </c>
      <c r="U802" s="3">
        <f t="shared" si="167"/>
        <v>364.11605336814</v>
      </c>
      <c r="V802">
        <f t="shared" si="159"/>
        <v>698</v>
      </c>
      <c r="W802" s="8">
        <f t="shared" si="161"/>
        <v>50.690280360519978</v>
      </c>
      <c r="X802" s="1">
        <f t="shared" si="168"/>
        <v>50.690280360519978</v>
      </c>
      <c r="Y802" s="18"/>
      <c r="Z802" s="7"/>
      <c r="AA802" s="1"/>
      <c r="AB802" s="1"/>
      <c r="AC802" s="1"/>
    </row>
    <row r="803" spans="1:29" x14ac:dyDescent="0.3">
      <c r="A803">
        <v>802</v>
      </c>
      <c r="E803">
        <v>-143.53518392320001</v>
      </c>
      <c r="F803">
        <v>123.32090051791999</v>
      </c>
      <c r="G803">
        <v>323.78373125979999</v>
      </c>
      <c r="H803">
        <v>53.331638222233003</v>
      </c>
      <c r="I803">
        <v>-61.732633822849998</v>
      </c>
      <c r="J803">
        <v>364.60735763581999</v>
      </c>
      <c r="L803" s="1">
        <f t="shared" si="169"/>
        <v>3.3314933705499996</v>
      </c>
      <c r="M803">
        <f t="shared" si="170"/>
        <v>2818.3207844490794</v>
      </c>
      <c r="N803">
        <f t="shared" si="162"/>
        <v>7.8286688456918876</v>
      </c>
      <c r="O803">
        <f t="shared" si="163"/>
        <v>53.331638222233003</v>
      </c>
      <c r="P803">
        <f t="shared" si="164"/>
        <v>750</v>
      </c>
      <c r="Q803">
        <f t="shared" si="171"/>
        <v>102.414416352042</v>
      </c>
      <c r="R803">
        <f t="shared" si="165"/>
        <v>102.414416352042</v>
      </c>
      <c r="S803">
        <f t="shared" si="160"/>
        <v>105.64223238838274</v>
      </c>
      <c r="T803">
        <f t="shared" si="166"/>
        <v>105.64223238838274</v>
      </c>
      <c r="U803" s="3">
        <f t="shared" si="167"/>
        <v>364.60735763581999</v>
      </c>
      <c r="V803">
        <f t="shared" si="159"/>
        <v>699</v>
      </c>
      <c r="W803" s="8">
        <f t="shared" si="161"/>
        <v>50.676507324530007</v>
      </c>
      <c r="X803" s="1">
        <f t="shared" si="168"/>
        <v>50.676507324530007</v>
      </c>
      <c r="Y803" s="18"/>
      <c r="Z803" s="7"/>
      <c r="AA803" s="1"/>
      <c r="AB803" s="1"/>
      <c r="AC803" s="1"/>
    </row>
    <row r="804" spans="1:29" x14ac:dyDescent="0.3">
      <c r="A804">
        <v>803</v>
      </c>
      <c r="E804">
        <v>-143.0458992666</v>
      </c>
      <c r="F804">
        <v>126.17816497050001</v>
      </c>
      <c r="G804">
        <v>324.99754552401998</v>
      </c>
      <c r="H804">
        <v>53.251483906007003</v>
      </c>
      <c r="I804">
        <v>-58.398378590130001</v>
      </c>
      <c r="J804">
        <v>365.11267130933999</v>
      </c>
      <c r="L804" s="1">
        <f t="shared" si="169"/>
        <v>3.3342552327199968</v>
      </c>
      <c r="M804">
        <f t="shared" si="170"/>
        <v>2821.6550396817993</v>
      </c>
      <c r="N804">
        <f t="shared" si="162"/>
        <v>7.8379306657827756</v>
      </c>
      <c r="O804">
        <f t="shared" si="163"/>
        <v>53.251483906007003</v>
      </c>
      <c r="P804">
        <f t="shared" si="164"/>
        <v>751</v>
      </c>
      <c r="Q804">
        <f t="shared" si="171"/>
        <v>102.418672468522</v>
      </c>
      <c r="R804">
        <f t="shared" si="165"/>
        <v>102.418672468522</v>
      </c>
      <c r="S804">
        <f t="shared" si="160"/>
        <v>105.65360656912623</v>
      </c>
      <c r="T804">
        <f t="shared" si="166"/>
        <v>105.65360656912623</v>
      </c>
      <c r="U804" s="3">
        <f t="shared" si="167"/>
        <v>365.11267130933999</v>
      </c>
      <c r="V804">
        <f t="shared" si="159"/>
        <v>700</v>
      </c>
      <c r="W804" s="8">
        <f t="shared" si="161"/>
        <v>50.688776139439994</v>
      </c>
      <c r="X804" s="1">
        <f t="shared" si="168"/>
        <v>50.688776139439994</v>
      </c>
      <c r="Y804" s="18"/>
      <c r="Z804" s="7"/>
      <c r="AA804" s="1"/>
      <c r="AB804" s="1"/>
      <c r="AC804" s="1"/>
    </row>
    <row r="805" spans="1:29" x14ac:dyDescent="0.3">
      <c r="A805">
        <v>804</v>
      </c>
      <c r="E805">
        <v>-142.57743036299999</v>
      </c>
      <c r="F805">
        <v>128.96600208250001</v>
      </c>
      <c r="G805">
        <v>326.36994752916002</v>
      </c>
      <c r="H805">
        <v>53.181664607925001</v>
      </c>
      <c r="I805">
        <v>-55.053324697359997</v>
      </c>
      <c r="J805">
        <v>365.58173830158</v>
      </c>
      <c r="L805" s="1">
        <f t="shared" si="169"/>
        <v>3.3450538927700038</v>
      </c>
      <c r="M805">
        <f t="shared" si="170"/>
        <v>2825.0000935745693</v>
      </c>
      <c r="N805">
        <f t="shared" si="162"/>
        <v>7.8472224821515812</v>
      </c>
      <c r="O805">
        <f t="shared" si="163"/>
        <v>53.181664607925001</v>
      </c>
      <c r="P805">
        <f t="shared" si="164"/>
        <v>752</v>
      </c>
      <c r="Q805">
        <f t="shared" si="171"/>
        <v>102.43098287998299</v>
      </c>
      <c r="R805">
        <f t="shared" si="165"/>
        <v>102.43098287998299</v>
      </c>
      <c r="S805">
        <f t="shared" si="160"/>
        <v>105.66197736456056</v>
      </c>
      <c r="T805">
        <f t="shared" si="166"/>
        <v>105.66197736456056</v>
      </c>
      <c r="U805" s="3">
        <f t="shared" si="167"/>
        <v>365.58173830158</v>
      </c>
      <c r="V805">
        <f t="shared" si="159"/>
        <v>701</v>
      </c>
      <c r="W805" s="8">
        <f t="shared" si="161"/>
        <v>50.686102159139978</v>
      </c>
      <c r="X805" s="1">
        <f t="shared" si="168"/>
        <v>50.686102159139978</v>
      </c>
      <c r="Y805" s="18"/>
      <c r="Z805" s="7"/>
      <c r="AA805" s="1"/>
      <c r="AB805" s="1"/>
      <c r="AC805" s="1"/>
    </row>
    <row r="806" spans="1:29" x14ac:dyDescent="0.3">
      <c r="A806">
        <v>805</v>
      </c>
      <c r="E806">
        <v>-142.10168329839999</v>
      </c>
      <c r="F806">
        <v>131.66123203416001</v>
      </c>
      <c r="G806">
        <v>327.91431690818001</v>
      </c>
      <c r="H806">
        <v>53.098220057191</v>
      </c>
      <c r="I806">
        <v>-51.702033194499997</v>
      </c>
      <c r="J806">
        <v>366.04053112821998</v>
      </c>
      <c r="L806" s="1">
        <f t="shared" si="169"/>
        <v>3.3512915028600005</v>
      </c>
      <c r="M806">
        <f t="shared" si="170"/>
        <v>2828.3513850774293</v>
      </c>
      <c r="N806">
        <f t="shared" si="162"/>
        <v>7.8565316252150819</v>
      </c>
      <c r="O806">
        <f t="shared" si="163"/>
        <v>53.098220057191</v>
      </c>
      <c r="P806">
        <f t="shared" si="164"/>
        <v>753</v>
      </c>
      <c r="Q806">
        <f t="shared" si="171"/>
        <v>102.430171507625</v>
      </c>
      <c r="R806">
        <f t="shared" si="165"/>
        <v>102.430171507625</v>
      </c>
      <c r="S806">
        <f t="shared" si="160"/>
        <v>105.65326717154743</v>
      </c>
      <c r="T806">
        <f t="shared" si="166"/>
        <v>105.65326717154743</v>
      </c>
      <c r="U806" s="3">
        <f t="shared" si="167"/>
        <v>366.04053112821998</v>
      </c>
      <c r="V806">
        <f t="shared" si="159"/>
        <v>702</v>
      </c>
      <c r="W806" s="8">
        <f t="shared" si="161"/>
        <v>50.63893215344001</v>
      </c>
      <c r="X806" s="1">
        <f t="shared" si="168"/>
        <v>50.63893215344001</v>
      </c>
      <c r="Y806" s="18"/>
      <c r="Z806" s="7"/>
      <c r="AA806" s="1"/>
      <c r="AB806" s="1"/>
      <c r="AC806" s="1"/>
    </row>
    <row r="807" spans="1:29" x14ac:dyDescent="0.3">
      <c r="A807">
        <v>806</v>
      </c>
      <c r="E807">
        <v>-141.58664764509999</v>
      </c>
      <c r="F807">
        <v>134.24714150702999</v>
      </c>
      <c r="G807">
        <v>329.62401385285</v>
      </c>
      <c r="H807">
        <v>52.995742638956997</v>
      </c>
      <c r="I807">
        <v>-48.349062176959997</v>
      </c>
      <c r="J807">
        <v>366.52078882538001</v>
      </c>
      <c r="L807" s="1">
        <f t="shared" si="169"/>
        <v>3.3529710175399998</v>
      </c>
      <c r="M807">
        <f t="shared" si="170"/>
        <v>2831.7043560949692</v>
      </c>
      <c r="N807">
        <f t="shared" si="162"/>
        <v>7.8658454335971362</v>
      </c>
      <c r="O807">
        <f t="shared" si="163"/>
        <v>52.995742638956997</v>
      </c>
      <c r="P807">
        <f t="shared" si="164"/>
        <v>754</v>
      </c>
      <c r="Q807">
        <f t="shared" si="171"/>
        <v>102.45530080511699</v>
      </c>
      <c r="R807">
        <f t="shared" si="165"/>
        <v>102.45530080511699</v>
      </c>
      <c r="S807">
        <f t="shared" si="160"/>
        <v>105.6795793677947</v>
      </c>
      <c r="T807">
        <f t="shared" si="166"/>
        <v>105.6795793677947</v>
      </c>
      <c r="U807" s="3">
        <f t="shared" si="167"/>
        <v>366.52078882538001</v>
      </c>
      <c r="V807">
        <f t="shared" si="159"/>
        <v>703</v>
      </c>
      <c r="W807" s="8">
        <f t="shared" si="161"/>
        <v>50.625839716380028</v>
      </c>
      <c r="X807" s="1">
        <f t="shared" si="168"/>
        <v>50.625839716380028</v>
      </c>
      <c r="Y807" s="18"/>
      <c r="Z807" s="7"/>
      <c r="AA807" s="1"/>
      <c r="AB807" s="1"/>
      <c r="AC807" s="1"/>
    </row>
    <row r="808" spans="1:29" x14ac:dyDescent="0.3">
      <c r="A808">
        <v>807</v>
      </c>
      <c r="E808">
        <v>-141.01262625730001</v>
      </c>
      <c r="F808">
        <v>136.72997214997</v>
      </c>
      <c r="G808">
        <v>331.46302171677002</v>
      </c>
      <c r="H808">
        <v>52.905199265657998</v>
      </c>
      <c r="I808">
        <v>-44.997220048000003</v>
      </c>
      <c r="J808">
        <v>367.04526819436001</v>
      </c>
      <c r="L808" s="1">
        <f t="shared" si="169"/>
        <v>3.3518421289599942</v>
      </c>
      <c r="M808">
        <f t="shared" si="170"/>
        <v>2835.0561982239292</v>
      </c>
      <c r="N808">
        <f t="shared" si="162"/>
        <v>7.875156106177581</v>
      </c>
      <c r="O808">
        <f t="shared" si="163"/>
        <v>52.905199265657998</v>
      </c>
      <c r="P808">
        <f t="shared" si="164"/>
        <v>755</v>
      </c>
      <c r="Q808">
        <f t="shared" si="171"/>
        <v>102.49612561307299</v>
      </c>
      <c r="R808">
        <f t="shared" si="165"/>
        <v>102.49612561307299</v>
      </c>
      <c r="S808">
        <f t="shared" si="160"/>
        <v>105.73521668357424</v>
      </c>
      <c r="T808">
        <f t="shared" si="166"/>
        <v>105.73521668357424</v>
      </c>
      <c r="U808" s="3">
        <f t="shared" si="167"/>
        <v>367.04526819436001</v>
      </c>
      <c r="V808">
        <f t="shared" si="159"/>
        <v>704</v>
      </c>
      <c r="W808" s="8">
        <f t="shared" si="161"/>
        <v>50.669652894230012</v>
      </c>
      <c r="X808" s="1">
        <f t="shared" si="168"/>
        <v>50.669652894230012</v>
      </c>
      <c r="Y808" s="18"/>
      <c r="Z808" s="7"/>
      <c r="AA808" s="1"/>
      <c r="AB808" s="1"/>
      <c r="AC808" s="1"/>
    </row>
    <row r="809" spans="1:29" x14ac:dyDescent="0.3">
      <c r="A809">
        <v>808</v>
      </c>
      <c r="E809">
        <v>-140.43805630739999</v>
      </c>
      <c r="F809">
        <v>139.10339973281</v>
      </c>
      <c r="G809">
        <v>333.44084435859003</v>
      </c>
      <c r="H809">
        <v>52.82003252893</v>
      </c>
      <c r="I809">
        <v>-41.637072024989997</v>
      </c>
      <c r="J809">
        <v>367.55475079933001</v>
      </c>
      <c r="L809" s="1">
        <f t="shared" si="169"/>
        <v>3.3601480230100051</v>
      </c>
      <c r="M809">
        <f t="shared" si="170"/>
        <v>2838.4163462469392</v>
      </c>
      <c r="N809">
        <f t="shared" si="162"/>
        <v>7.8844898506859424</v>
      </c>
      <c r="O809">
        <f t="shared" si="163"/>
        <v>52.82003252893</v>
      </c>
      <c r="P809">
        <f t="shared" si="164"/>
        <v>755</v>
      </c>
      <c r="Q809">
        <f t="shared" si="171"/>
        <v>102.41095887634501</v>
      </c>
      <c r="R809">
        <f t="shared" si="165"/>
        <v>102.41095887634501</v>
      </c>
      <c r="S809">
        <f t="shared" si="160"/>
        <v>105.73615727520614</v>
      </c>
      <c r="T809">
        <f t="shared" si="166"/>
        <v>105.73615727520614</v>
      </c>
      <c r="U809" s="3">
        <f t="shared" si="167"/>
        <v>367.55475079933001</v>
      </c>
      <c r="V809">
        <f t="shared" si="159"/>
        <v>705</v>
      </c>
      <c r="W809" s="8">
        <f t="shared" si="161"/>
        <v>50.693442010880005</v>
      </c>
      <c r="X809" s="1">
        <f t="shared" si="168"/>
        <v>50.693442010880005</v>
      </c>
      <c r="Y809" s="18"/>
      <c r="Z809" s="7"/>
      <c r="AA809" s="1"/>
      <c r="AB809" s="1"/>
      <c r="AC809" s="1"/>
    </row>
    <row r="810" spans="1:29" x14ac:dyDescent="0.3">
      <c r="A810">
        <v>809</v>
      </c>
      <c r="E810">
        <v>-139.880115211</v>
      </c>
      <c r="F810">
        <v>141.35112649972001</v>
      </c>
      <c r="G810">
        <v>335.56532283806001</v>
      </c>
      <c r="H810">
        <v>52.726114253822999</v>
      </c>
      <c r="I810">
        <v>-38.265399688560002</v>
      </c>
      <c r="J810">
        <v>368.03084225598002</v>
      </c>
      <c r="L810" s="1">
        <f t="shared" si="169"/>
        <v>3.3716723364299952</v>
      </c>
      <c r="M810">
        <f t="shared" si="170"/>
        <v>2841.7880185833692</v>
      </c>
      <c r="N810">
        <f t="shared" si="162"/>
        <v>7.8938556071760253</v>
      </c>
      <c r="O810">
        <f t="shared" si="163"/>
        <v>52.726114253822999</v>
      </c>
      <c r="P810">
        <f t="shared" si="164"/>
        <v>756</v>
      </c>
      <c r="Q810">
        <f t="shared" si="171"/>
        <v>102.43067148105</v>
      </c>
      <c r="R810">
        <f t="shared" si="165"/>
        <v>102.43067148105</v>
      </c>
      <c r="S810">
        <f t="shared" si="160"/>
        <v>105.76222981010515</v>
      </c>
      <c r="T810">
        <f t="shared" si="166"/>
        <v>105.76222981010515</v>
      </c>
      <c r="U810" s="3">
        <f t="shared" si="167"/>
        <v>368.03084225598002</v>
      </c>
      <c r="V810">
        <f t="shared" si="159"/>
        <v>706</v>
      </c>
      <c r="W810" s="8">
        <f t="shared" si="161"/>
        <v>50.687025102270013</v>
      </c>
      <c r="X810" s="1">
        <f t="shared" si="168"/>
        <v>50.687025102270013</v>
      </c>
      <c r="Y810" s="18"/>
      <c r="Z810" s="7"/>
      <c r="AA810" s="1"/>
      <c r="AB810" s="1"/>
      <c r="AC810" s="1"/>
    </row>
    <row r="811" spans="1:29" x14ac:dyDescent="0.3">
      <c r="A811">
        <v>810</v>
      </c>
      <c r="E811">
        <v>-139.3361135792</v>
      </c>
      <c r="F811">
        <v>143.45632715924</v>
      </c>
      <c r="G811">
        <v>337.83436683364999</v>
      </c>
      <c r="H811">
        <v>52.614221462426002</v>
      </c>
      <c r="I811">
        <v>-34.882856729789999</v>
      </c>
      <c r="J811">
        <v>368.47570966388997</v>
      </c>
      <c r="L811" s="1">
        <f t="shared" si="169"/>
        <v>3.3825429587700029</v>
      </c>
      <c r="M811">
        <f t="shared" si="170"/>
        <v>2845.1705615421392</v>
      </c>
      <c r="N811">
        <f t="shared" si="162"/>
        <v>7.9032515598392754</v>
      </c>
      <c r="O811">
        <f t="shared" si="163"/>
        <v>52.614221462426002</v>
      </c>
      <c r="P811">
        <f t="shared" si="164"/>
        <v>757</v>
      </c>
      <c r="Q811">
        <f t="shared" si="171"/>
        <v>102.437407877103</v>
      </c>
      <c r="R811">
        <f t="shared" si="165"/>
        <v>102.437407877103</v>
      </c>
      <c r="S811">
        <f t="shared" si="160"/>
        <v>105.76000700527277</v>
      </c>
      <c r="T811">
        <f t="shared" si="166"/>
        <v>105.76000700527277</v>
      </c>
      <c r="U811" s="3">
        <f t="shared" si="167"/>
        <v>368.47570966388997</v>
      </c>
      <c r="V811">
        <f t="shared" si="159"/>
        <v>707</v>
      </c>
      <c r="W811" s="8">
        <f t="shared" si="161"/>
        <v>50.631707677509951</v>
      </c>
      <c r="X811" s="1">
        <f t="shared" si="168"/>
        <v>50.631707677509951</v>
      </c>
      <c r="Y811" s="18"/>
      <c r="Z811" s="7"/>
      <c r="AA811" s="1"/>
      <c r="AB811" s="1"/>
      <c r="AC811" s="1"/>
    </row>
    <row r="812" spans="1:29" x14ac:dyDescent="0.3">
      <c r="A812">
        <v>811</v>
      </c>
      <c r="E812">
        <v>-138.69033965290001</v>
      </c>
      <c r="F812">
        <v>145.42274432833</v>
      </c>
      <c r="G812">
        <v>340.19913911957002</v>
      </c>
      <c r="H812">
        <v>52.510243920929</v>
      </c>
      <c r="I812">
        <v>-31.50827551974</v>
      </c>
      <c r="J812">
        <v>369.00866386256001</v>
      </c>
      <c r="L812" s="1">
        <f t="shared" si="169"/>
        <v>3.3745812100499997</v>
      </c>
      <c r="M812">
        <f t="shared" si="170"/>
        <v>2848.5451427521893</v>
      </c>
      <c r="N812">
        <f t="shared" si="162"/>
        <v>7.9126253965338593</v>
      </c>
      <c r="O812">
        <f t="shared" si="163"/>
        <v>52.510243920929</v>
      </c>
      <c r="P812">
        <f t="shared" si="164"/>
        <v>758</v>
      </c>
      <c r="Q812">
        <f t="shared" si="171"/>
        <v>102.4583402473</v>
      </c>
      <c r="R812">
        <f t="shared" si="165"/>
        <v>102.4583402473</v>
      </c>
      <c r="S812">
        <f t="shared" si="160"/>
        <v>105.79525187236725</v>
      </c>
      <c r="T812">
        <f t="shared" si="166"/>
        <v>105.79525187236725</v>
      </c>
      <c r="U812" s="3">
        <f t="shared" si="167"/>
        <v>369.00866386256001</v>
      </c>
      <c r="V812">
        <f t="shared" si="159"/>
        <v>708</v>
      </c>
      <c r="W812" s="8">
        <f t="shared" si="161"/>
        <v>50.682620265470007</v>
      </c>
      <c r="X812" s="1">
        <f t="shared" si="168"/>
        <v>50.682620265470007</v>
      </c>
      <c r="Y812" s="18"/>
      <c r="Z812" s="7"/>
      <c r="AA812" s="1"/>
      <c r="AB812" s="1"/>
      <c r="AC812" s="1"/>
    </row>
    <row r="813" spans="1:29" x14ac:dyDescent="0.3">
      <c r="A813">
        <v>812</v>
      </c>
      <c r="E813">
        <v>-138.04006045049999</v>
      </c>
      <c r="F813">
        <v>147.21590149682001</v>
      </c>
      <c r="G813">
        <v>342.69674240251999</v>
      </c>
      <c r="H813">
        <v>52.370902956904999</v>
      </c>
      <c r="I813">
        <v>-28.124878162729999</v>
      </c>
      <c r="J813">
        <v>369.52846470514999</v>
      </c>
      <c r="L813" s="1">
        <f t="shared" si="169"/>
        <v>3.3833973570100007</v>
      </c>
      <c r="M813">
        <f t="shared" si="170"/>
        <v>2851.9285401091993</v>
      </c>
      <c r="N813">
        <f t="shared" si="162"/>
        <v>7.9220237225255534</v>
      </c>
      <c r="O813">
        <f t="shared" si="163"/>
        <v>52.370902956904999</v>
      </c>
      <c r="P813">
        <f t="shared" si="164"/>
        <v>759</v>
      </c>
      <c r="Q813">
        <f t="shared" si="171"/>
        <v>102.44773438751</v>
      </c>
      <c r="R813">
        <f t="shared" si="165"/>
        <v>102.44773438751</v>
      </c>
      <c r="S813">
        <f t="shared" si="160"/>
        <v>105.79784813292942</v>
      </c>
      <c r="T813">
        <f t="shared" si="166"/>
        <v>105.79784813292942</v>
      </c>
      <c r="U813" s="3">
        <f t="shared" si="167"/>
        <v>369.52846470514999</v>
      </c>
      <c r="V813">
        <f t="shared" si="159"/>
        <v>709</v>
      </c>
      <c r="W813" s="8">
        <f t="shared" si="161"/>
        <v>50.720775486599962</v>
      </c>
      <c r="X813" s="1">
        <f t="shared" si="168"/>
        <v>50.720775486599962</v>
      </c>
      <c r="Y813" s="18"/>
      <c r="Z813" s="7"/>
      <c r="AA813" s="1"/>
      <c r="AB813" s="1"/>
      <c r="AC813" s="1"/>
    </row>
    <row r="814" spans="1:29" x14ac:dyDescent="0.3">
      <c r="A814">
        <v>813</v>
      </c>
      <c r="E814">
        <v>-137.41947247440001</v>
      </c>
      <c r="F814">
        <v>148.88099835361999</v>
      </c>
      <c r="G814">
        <v>345.28889988524998</v>
      </c>
      <c r="H814">
        <v>52.258788470383998</v>
      </c>
      <c r="I814">
        <v>-24.724563893119999</v>
      </c>
      <c r="J814">
        <v>370.00594622297001</v>
      </c>
      <c r="L814" s="1">
        <f t="shared" si="169"/>
        <v>3.4003142696099999</v>
      </c>
      <c r="M814">
        <f t="shared" si="170"/>
        <v>2855.3288543788094</v>
      </c>
      <c r="N814">
        <f t="shared" si="162"/>
        <v>7.9314690399411374</v>
      </c>
      <c r="O814">
        <f t="shared" si="163"/>
        <v>52.258788470383998</v>
      </c>
      <c r="P814">
        <f t="shared" si="164"/>
        <v>760</v>
      </c>
      <c r="Q814">
        <f t="shared" si="171"/>
        <v>102.465738244837</v>
      </c>
      <c r="R814">
        <f t="shared" si="165"/>
        <v>102.465738244837</v>
      </c>
      <c r="S814">
        <f t="shared" si="160"/>
        <v>105.81436606608447</v>
      </c>
      <c r="T814">
        <f t="shared" si="166"/>
        <v>105.81436606608447</v>
      </c>
      <c r="U814" s="3">
        <f t="shared" si="167"/>
        <v>370.00594622297001</v>
      </c>
      <c r="V814">
        <f t="shared" si="159"/>
        <v>710</v>
      </c>
      <c r="W814" s="8">
        <f t="shared" si="161"/>
        <v>50.703097471679996</v>
      </c>
      <c r="X814" s="1">
        <f t="shared" si="168"/>
        <v>50.703097471679996</v>
      </c>
      <c r="Y814" s="18"/>
      <c r="Z814" s="7"/>
      <c r="AA814" s="1"/>
      <c r="AB814" s="1"/>
      <c r="AC814" s="1"/>
    </row>
    <row r="815" spans="1:29" x14ac:dyDescent="0.3">
      <c r="A815">
        <v>814</v>
      </c>
      <c r="E815">
        <v>-136.77323614560001</v>
      </c>
      <c r="F815">
        <v>150.35824486151</v>
      </c>
      <c r="G815">
        <v>347.98615812137001</v>
      </c>
      <c r="H815">
        <v>52.114586569255003</v>
      </c>
      <c r="I815">
        <v>-21.319311914979998</v>
      </c>
      <c r="J815">
        <v>370.49296630571001</v>
      </c>
      <c r="L815" s="1">
        <f t="shared" si="169"/>
        <v>3.4052519781400008</v>
      </c>
      <c r="M815">
        <f t="shared" si="170"/>
        <v>2858.7341063569493</v>
      </c>
      <c r="N815">
        <f t="shared" si="162"/>
        <v>7.9409280732137484</v>
      </c>
      <c r="O815">
        <f t="shared" si="163"/>
        <v>52.114586569255003</v>
      </c>
      <c r="P815">
        <f t="shared" si="164"/>
        <v>761</v>
      </c>
      <c r="Q815">
        <f t="shared" si="171"/>
        <v>102.497659305323</v>
      </c>
      <c r="R815">
        <f t="shared" si="165"/>
        <v>102.497659305323</v>
      </c>
      <c r="S815">
        <f t="shared" si="160"/>
        <v>105.84500806022143</v>
      </c>
      <c r="T815">
        <f t="shared" si="166"/>
        <v>105.84500806022143</v>
      </c>
      <c r="U815" s="3">
        <f t="shared" si="167"/>
        <v>370.49296630571001</v>
      </c>
      <c r="V815">
        <f t="shared" si="159"/>
        <v>711</v>
      </c>
      <c r="W815" s="8">
        <f t="shared" si="161"/>
        <v>50.724771989190003</v>
      </c>
      <c r="X815" s="1">
        <f t="shared" si="168"/>
        <v>50.724771989190003</v>
      </c>
      <c r="Y815" s="18"/>
      <c r="Z815" s="7"/>
      <c r="AA815" s="1"/>
      <c r="AB815" s="1"/>
      <c r="AC815" s="1"/>
    </row>
    <row r="816" spans="1:29" x14ac:dyDescent="0.3">
      <c r="A816">
        <v>815</v>
      </c>
      <c r="E816">
        <v>-136.09707068910001</v>
      </c>
      <c r="F816">
        <v>151.66105791804</v>
      </c>
      <c r="G816">
        <v>350.76492997698</v>
      </c>
      <c r="H816">
        <v>51.960931656985998</v>
      </c>
      <c r="I816">
        <v>-17.907487652859999</v>
      </c>
      <c r="J816">
        <v>370.99622075872998</v>
      </c>
      <c r="L816" s="1">
        <f t="shared" si="169"/>
        <v>3.4118242621199997</v>
      </c>
      <c r="M816">
        <f t="shared" si="170"/>
        <v>2862.1459306190691</v>
      </c>
      <c r="N816">
        <f t="shared" si="162"/>
        <v>7.9504053628307476</v>
      </c>
      <c r="O816">
        <f t="shared" si="163"/>
        <v>51.960931656985998</v>
      </c>
      <c r="P816">
        <f t="shared" si="164"/>
        <v>762</v>
      </c>
      <c r="Q816">
        <f t="shared" si="171"/>
        <v>102.512181455817</v>
      </c>
      <c r="R816">
        <f t="shared" si="165"/>
        <v>102.512181455817</v>
      </c>
      <c r="S816">
        <f t="shared" si="160"/>
        <v>105.86700886950219</v>
      </c>
      <c r="T816">
        <f t="shared" si="166"/>
        <v>105.86700886950219</v>
      </c>
      <c r="U816" s="3">
        <f t="shared" si="167"/>
        <v>370.99622075872998</v>
      </c>
      <c r="V816">
        <f t="shared" si="159"/>
        <v>712</v>
      </c>
      <c r="W816" s="8">
        <f t="shared" si="161"/>
        <v>50.772779625010003</v>
      </c>
      <c r="X816" s="1">
        <f t="shared" si="168"/>
        <v>50.772779625010003</v>
      </c>
      <c r="Y816" s="18"/>
      <c r="Z816" s="7"/>
      <c r="AA816" s="1"/>
      <c r="AB816" s="1"/>
      <c r="AC816" s="1"/>
    </row>
    <row r="817" spans="1:29" x14ac:dyDescent="0.3">
      <c r="A817">
        <v>816</v>
      </c>
      <c r="E817">
        <v>-135.4514733167</v>
      </c>
      <c r="F817">
        <v>152.77281346595001</v>
      </c>
      <c r="G817">
        <v>353.63245933898997</v>
      </c>
      <c r="H817">
        <v>51.784393554266998</v>
      </c>
      <c r="I817">
        <v>-14.478495348619999</v>
      </c>
      <c r="J817">
        <v>371.45420492798002</v>
      </c>
      <c r="L817" s="1">
        <f t="shared" si="169"/>
        <v>3.4289923042399995</v>
      </c>
      <c r="M817">
        <f t="shared" si="170"/>
        <v>2865.5749229233093</v>
      </c>
      <c r="N817">
        <f t="shared" si="162"/>
        <v>7.9599303414536369</v>
      </c>
      <c r="O817">
        <f t="shared" si="163"/>
        <v>51.784393554266998</v>
      </c>
      <c r="P817">
        <f t="shared" si="164"/>
        <v>763</v>
      </c>
      <c r="Q817">
        <f t="shared" si="171"/>
        <v>102.501199007859</v>
      </c>
      <c r="R817">
        <f t="shared" si="165"/>
        <v>102.501199007859</v>
      </c>
      <c r="S817">
        <f t="shared" si="160"/>
        <v>105.84589744042597</v>
      </c>
      <c r="T817">
        <f t="shared" si="166"/>
        <v>105.84589744042597</v>
      </c>
      <c r="U817" s="3">
        <f t="shared" si="167"/>
        <v>371.45420492798002</v>
      </c>
      <c r="V817">
        <f t="shared" ref="V817:V880" si="172">IFERROR(MATCH(N817-1,N:N,1),0)</f>
        <v>713</v>
      </c>
      <c r="W817" s="8">
        <f t="shared" si="161"/>
        <v>50.753017837740003</v>
      </c>
      <c r="X817" s="1">
        <f t="shared" si="168"/>
        <v>50.753017837740003</v>
      </c>
      <c r="Y817" s="18"/>
      <c r="Z817" s="7"/>
      <c r="AA817" s="1"/>
      <c r="AB817" s="1"/>
      <c r="AC817" s="1"/>
    </row>
    <row r="818" spans="1:29" x14ac:dyDescent="0.3">
      <c r="A818">
        <v>817</v>
      </c>
      <c r="E818">
        <v>-134.76679576710001</v>
      </c>
      <c r="F818">
        <v>153.73888526222001</v>
      </c>
      <c r="G818">
        <v>356.54347289386999</v>
      </c>
      <c r="H818">
        <v>51.640069777873002</v>
      </c>
      <c r="I818">
        <v>-11.04190990171</v>
      </c>
      <c r="J818">
        <v>371.94174642629002</v>
      </c>
      <c r="L818" s="1">
        <f t="shared" si="169"/>
        <v>3.4365854469099997</v>
      </c>
      <c r="M818">
        <f t="shared" si="170"/>
        <v>2869.0115083702194</v>
      </c>
      <c r="N818">
        <f t="shared" si="162"/>
        <v>7.9694764121394988</v>
      </c>
      <c r="O818">
        <f t="shared" si="163"/>
        <v>51.640069777873002</v>
      </c>
      <c r="P818">
        <f t="shared" si="164"/>
        <v>764</v>
      </c>
      <c r="Q818">
        <f t="shared" si="171"/>
        <v>102.498317811931</v>
      </c>
      <c r="R818">
        <f t="shared" si="165"/>
        <v>102.498317811931</v>
      </c>
      <c r="S818">
        <f t="shared" si="160"/>
        <v>105.83953582941493</v>
      </c>
      <c r="T818">
        <f t="shared" si="166"/>
        <v>105.83953582941493</v>
      </c>
      <c r="U818" s="3">
        <f t="shared" si="167"/>
        <v>371.94174642629002</v>
      </c>
      <c r="V818">
        <f t="shared" si="172"/>
        <v>714</v>
      </c>
      <c r="W818" s="8">
        <f t="shared" si="161"/>
        <v>50.746969059020046</v>
      </c>
      <c r="X818" s="1">
        <f t="shared" si="168"/>
        <v>50.746969059020046</v>
      </c>
      <c r="Y818" s="18"/>
      <c r="Z818" s="7"/>
      <c r="AA818" s="1"/>
      <c r="AB818" s="1"/>
      <c r="AC818" s="1"/>
    </row>
    <row r="819" spans="1:29" x14ac:dyDescent="0.3">
      <c r="A819">
        <v>818</v>
      </c>
      <c r="E819">
        <v>-134.05881026310001</v>
      </c>
      <c r="F819">
        <v>154.51906617027001</v>
      </c>
      <c r="G819">
        <v>359.50406434921001</v>
      </c>
      <c r="H819">
        <v>51.488733313857999</v>
      </c>
      <c r="I819">
        <v>-7.598105666016</v>
      </c>
      <c r="J819">
        <v>372.44102557452999</v>
      </c>
      <c r="L819" s="1">
        <f t="shared" si="169"/>
        <v>3.4438042356939995</v>
      </c>
      <c r="M819">
        <f t="shared" si="170"/>
        <v>2872.4553126059136</v>
      </c>
      <c r="N819">
        <f t="shared" si="162"/>
        <v>7.9790425350164265</v>
      </c>
      <c r="O819">
        <f t="shared" si="163"/>
        <v>51.488733313857999</v>
      </c>
      <c r="P819">
        <f t="shared" si="164"/>
        <v>765</v>
      </c>
      <c r="Q819">
        <f t="shared" si="171"/>
        <v>102.43556547851699</v>
      </c>
      <c r="R819">
        <f t="shared" si="165"/>
        <v>102.43556547851699</v>
      </c>
      <c r="S819">
        <f t="shared" si="160"/>
        <v>105.7791943666039</v>
      </c>
      <c r="T819">
        <f t="shared" si="166"/>
        <v>105.7791943666039</v>
      </c>
      <c r="U819" s="3">
        <f t="shared" si="167"/>
        <v>372.44102557452999</v>
      </c>
      <c r="V819">
        <f t="shared" si="172"/>
        <v>715</v>
      </c>
      <c r="W819" s="8">
        <f t="shared" si="161"/>
        <v>50.824300918749998</v>
      </c>
      <c r="X819" s="1">
        <f t="shared" si="168"/>
        <v>50.824300918749998</v>
      </c>
      <c r="Y819" s="18"/>
      <c r="Z819" s="7"/>
      <c r="AA819" s="1"/>
      <c r="AB819" s="1"/>
      <c r="AC819" s="1"/>
    </row>
    <row r="820" spans="1:29" x14ac:dyDescent="0.3">
      <c r="A820">
        <v>819</v>
      </c>
      <c r="E820">
        <v>-133.36854164409999</v>
      </c>
      <c r="F820">
        <v>155.16473055864</v>
      </c>
      <c r="G820">
        <v>362.50125580559001</v>
      </c>
      <c r="H820">
        <v>51.386187090203997</v>
      </c>
      <c r="I820">
        <v>-4.1387672051679996</v>
      </c>
      <c r="J820">
        <v>372.91429673663998</v>
      </c>
      <c r="L820" s="1">
        <f t="shared" si="169"/>
        <v>3.4593384608480005</v>
      </c>
      <c r="M820">
        <f t="shared" si="170"/>
        <v>2875.9146510667615</v>
      </c>
      <c r="N820">
        <f t="shared" si="162"/>
        <v>7.9886518085187816</v>
      </c>
      <c r="O820">
        <f t="shared" si="163"/>
        <v>51.386187090203997</v>
      </c>
      <c r="P820">
        <f t="shared" si="164"/>
        <v>766</v>
      </c>
      <c r="Q820">
        <f t="shared" si="171"/>
        <v>102.43832651264999</v>
      </c>
      <c r="R820">
        <f t="shared" si="165"/>
        <v>102.43832651264999</v>
      </c>
      <c r="S820">
        <f t="shared" si="160"/>
        <v>105.76882790171248</v>
      </c>
      <c r="T820">
        <f t="shared" si="166"/>
        <v>105.76882790171248</v>
      </c>
      <c r="U820" s="3">
        <f t="shared" si="167"/>
        <v>372.91429673663998</v>
      </c>
      <c r="V820">
        <f t="shared" si="172"/>
        <v>716</v>
      </c>
      <c r="W820" s="8">
        <f t="shared" si="161"/>
        <v>50.791792948470004</v>
      </c>
      <c r="X820" s="1">
        <f t="shared" si="168"/>
        <v>50.791792948470004</v>
      </c>
      <c r="Y820" s="18"/>
      <c r="Z820" s="7"/>
      <c r="AA820" s="1"/>
      <c r="AB820" s="1"/>
      <c r="AC820" s="1"/>
    </row>
    <row r="821" spans="1:29" x14ac:dyDescent="0.3">
      <c r="A821">
        <v>820</v>
      </c>
      <c r="E821">
        <v>-132.66316528799999</v>
      </c>
      <c r="F821">
        <v>155.61478788574999</v>
      </c>
      <c r="G821">
        <v>365.53041220144001</v>
      </c>
      <c r="H821">
        <v>51.272633653767002</v>
      </c>
      <c r="I821">
        <v>-0.67346762948200001</v>
      </c>
      <c r="J821">
        <v>373.39215825067998</v>
      </c>
      <c r="L821" s="1">
        <f t="shared" si="169"/>
        <v>3.4652995756859997</v>
      </c>
      <c r="M821">
        <f t="shared" si="170"/>
        <v>2879.3799506424475</v>
      </c>
      <c r="N821">
        <f t="shared" si="162"/>
        <v>7.9982776406734652</v>
      </c>
      <c r="O821">
        <f t="shared" si="163"/>
        <v>51.272633653767002</v>
      </c>
      <c r="P821">
        <f t="shared" si="164"/>
        <v>767</v>
      </c>
      <c r="Q821">
        <f t="shared" si="171"/>
        <v>102.43407428656701</v>
      </c>
      <c r="R821">
        <f t="shared" si="165"/>
        <v>102.43407428656701</v>
      </c>
      <c r="S821">
        <f t="shared" si="160"/>
        <v>105.74998574696791</v>
      </c>
      <c r="T821">
        <f t="shared" si="166"/>
        <v>105.74998574696791</v>
      </c>
      <c r="U821" s="3">
        <f t="shared" si="167"/>
        <v>373.39215825067998</v>
      </c>
      <c r="V821">
        <f t="shared" si="172"/>
        <v>717</v>
      </c>
      <c r="W821" s="8">
        <f t="shared" si="161"/>
        <v>50.747102605859993</v>
      </c>
      <c r="X821" s="1">
        <f t="shared" si="168"/>
        <v>50.747102605859993</v>
      </c>
      <c r="Y821" s="18"/>
      <c r="Z821" s="7"/>
      <c r="AA821" s="1"/>
      <c r="AB821" s="1"/>
      <c r="AC821" s="1"/>
    </row>
    <row r="822" spans="1:29" x14ac:dyDescent="0.3">
      <c r="A822">
        <v>821</v>
      </c>
      <c r="E822">
        <v>-131.94890162990001</v>
      </c>
      <c r="F822">
        <v>155.84908612338</v>
      </c>
      <c r="G822">
        <v>368.58176058591999</v>
      </c>
      <c r="H822">
        <v>51.130034038631003</v>
      </c>
      <c r="I822">
        <v>2.7994252253065999</v>
      </c>
      <c r="J822">
        <v>373.86838496872002</v>
      </c>
      <c r="L822" s="1">
        <f t="shared" si="169"/>
        <v>3.4728928547885998</v>
      </c>
      <c r="M822">
        <f t="shared" si="170"/>
        <v>2882.8528434972363</v>
      </c>
      <c r="N822">
        <f t="shared" si="162"/>
        <v>8.0079245652701001</v>
      </c>
      <c r="O822">
        <f t="shared" si="163"/>
        <v>51.130034038631003</v>
      </c>
      <c r="P822">
        <f t="shared" si="164"/>
        <v>768</v>
      </c>
      <c r="Q822">
        <f t="shared" si="171"/>
        <v>102.39609751412601</v>
      </c>
      <c r="R822">
        <f t="shared" si="165"/>
        <v>102.39609751412601</v>
      </c>
      <c r="S822">
        <f t="shared" si="160"/>
        <v>105.70493953864879</v>
      </c>
      <c r="T822">
        <f t="shared" si="166"/>
        <v>105.70493953864879</v>
      </c>
      <c r="U822" s="3">
        <f t="shared" si="167"/>
        <v>373.86838496872002</v>
      </c>
      <c r="V822">
        <f t="shared" si="172"/>
        <v>718</v>
      </c>
      <c r="W822" s="8">
        <f t="shared" si="161"/>
        <v>50.766550340630033</v>
      </c>
      <c r="X822" s="1">
        <f t="shared" si="168"/>
        <v>50.766550340630033</v>
      </c>
      <c r="Y822" s="18"/>
      <c r="Z822" s="7"/>
      <c r="AA822" s="1"/>
      <c r="AB822" s="1"/>
      <c r="AC822" s="1"/>
    </row>
    <row r="823" spans="1:29" x14ac:dyDescent="0.3">
      <c r="A823">
        <v>822</v>
      </c>
      <c r="E823">
        <v>-131.2096842686</v>
      </c>
      <c r="F823">
        <v>155.89530409808</v>
      </c>
      <c r="G823">
        <v>371.63594896628001</v>
      </c>
      <c r="H823">
        <v>50.986946680446998</v>
      </c>
      <c r="I823">
        <v>6.2791767359861002</v>
      </c>
      <c r="J823">
        <v>374.36164680989998</v>
      </c>
      <c r="L823" s="1">
        <f t="shared" si="169"/>
        <v>3.4797515106795003</v>
      </c>
      <c r="M823">
        <f t="shared" si="170"/>
        <v>2886.3325950079156</v>
      </c>
      <c r="N823">
        <f t="shared" si="162"/>
        <v>8.017590541688655</v>
      </c>
      <c r="O823">
        <f t="shared" si="163"/>
        <v>50.986946680446998</v>
      </c>
      <c r="P823">
        <f t="shared" si="164"/>
        <v>769</v>
      </c>
      <c r="Q823">
        <f t="shared" si="171"/>
        <v>102.419502709829</v>
      </c>
      <c r="R823">
        <f t="shared" si="165"/>
        <v>102.419502709829</v>
      </c>
      <c r="S823">
        <f t="shared" si="160"/>
        <v>105.72892783755238</v>
      </c>
      <c r="T823">
        <f t="shared" si="166"/>
        <v>105.72892783755238</v>
      </c>
      <c r="U823" s="3">
        <f t="shared" si="167"/>
        <v>374.36164680989998</v>
      </c>
      <c r="V823">
        <f t="shared" si="172"/>
        <v>719</v>
      </c>
      <c r="W823" s="8">
        <f t="shared" si="161"/>
        <v>50.828271524939964</v>
      </c>
      <c r="X823" s="1">
        <f t="shared" si="168"/>
        <v>50.828271524939964</v>
      </c>
      <c r="Y823" s="18"/>
      <c r="Z823" s="7"/>
      <c r="AA823" s="1"/>
      <c r="AB823" s="1"/>
      <c r="AC823" s="1"/>
    </row>
    <row r="824" spans="1:29" x14ac:dyDescent="0.3">
      <c r="A824">
        <v>823</v>
      </c>
      <c r="E824">
        <v>-130.46903262430001</v>
      </c>
      <c r="F824">
        <v>155.76250452876999</v>
      </c>
      <c r="G824">
        <v>374.68705356074003</v>
      </c>
      <c r="H824">
        <v>50.853647898010003</v>
      </c>
      <c r="I824">
        <v>9.7696347447205003</v>
      </c>
      <c r="J824">
        <v>374.8493598837</v>
      </c>
      <c r="L824" s="1">
        <f t="shared" si="169"/>
        <v>3.4904580087344002</v>
      </c>
      <c r="M824">
        <f t="shared" si="170"/>
        <v>2889.8230530166502</v>
      </c>
      <c r="N824">
        <f t="shared" si="162"/>
        <v>8.0272862583795845</v>
      </c>
      <c r="O824">
        <f t="shared" si="163"/>
        <v>50.853647898010003</v>
      </c>
      <c r="P824">
        <f t="shared" si="164"/>
        <v>770</v>
      </c>
      <c r="Q824">
        <f t="shared" si="171"/>
        <v>102.42001037577</v>
      </c>
      <c r="R824">
        <f t="shared" si="165"/>
        <v>102.42001037577</v>
      </c>
      <c r="S824">
        <f t="shared" si="160"/>
        <v>105.72079116900152</v>
      </c>
      <c r="T824">
        <f t="shared" si="166"/>
        <v>105.72079116900152</v>
      </c>
      <c r="U824" s="3">
        <f t="shared" si="167"/>
        <v>374.8493598837</v>
      </c>
      <c r="V824">
        <f t="shared" si="172"/>
        <v>720</v>
      </c>
      <c r="W824" s="8">
        <f t="shared" si="161"/>
        <v>50.828863584380031</v>
      </c>
      <c r="X824" s="1">
        <f t="shared" si="168"/>
        <v>50.828863584380031</v>
      </c>
      <c r="Y824" s="18"/>
      <c r="Z824" s="7"/>
      <c r="AA824" s="1"/>
      <c r="AB824" s="1"/>
      <c r="AC824" s="1"/>
    </row>
    <row r="825" spans="1:29" x14ac:dyDescent="0.3">
      <c r="A825">
        <v>824</v>
      </c>
      <c r="E825">
        <v>-129.6891029443</v>
      </c>
      <c r="F825">
        <v>155.45296986379</v>
      </c>
      <c r="G825">
        <v>377.71567880731999</v>
      </c>
      <c r="H825">
        <v>50.730387313747997</v>
      </c>
      <c r="I825">
        <v>13.263394979967</v>
      </c>
      <c r="J825">
        <v>375.37086216618002</v>
      </c>
      <c r="L825" s="1">
        <f t="shared" si="169"/>
        <v>3.4937602352464996</v>
      </c>
      <c r="M825">
        <f t="shared" si="170"/>
        <v>2893.3168132518967</v>
      </c>
      <c r="N825">
        <f t="shared" si="162"/>
        <v>8.0369911479219347</v>
      </c>
      <c r="O825">
        <f t="shared" si="163"/>
        <v>50.730387313747997</v>
      </c>
      <c r="P825">
        <f t="shared" si="164"/>
        <v>771</v>
      </c>
      <c r="Q825">
        <f t="shared" si="171"/>
        <v>102.440034462985</v>
      </c>
      <c r="R825">
        <f t="shared" si="165"/>
        <v>102.440034462985</v>
      </c>
      <c r="S825">
        <f t="shared" si="160"/>
        <v>105.73387819406705</v>
      </c>
      <c r="T825">
        <f t="shared" si="166"/>
        <v>105.73387819406705</v>
      </c>
      <c r="U825" s="3">
        <f t="shared" si="167"/>
        <v>375.37086216618002</v>
      </c>
      <c r="V825">
        <f t="shared" si="172"/>
        <v>721</v>
      </c>
      <c r="W825" s="8">
        <f t="shared" si="161"/>
        <v>50.763110063119996</v>
      </c>
      <c r="X825" s="1">
        <f t="shared" si="168"/>
        <v>50.763110063119996</v>
      </c>
      <c r="Y825" s="18"/>
      <c r="Z825" s="7"/>
      <c r="AA825" s="1"/>
      <c r="AB825" s="1"/>
      <c r="AC825" s="1"/>
    </row>
    <row r="826" spans="1:29" x14ac:dyDescent="0.3">
      <c r="A826">
        <v>825</v>
      </c>
      <c r="E826">
        <v>-128.97050746689999</v>
      </c>
      <c r="F826">
        <v>154.97962188141</v>
      </c>
      <c r="G826">
        <v>380.73847735914001</v>
      </c>
      <c r="H826">
        <v>50.635364449381001</v>
      </c>
      <c r="I826">
        <v>16.777956865896002</v>
      </c>
      <c r="J826">
        <v>375.82513397509001</v>
      </c>
      <c r="L826" s="1">
        <f t="shared" si="169"/>
        <v>3.5145618859290018</v>
      </c>
      <c r="M826">
        <f t="shared" si="170"/>
        <v>2896.8313751378259</v>
      </c>
      <c r="N826">
        <f t="shared" si="162"/>
        <v>8.0467538198272948</v>
      </c>
      <c r="O826">
        <f t="shared" si="163"/>
        <v>50.635364449381001</v>
      </c>
      <c r="P826">
        <f t="shared" si="164"/>
        <v>772</v>
      </c>
      <c r="Q826">
        <f t="shared" si="171"/>
        <v>102.48789382314899</v>
      </c>
      <c r="R826">
        <f t="shared" si="165"/>
        <v>102.48789382314899</v>
      </c>
      <c r="S826">
        <f t="shared" si="160"/>
        <v>105.77969803358016</v>
      </c>
      <c r="T826">
        <f t="shared" si="166"/>
        <v>105.77969803358016</v>
      </c>
      <c r="U826" s="3">
        <f t="shared" si="167"/>
        <v>375.82513397509001</v>
      </c>
      <c r="V826">
        <f t="shared" si="172"/>
        <v>722</v>
      </c>
      <c r="W826" s="8">
        <f t="shared" si="161"/>
        <v>50.74237004997002</v>
      </c>
      <c r="X826" s="1">
        <f t="shared" si="168"/>
        <v>50.74237004997002</v>
      </c>
      <c r="Y826" s="18"/>
      <c r="Z826" s="7"/>
      <c r="AA826" s="1"/>
      <c r="AB826" s="1"/>
      <c r="AC826" s="1"/>
    </row>
    <row r="827" spans="1:29" x14ac:dyDescent="0.3">
      <c r="A827">
        <v>826</v>
      </c>
      <c r="E827">
        <v>-128.17299638399999</v>
      </c>
      <c r="F827">
        <v>154.30856997802999</v>
      </c>
      <c r="G827">
        <v>383.70307690469002</v>
      </c>
      <c r="H827">
        <v>50.523818924463001</v>
      </c>
      <c r="I827">
        <v>20.285076343141998</v>
      </c>
      <c r="J827">
        <v>376.35468982602998</v>
      </c>
      <c r="L827" s="1">
        <f t="shared" si="169"/>
        <v>3.5071194772459968</v>
      </c>
      <c r="M827">
        <f t="shared" si="170"/>
        <v>2900.3384946150718</v>
      </c>
      <c r="N827">
        <f t="shared" si="162"/>
        <v>8.0564958183751987</v>
      </c>
      <c r="O827">
        <f t="shared" si="163"/>
        <v>50.523818924463001</v>
      </c>
      <c r="P827">
        <f t="shared" si="164"/>
        <v>773</v>
      </c>
      <c r="Q827">
        <f t="shared" si="171"/>
        <v>102.50863350505699</v>
      </c>
      <c r="R827">
        <f t="shared" si="165"/>
        <v>102.50863350505699</v>
      </c>
      <c r="S827">
        <f t="shared" si="160"/>
        <v>105.8102576160547</v>
      </c>
      <c r="T827">
        <f t="shared" si="166"/>
        <v>105.8102576160547</v>
      </c>
      <c r="U827" s="3">
        <f t="shared" si="167"/>
        <v>376.35468982602998</v>
      </c>
      <c r="V827">
        <f t="shared" si="172"/>
        <v>723</v>
      </c>
      <c r="W827" s="8">
        <f t="shared" si="161"/>
        <v>50.840568415260009</v>
      </c>
      <c r="X827" s="1">
        <f t="shared" si="168"/>
        <v>50.840568415260009</v>
      </c>
      <c r="Y827" s="18"/>
      <c r="Z827" s="7"/>
      <c r="AA827" s="1"/>
      <c r="AB827" s="1"/>
      <c r="AC827" s="1"/>
    </row>
    <row r="828" spans="1:29" x14ac:dyDescent="0.3">
      <c r="A828">
        <v>827</v>
      </c>
      <c r="E828">
        <v>-127.3765753293</v>
      </c>
      <c r="F828">
        <v>153.38068264499</v>
      </c>
      <c r="G828">
        <v>386.59795558247998</v>
      </c>
      <c r="H828">
        <v>50.335965329661001</v>
      </c>
      <c r="I828">
        <v>23.799624609841999</v>
      </c>
      <c r="J828">
        <v>376.87838427812</v>
      </c>
      <c r="L828" s="1">
        <f t="shared" si="169"/>
        <v>3.5145482667000003</v>
      </c>
      <c r="M828">
        <f t="shared" si="170"/>
        <v>2903.8530428817717</v>
      </c>
      <c r="N828">
        <f t="shared" si="162"/>
        <v>8.0662584524493663</v>
      </c>
      <c r="O828">
        <f t="shared" si="163"/>
        <v>50.335965329661001</v>
      </c>
      <c r="P828">
        <f t="shared" si="164"/>
        <v>774</v>
      </c>
      <c r="Q828">
        <f t="shared" si="171"/>
        <v>102.42423019216801</v>
      </c>
      <c r="R828">
        <f t="shared" si="165"/>
        <v>102.42423019216801</v>
      </c>
      <c r="S828">
        <f t="shared" si="160"/>
        <v>105.73695587109466</v>
      </c>
      <c r="T828">
        <f t="shared" si="166"/>
        <v>105.73695587109466</v>
      </c>
      <c r="U828" s="3">
        <f t="shared" si="167"/>
        <v>376.87838427812</v>
      </c>
      <c r="V828">
        <f t="shared" si="172"/>
        <v>724</v>
      </c>
      <c r="W828" s="8">
        <f t="shared" si="161"/>
        <v>50.771098209599984</v>
      </c>
      <c r="X828" s="1">
        <f t="shared" si="168"/>
        <v>50.771098209599984</v>
      </c>
      <c r="Y828" s="18"/>
      <c r="Z828" s="7"/>
      <c r="AA828" s="1"/>
      <c r="AB828" s="1"/>
      <c r="AC828" s="1"/>
    </row>
    <row r="829" spans="1:29" x14ac:dyDescent="0.3">
      <c r="A829">
        <v>828</v>
      </c>
      <c r="E829">
        <v>-126.5722816136</v>
      </c>
      <c r="F829">
        <v>152.29105491307001</v>
      </c>
      <c r="G829">
        <v>389.43392912567998</v>
      </c>
      <c r="H829">
        <v>50.166298893076998</v>
      </c>
      <c r="I829">
        <v>27.326951619138999</v>
      </c>
      <c r="J829">
        <v>377.40811448907999</v>
      </c>
      <c r="L829" s="1">
        <f t="shared" si="169"/>
        <v>3.5273270092970002</v>
      </c>
      <c r="M829">
        <f t="shared" si="170"/>
        <v>2907.3803698910688</v>
      </c>
      <c r="N829">
        <f t="shared" si="162"/>
        <v>8.0760565830307467</v>
      </c>
      <c r="O829">
        <f t="shared" si="163"/>
        <v>50.166298893076998</v>
      </c>
      <c r="P829">
        <f t="shared" si="164"/>
        <v>775</v>
      </c>
      <c r="Q829">
        <f t="shared" si="171"/>
        <v>102.392115338545</v>
      </c>
      <c r="R829">
        <f t="shared" si="165"/>
        <v>102.392115338545</v>
      </c>
      <c r="S829">
        <f t="shared" si="160"/>
        <v>105.7159655700459</v>
      </c>
      <c r="T829">
        <f t="shared" si="166"/>
        <v>105.7159655700459</v>
      </c>
      <c r="U829" s="3">
        <f t="shared" si="167"/>
        <v>377.40811448907999</v>
      </c>
      <c r="V829">
        <f t="shared" si="172"/>
        <v>725</v>
      </c>
      <c r="W829" s="8">
        <f t="shared" si="161"/>
        <v>50.745432876769996</v>
      </c>
      <c r="X829" s="1">
        <f t="shared" si="168"/>
        <v>50.745432876769996</v>
      </c>
      <c r="Y829" s="18"/>
      <c r="Z829" s="7"/>
      <c r="AA829" s="1"/>
      <c r="AB829" s="1"/>
      <c r="AC829" s="1"/>
    </row>
    <row r="830" spans="1:29" x14ac:dyDescent="0.3">
      <c r="A830">
        <v>829</v>
      </c>
      <c r="E830">
        <v>-125.7922162717</v>
      </c>
      <c r="F830">
        <v>150.99155576008999</v>
      </c>
      <c r="G830">
        <v>392.18649615360999</v>
      </c>
      <c r="H830">
        <v>49.962018327861003</v>
      </c>
      <c r="I830">
        <v>30.869446163366</v>
      </c>
      <c r="J830">
        <v>377.91193072665999</v>
      </c>
      <c r="L830" s="1">
        <f t="shared" si="169"/>
        <v>3.5424945442270008</v>
      </c>
      <c r="M830">
        <f t="shared" si="170"/>
        <v>2910.9228644352957</v>
      </c>
      <c r="N830">
        <f t="shared" si="162"/>
        <v>8.0858968456535987</v>
      </c>
      <c r="O830">
        <f t="shared" si="163"/>
        <v>49.962018327861003</v>
      </c>
      <c r="P830">
        <f t="shared" si="164"/>
        <v>776</v>
      </c>
      <c r="Q830">
        <f t="shared" si="171"/>
        <v>102.34081172764601</v>
      </c>
      <c r="R830">
        <f t="shared" si="165"/>
        <v>102.34081172764601</v>
      </c>
      <c r="S830">
        <f t="shared" si="160"/>
        <v>105.6752670834733</v>
      </c>
      <c r="T830">
        <f t="shared" si="166"/>
        <v>105.6752670834733</v>
      </c>
      <c r="U830" s="3">
        <f t="shared" si="167"/>
        <v>377.91193072665999</v>
      </c>
      <c r="V830">
        <f t="shared" si="172"/>
        <v>726</v>
      </c>
      <c r="W830" s="8">
        <f t="shared" si="161"/>
        <v>50.751426156320008</v>
      </c>
      <c r="X830" s="1">
        <f t="shared" si="168"/>
        <v>50.751426156320008</v>
      </c>
      <c r="Y830" s="18"/>
      <c r="Z830" s="7"/>
      <c r="AA830" s="1"/>
      <c r="AB830" s="1"/>
      <c r="AC830" s="1"/>
    </row>
    <row r="831" spans="1:29" x14ac:dyDescent="0.3">
      <c r="A831">
        <v>830</v>
      </c>
      <c r="E831">
        <v>-125.03889435310001</v>
      </c>
      <c r="F831">
        <v>149.58617071107</v>
      </c>
      <c r="G831">
        <v>394.89455782893998</v>
      </c>
      <c r="H831">
        <v>49.835288379624998</v>
      </c>
      <c r="I831">
        <v>34.433854487756001</v>
      </c>
      <c r="J831">
        <v>378.38840606191002</v>
      </c>
      <c r="L831" s="1">
        <f t="shared" si="169"/>
        <v>3.5644083243900013</v>
      </c>
      <c r="M831">
        <f t="shared" si="170"/>
        <v>2914.4872727596858</v>
      </c>
      <c r="N831">
        <f t="shared" si="162"/>
        <v>8.0957979798880153</v>
      </c>
      <c r="O831">
        <f t="shared" si="163"/>
        <v>49.835288379624998</v>
      </c>
      <c r="P831">
        <f t="shared" si="164"/>
        <v>777</v>
      </c>
      <c r="Q831">
        <f t="shared" si="171"/>
        <v>102.34964678815</v>
      </c>
      <c r="R831">
        <f t="shared" si="165"/>
        <v>102.34964678815</v>
      </c>
      <c r="S831">
        <f t="shared" si="160"/>
        <v>105.66176142580248</v>
      </c>
      <c r="T831">
        <f t="shared" si="166"/>
        <v>105.66176142580248</v>
      </c>
      <c r="U831" s="3">
        <f t="shared" si="167"/>
        <v>378.38840606191002</v>
      </c>
      <c r="V831">
        <f t="shared" si="172"/>
        <v>727</v>
      </c>
      <c r="W831" s="8">
        <f t="shared" si="161"/>
        <v>50.743415673560037</v>
      </c>
      <c r="X831" s="1">
        <f t="shared" si="168"/>
        <v>50.743415673560037</v>
      </c>
      <c r="Y831" s="18"/>
      <c r="Z831" s="7"/>
      <c r="AA831" s="1"/>
      <c r="AB831" s="1"/>
      <c r="AC831" s="1"/>
    </row>
    <row r="832" spans="1:29" x14ac:dyDescent="0.3">
      <c r="A832">
        <v>831</v>
      </c>
      <c r="E832">
        <v>-124.3156566449</v>
      </c>
      <c r="F832">
        <v>148.08642734598001</v>
      </c>
      <c r="G832">
        <v>397.55989751446998</v>
      </c>
      <c r="H832">
        <v>49.798800310807998</v>
      </c>
      <c r="I832">
        <v>38.012038479403003</v>
      </c>
      <c r="J832">
        <v>378.83453543719003</v>
      </c>
      <c r="L832" s="1">
        <f t="shared" si="169"/>
        <v>3.578183991647002</v>
      </c>
      <c r="M832">
        <f t="shared" si="170"/>
        <v>2918.0654567513329</v>
      </c>
      <c r="N832">
        <f t="shared" si="162"/>
        <v>8.1057373798648129</v>
      </c>
      <c r="O832">
        <f t="shared" si="163"/>
        <v>49.798800310807998</v>
      </c>
      <c r="P832">
        <f t="shared" si="164"/>
        <v>778</v>
      </c>
      <c r="Q832">
        <f t="shared" si="171"/>
        <v>102.440246111452</v>
      </c>
      <c r="R832">
        <f t="shared" si="165"/>
        <v>102.440246111452</v>
      </c>
      <c r="S832">
        <f t="shared" si="160"/>
        <v>105.72728395850194</v>
      </c>
      <c r="T832">
        <f t="shared" si="166"/>
        <v>105.72728395850194</v>
      </c>
      <c r="U832" s="3">
        <f t="shared" si="167"/>
        <v>378.83453543719003</v>
      </c>
      <c r="V832">
        <f t="shared" si="172"/>
        <v>728</v>
      </c>
      <c r="W832" s="8">
        <f t="shared" si="161"/>
        <v>50.704144422380011</v>
      </c>
      <c r="X832" s="1">
        <f t="shared" si="168"/>
        <v>50.704144422380011</v>
      </c>
      <c r="Y832" s="18"/>
      <c r="Z832" s="7"/>
      <c r="AA832" s="1"/>
      <c r="AB832" s="1"/>
      <c r="AC832" s="1"/>
    </row>
    <row r="833" spans="1:29" x14ac:dyDescent="0.3">
      <c r="A833">
        <v>832</v>
      </c>
      <c r="E833">
        <v>-123.4919872718</v>
      </c>
      <c r="F833">
        <v>146.30025715559</v>
      </c>
      <c r="G833">
        <v>400.01073592717</v>
      </c>
      <c r="H833">
        <v>49.600145115594998</v>
      </c>
      <c r="I833">
        <v>41.571811686148003</v>
      </c>
      <c r="J833">
        <v>379.38632745515002</v>
      </c>
      <c r="L833" s="1">
        <f t="shared" si="169"/>
        <v>3.5597732067449996</v>
      </c>
      <c r="M833">
        <f t="shared" si="170"/>
        <v>2921.6252299580779</v>
      </c>
      <c r="N833">
        <f t="shared" si="162"/>
        <v>8.115625638772439</v>
      </c>
      <c r="O833">
        <f t="shared" si="163"/>
        <v>49.600145115594998</v>
      </c>
      <c r="P833">
        <f t="shared" si="164"/>
        <v>779</v>
      </c>
      <c r="Q833">
        <f t="shared" si="171"/>
        <v>102.34673658223599</v>
      </c>
      <c r="R833">
        <f t="shared" si="165"/>
        <v>102.34673658223599</v>
      </c>
      <c r="S833">
        <f t="shared" si="160"/>
        <v>105.65756289917292</v>
      </c>
      <c r="T833">
        <f t="shared" si="166"/>
        <v>105.65756289917292</v>
      </c>
      <c r="U833" s="3">
        <f t="shared" si="167"/>
        <v>379.38632745515002</v>
      </c>
      <c r="V833">
        <f t="shared" si="172"/>
        <v>729</v>
      </c>
      <c r="W833" s="8">
        <f t="shared" si="161"/>
        <v>50.795683496470019</v>
      </c>
      <c r="X833" s="1">
        <f t="shared" si="168"/>
        <v>50.795683496470019</v>
      </c>
      <c r="Y833" s="18"/>
      <c r="Z833" s="7"/>
      <c r="AA833" s="1"/>
      <c r="AB833" s="1"/>
      <c r="AC833" s="1"/>
    </row>
    <row r="834" spans="1:29" x14ac:dyDescent="0.3">
      <c r="A834">
        <v>833</v>
      </c>
      <c r="E834">
        <v>-122.71264192789999</v>
      </c>
      <c r="F834">
        <v>144.39490066343001</v>
      </c>
      <c r="G834">
        <v>402.38516066806</v>
      </c>
      <c r="H834">
        <v>49.452257889705997</v>
      </c>
      <c r="I834">
        <v>45.155874000556999</v>
      </c>
      <c r="J834">
        <v>379.89529007420998</v>
      </c>
      <c r="L834" s="1">
        <f t="shared" si="169"/>
        <v>3.584062314408996</v>
      </c>
      <c r="M834">
        <f t="shared" si="170"/>
        <v>2925.2092922724869</v>
      </c>
      <c r="N834">
        <f t="shared" si="162"/>
        <v>8.1255813674235746</v>
      </c>
      <c r="O834">
        <f t="shared" si="163"/>
        <v>49.452257889705997</v>
      </c>
      <c r="P834">
        <f t="shared" si="164"/>
        <v>781</v>
      </c>
      <c r="Q834">
        <f t="shared" si="171"/>
        <v>102.399727149846</v>
      </c>
      <c r="R834">
        <f t="shared" si="165"/>
        <v>102.399727149846</v>
      </c>
      <c r="S834">
        <f t="shared" ref="S834:S897" si="173">IF(P834=0,0,SQRT((E834-INDEX(E:E,P834))^2+(F834-INDEX(F:F,P834))^2+(G834-INDEX(G:G,P834))^2))</f>
        <v>105.61791632484268</v>
      </c>
      <c r="T834">
        <f t="shared" si="166"/>
        <v>105.61791632484268</v>
      </c>
      <c r="U834" s="3">
        <f t="shared" si="167"/>
        <v>379.89529007420998</v>
      </c>
      <c r="V834">
        <f t="shared" si="172"/>
        <v>730</v>
      </c>
      <c r="W834" s="8">
        <f t="shared" ref="W834:W897" si="174">IF(V834=0,0,U834-INDEX(U:U,V834))</f>
        <v>50.814321437319961</v>
      </c>
      <c r="X834" s="1">
        <f t="shared" si="168"/>
        <v>50.814321437319961</v>
      </c>
      <c r="Y834" s="18"/>
      <c r="Z834" s="7"/>
      <c r="AA834" s="1"/>
      <c r="AB834" s="1"/>
      <c r="AC834" s="1"/>
    </row>
    <row r="835" spans="1:29" x14ac:dyDescent="0.3">
      <c r="A835">
        <v>834</v>
      </c>
      <c r="E835">
        <v>-121.95380314099999</v>
      </c>
      <c r="F835">
        <v>142.35062592564</v>
      </c>
      <c r="G835">
        <v>404.64810942749</v>
      </c>
      <c r="H835">
        <v>49.320213088915999</v>
      </c>
      <c r="I835">
        <v>48.754163672289003</v>
      </c>
      <c r="J835">
        <v>380.38715909384001</v>
      </c>
      <c r="L835" s="1">
        <f t="shared" si="169"/>
        <v>3.5982896717320045</v>
      </c>
      <c r="M835">
        <f t="shared" si="170"/>
        <v>2928.8075819442188</v>
      </c>
      <c r="N835">
        <f t="shared" ref="N835:N898" si="175">M835/360</f>
        <v>8.1355766165117185</v>
      </c>
      <c r="O835">
        <f t="shared" ref="O835:O898" si="176">H835</f>
        <v>49.320213088915999</v>
      </c>
      <c r="P835">
        <f t="shared" ref="P835:P898" si="177">IFERROR(MATCH(N835-0.5,N:N,1),0)</f>
        <v>782</v>
      </c>
      <c r="Q835">
        <f t="shared" si="171"/>
        <v>102.37563080092599</v>
      </c>
      <c r="R835">
        <f t="shared" ref="R835:R898" si="178">IF(Q835=0,MAX(Q:Q),Q835)</f>
        <v>102.37563080092599</v>
      </c>
      <c r="S835">
        <f t="shared" si="173"/>
        <v>105.60191087711101</v>
      </c>
      <c r="T835">
        <f t="shared" ref="T835:T898" si="179">IF(S835=0,MAX(S:S),S835)</f>
        <v>105.60191087711101</v>
      </c>
      <c r="U835" s="3">
        <f t="shared" ref="U835:U898" si="180">J835</f>
        <v>380.38715909384001</v>
      </c>
      <c r="V835">
        <f t="shared" si="172"/>
        <v>731</v>
      </c>
      <c r="W835" s="8">
        <f t="shared" si="174"/>
        <v>50.820260554950039</v>
      </c>
      <c r="X835" s="1">
        <f t="shared" ref="X835:X898" si="181">IF(W835=0,MAX(W:W),W835)</f>
        <v>50.820260554950039</v>
      </c>
      <c r="Y835" s="18"/>
      <c r="Z835" s="7"/>
      <c r="AA835" s="1"/>
      <c r="AB835" s="1"/>
      <c r="AC835" s="1"/>
    </row>
    <row r="836" spans="1:29" x14ac:dyDescent="0.3">
      <c r="A836">
        <v>835</v>
      </c>
      <c r="E836">
        <v>-121.2134691708</v>
      </c>
      <c r="F836">
        <v>140.16995452488999</v>
      </c>
      <c r="G836">
        <v>406.78660832921003</v>
      </c>
      <c r="H836">
        <v>49.198355780843002</v>
      </c>
      <c r="I836">
        <v>52.364897219154997</v>
      </c>
      <c r="J836">
        <v>380.86506998205999</v>
      </c>
      <c r="L836" s="1">
        <f t="shared" ref="L836:L899" si="182">I836-I835</f>
        <v>3.610733546865994</v>
      </c>
      <c r="M836">
        <f t="shared" ref="M836:M899" si="183">IF(L836&gt;0,M835+L836,M835+L835)</f>
        <v>2932.4183154910847</v>
      </c>
      <c r="N836">
        <f t="shared" si="175"/>
        <v>8.1456064319196795</v>
      </c>
      <c r="O836">
        <f t="shared" si="176"/>
        <v>49.198355780843002</v>
      </c>
      <c r="P836">
        <f t="shared" si="177"/>
        <v>783</v>
      </c>
      <c r="Q836">
        <f t="shared" si="171"/>
        <v>102.34075001032201</v>
      </c>
      <c r="R836">
        <f t="shared" si="178"/>
        <v>102.34075001032201</v>
      </c>
      <c r="S836">
        <f t="shared" si="173"/>
        <v>105.56474678196106</v>
      </c>
      <c r="T836">
        <f t="shared" si="179"/>
        <v>105.56474678196106</v>
      </c>
      <c r="U836" s="3">
        <f t="shared" si="180"/>
        <v>380.86506998205999</v>
      </c>
      <c r="V836">
        <f t="shared" si="172"/>
        <v>732</v>
      </c>
      <c r="W836" s="8">
        <f t="shared" si="174"/>
        <v>50.819324718750011</v>
      </c>
      <c r="X836" s="1">
        <f t="shared" si="181"/>
        <v>50.819324718750011</v>
      </c>
      <c r="Y836" s="18"/>
      <c r="Z836" s="7"/>
      <c r="AA836" s="1"/>
      <c r="AB836" s="1"/>
      <c r="AC836" s="1"/>
    </row>
    <row r="837" spans="1:29" x14ac:dyDescent="0.3">
      <c r="A837">
        <v>836</v>
      </c>
      <c r="E837">
        <v>-120.481736652</v>
      </c>
      <c r="F837">
        <v>137.90426865228</v>
      </c>
      <c r="G837">
        <v>408.83788467891998</v>
      </c>
      <c r="H837">
        <v>49.15050659117</v>
      </c>
      <c r="I837">
        <v>55.985093165856</v>
      </c>
      <c r="J837">
        <v>381.33797542065003</v>
      </c>
      <c r="L837" s="1">
        <f t="shared" si="182"/>
        <v>3.6201959467010028</v>
      </c>
      <c r="M837">
        <f t="shared" si="183"/>
        <v>2936.0385114377859</v>
      </c>
      <c r="N837">
        <f t="shared" si="175"/>
        <v>8.1556625317716271</v>
      </c>
      <c r="O837">
        <f t="shared" si="176"/>
        <v>49.15050659117</v>
      </c>
      <c r="P837">
        <f t="shared" si="177"/>
        <v>784</v>
      </c>
      <c r="Q837">
        <f t="shared" si="171"/>
        <v>102.36307176867</v>
      </c>
      <c r="R837">
        <f t="shared" si="178"/>
        <v>102.36307176867</v>
      </c>
      <c r="S837">
        <f t="shared" si="173"/>
        <v>105.58700939072676</v>
      </c>
      <c r="T837">
        <f t="shared" si="179"/>
        <v>105.58700939072676</v>
      </c>
      <c r="U837" s="3">
        <f t="shared" si="180"/>
        <v>381.33797542065003</v>
      </c>
      <c r="V837">
        <f t="shared" si="172"/>
        <v>733</v>
      </c>
      <c r="W837" s="8">
        <f t="shared" si="174"/>
        <v>50.826744811920037</v>
      </c>
      <c r="X837" s="1">
        <f t="shared" si="181"/>
        <v>50.826744811920037</v>
      </c>
      <c r="Y837" s="18"/>
      <c r="Z837" s="7"/>
      <c r="AA837" s="1"/>
      <c r="AB837" s="1"/>
      <c r="AC837" s="1"/>
    </row>
    <row r="838" spans="1:29" x14ac:dyDescent="0.3">
      <c r="A838">
        <v>837</v>
      </c>
      <c r="E838">
        <v>-119.73994031230001</v>
      </c>
      <c r="F838">
        <v>135.49847713329001</v>
      </c>
      <c r="G838">
        <v>410.71861438548001</v>
      </c>
      <c r="H838">
        <v>49.078696944592998</v>
      </c>
      <c r="I838">
        <v>59.605656854846998</v>
      </c>
      <c r="J838">
        <v>381.82892171827001</v>
      </c>
      <c r="L838" s="1">
        <f t="shared" si="182"/>
        <v>3.6205636889909982</v>
      </c>
      <c r="M838">
        <f t="shared" si="183"/>
        <v>2939.6590751267768</v>
      </c>
      <c r="N838">
        <f t="shared" si="175"/>
        <v>8.1657196531299352</v>
      </c>
      <c r="O838">
        <f t="shared" si="176"/>
        <v>49.078696944592998</v>
      </c>
      <c r="P838">
        <f t="shared" si="177"/>
        <v>785</v>
      </c>
      <c r="Q838">
        <f t="shared" si="171"/>
        <v>102.37583667521699</v>
      </c>
      <c r="R838">
        <f t="shared" si="178"/>
        <v>102.37583667521699</v>
      </c>
      <c r="S838">
        <f t="shared" si="173"/>
        <v>105.60763484865296</v>
      </c>
      <c r="T838">
        <f t="shared" si="179"/>
        <v>105.60763484865296</v>
      </c>
      <c r="U838" s="3">
        <f t="shared" si="180"/>
        <v>381.82892171827001</v>
      </c>
      <c r="V838">
        <f t="shared" si="172"/>
        <v>734</v>
      </c>
      <c r="W838" s="8">
        <f t="shared" si="174"/>
        <v>50.848047139630012</v>
      </c>
      <c r="X838" s="1">
        <f t="shared" si="181"/>
        <v>50.848047139630012</v>
      </c>
      <c r="Y838" s="18"/>
      <c r="Z838" s="7"/>
      <c r="AA838" s="1"/>
      <c r="AB838" s="1"/>
      <c r="AC838" s="1"/>
    </row>
    <row r="839" spans="1:29" x14ac:dyDescent="0.3">
      <c r="A839">
        <v>838</v>
      </c>
      <c r="E839">
        <v>-119.02812221009999</v>
      </c>
      <c r="F839">
        <v>132.95276280595999</v>
      </c>
      <c r="G839">
        <v>412.41858615666001</v>
      </c>
      <c r="H839">
        <v>48.973684811890003</v>
      </c>
      <c r="I839">
        <v>63.235828701940001</v>
      </c>
      <c r="J839">
        <v>382.29885437335997</v>
      </c>
      <c r="L839" s="1">
        <f t="shared" si="182"/>
        <v>3.6301718470930027</v>
      </c>
      <c r="M839">
        <f t="shared" si="183"/>
        <v>2943.2892469738699</v>
      </c>
      <c r="N839">
        <f t="shared" si="175"/>
        <v>8.1758034638163046</v>
      </c>
      <c r="O839">
        <f t="shared" si="176"/>
        <v>48.973684811890003</v>
      </c>
      <c r="P839">
        <f t="shared" si="177"/>
        <v>786</v>
      </c>
      <c r="Q839">
        <f t="shared" si="171"/>
        <v>102.33758759297501</v>
      </c>
      <c r="R839">
        <f t="shared" si="178"/>
        <v>102.33758759297501</v>
      </c>
      <c r="S839">
        <f t="shared" si="173"/>
        <v>105.56788928443851</v>
      </c>
      <c r="T839">
        <f t="shared" si="179"/>
        <v>105.56788928443851</v>
      </c>
      <c r="U839" s="3">
        <f t="shared" si="180"/>
        <v>382.29885437335997</v>
      </c>
      <c r="V839">
        <f t="shared" si="172"/>
        <v>735</v>
      </c>
      <c r="W839" s="8">
        <f t="shared" si="174"/>
        <v>50.845898535359993</v>
      </c>
      <c r="X839" s="1">
        <f t="shared" si="181"/>
        <v>50.845898535359993</v>
      </c>
      <c r="Y839" s="18"/>
      <c r="Z839" s="7"/>
      <c r="AA839" s="1"/>
      <c r="AB839" s="1"/>
      <c r="AC839" s="1"/>
    </row>
    <row r="840" spans="1:29" x14ac:dyDescent="0.3">
      <c r="A840">
        <v>839</v>
      </c>
      <c r="E840">
        <v>-118.3394609345</v>
      </c>
      <c r="F840">
        <v>130.31580779853999</v>
      </c>
      <c r="G840">
        <v>413.98302812802001</v>
      </c>
      <c r="H840">
        <v>48.901585958192001</v>
      </c>
      <c r="I840">
        <v>66.87606106957</v>
      </c>
      <c r="J840">
        <v>382.75290620393997</v>
      </c>
      <c r="L840" s="1">
        <f t="shared" si="182"/>
        <v>3.6402323676299986</v>
      </c>
      <c r="M840">
        <f t="shared" si="183"/>
        <v>2946.9294793414997</v>
      </c>
      <c r="N840">
        <f t="shared" si="175"/>
        <v>8.1859152203930545</v>
      </c>
      <c r="O840">
        <f t="shared" si="176"/>
        <v>48.901585958192001</v>
      </c>
      <c r="P840">
        <f t="shared" si="177"/>
        <v>787</v>
      </c>
      <c r="Q840">
        <f t="shared" si="171"/>
        <v>102.323963510559</v>
      </c>
      <c r="R840">
        <f t="shared" si="178"/>
        <v>102.323963510559</v>
      </c>
      <c r="S840">
        <f t="shared" si="173"/>
        <v>105.5447767343539</v>
      </c>
      <c r="T840">
        <f t="shared" si="179"/>
        <v>105.5447767343539</v>
      </c>
      <c r="U840" s="3">
        <f t="shared" si="180"/>
        <v>382.75290620393997</v>
      </c>
      <c r="V840">
        <f t="shared" si="172"/>
        <v>736</v>
      </c>
      <c r="W840" s="8">
        <f t="shared" si="174"/>
        <v>50.831513176579961</v>
      </c>
      <c r="X840" s="1">
        <f t="shared" si="181"/>
        <v>50.831513176579961</v>
      </c>
      <c r="Y840" s="18"/>
      <c r="Z840" s="7"/>
      <c r="AA840" s="1"/>
      <c r="AB840" s="1"/>
      <c r="AC840" s="1"/>
    </row>
    <row r="841" spans="1:29" x14ac:dyDescent="0.3">
      <c r="A841">
        <v>840</v>
      </c>
      <c r="E841">
        <v>-117.6406626266</v>
      </c>
      <c r="F841">
        <v>127.59204510594</v>
      </c>
      <c r="G841">
        <v>415.38593301411998</v>
      </c>
      <c r="H841">
        <v>48.844442983158999</v>
      </c>
      <c r="I841">
        <v>70.518066284705995</v>
      </c>
      <c r="J841">
        <v>383.22650046737999</v>
      </c>
      <c r="L841" s="1">
        <f t="shared" si="182"/>
        <v>3.6420052151359954</v>
      </c>
      <c r="M841">
        <f t="shared" si="183"/>
        <v>2950.5714845566358</v>
      </c>
      <c r="N841">
        <f t="shared" si="175"/>
        <v>8.1960319015462098</v>
      </c>
      <c r="O841">
        <f t="shared" si="176"/>
        <v>48.844442983158999</v>
      </c>
      <c r="P841">
        <f t="shared" si="177"/>
        <v>788</v>
      </c>
      <c r="Q841">
        <f t="shared" si="171"/>
        <v>102.309342659012</v>
      </c>
      <c r="R841">
        <f t="shared" si="178"/>
        <v>102.309342659012</v>
      </c>
      <c r="S841">
        <f t="shared" si="173"/>
        <v>105.52864890098347</v>
      </c>
      <c r="T841">
        <f t="shared" si="179"/>
        <v>105.52864890098347</v>
      </c>
      <c r="U841" s="3">
        <f t="shared" si="180"/>
        <v>383.22650046737999</v>
      </c>
      <c r="V841">
        <f t="shared" si="172"/>
        <v>737</v>
      </c>
      <c r="W841" s="8">
        <f t="shared" si="174"/>
        <v>50.84322494736</v>
      </c>
      <c r="X841" s="1">
        <f t="shared" si="181"/>
        <v>50.84322494736</v>
      </c>
      <c r="Y841" s="18"/>
      <c r="Z841" s="7"/>
      <c r="AA841" s="1"/>
      <c r="AB841" s="1"/>
      <c r="AC841" s="1"/>
    </row>
    <row r="842" spans="1:29" x14ac:dyDescent="0.3">
      <c r="A842">
        <v>841</v>
      </c>
      <c r="E842">
        <v>-116.9489550152</v>
      </c>
      <c r="F842">
        <v>124.79680616020001</v>
      </c>
      <c r="G842">
        <v>416.64482370821997</v>
      </c>
      <c r="H842">
        <v>48.823936056199997</v>
      </c>
      <c r="I842">
        <v>74.163460610938003</v>
      </c>
      <c r="J842">
        <v>383.70169296419999</v>
      </c>
      <c r="L842" s="1">
        <f t="shared" si="182"/>
        <v>3.6453943262320081</v>
      </c>
      <c r="M842">
        <f t="shared" si="183"/>
        <v>2954.2168788828676</v>
      </c>
      <c r="N842">
        <f t="shared" si="175"/>
        <v>8.2061579968968541</v>
      </c>
      <c r="O842">
        <f t="shared" si="176"/>
        <v>48.823936056199997</v>
      </c>
      <c r="P842">
        <f t="shared" si="177"/>
        <v>789</v>
      </c>
      <c r="Q842">
        <f t="shared" si="171"/>
        <v>102.338328811336</v>
      </c>
      <c r="R842">
        <f t="shared" si="178"/>
        <v>102.338328811336</v>
      </c>
      <c r="S842">
        <f t="shared" si="173"/>
        <v>105.55125325051668</v>
      </c>
      <c r="T842">
        <f t="shared" si="179"/>
        <v>105.55125325051668</v>
      </c>
      <c r="U842" s="3">
        <f t="shared" si="180"/>
        <v>383.70169296419999</v>
      </c>
      <c r="V842">
        <f t="shared" si="172"/>
        <v>738</v>
      </c>
      <c r="W842" s="8">
        <f t="shared" si="174"/>
        <v>50.839990571560008</v>
      </c>
      <c r="X842" s="1">
        <f t="shared" si="181"/>
        <v>50.839990571560008</v>
      </c>
      <c r="Y842" s="18"/>
      <c r="Z842" s="7"/>
      <c r="AA842" s="1"/>
      <c r="AB842" s="1"/>
      <c r="AC842" s="1"/>
    </row>
    <row r="843" spans="1:29" x14ac:dyDescent="0.3">
      <c r="A843">
        <v>842</v>
      </c>
      <c r="E843">
        <v>-116.2672964396</v>
      </c>
      <c r="F843">
        <v>121.92479447325</v>
      </c>
      <c r="G843">
        <v>417.72331458215001</v>
      </c>
      <c r="H843">
        <v>48.804766448236997</v>
      </c>
      <c r="I843">
        <v>77.810032538030995</v>
      </c>
      <c r="J843">
        <v>384.17824038351</v>
      </c>
      <c r="L843" s="1">
        <f t="shared" si="182"/>
        <v>3.6465719270929924</v>
      </c>
      <c r="M843">
        <f t="shared" si="183"/>
        <v>2957.8634508099608</v>
      </c>
      <c r="N843">
        <f t="shared" si="175"/>
        <v>8.216287363361003</v>
      </c>
      <c r="O843">
        <f t="shared" si="176"/>
        <v>48.804766448236997</v>
      </c>
      <c r="P843">
        <f t="shared" si="177"/>
        <v>790</v>
      </c>
      <c r="Q843">
        <f t="shared" si="171"/>
        <v>102.361185772086</v>
      </c>
      <c r="R843">
        <f t="shared" si="178"/>
        <v>102.361185772086</v>
      </c>
      <c r="S843">
        <f t="shared" si="173"/>
        <v>105.56205570813393</v>
      </c>
      <c r="T843">
        <f t="shared" si="179"/>
        <v>105.56205570813393</v>
      </c>
      <c r="U843" s="3">
        <f t="shared" si="180"/>
        <v>384.17824038351</v>
      </c>
      <c r="V843">
        <f t="shared" si="172"/>
        <v>739</v>
      </c>
      <c r="W843" s="8">
        <f t="shared" si="174"/>
        <v>50.830260958589975</v>
      </c>
      <c r="X843" s="1">
        <f t="shared" si="181"/>
        <v>50.830260958589975</v>
      </c>
      <c r="Y843" s="18"/>
      <c r="Z843" s="7"/>
      <c r="AA843" s="1"/>
      <c r="AB843" s="1"/>
      <c r="AC843" s="1"/>
    </row>
    <row r="844" spans="1:29" x14ac:dyDescent="0.3">
      <c r="A844">
        <v>843</v>
      </c>
      <c r="E844">
        <v>-115.5871332721</v>
      </c>
      <c r="F844">
        <v>118.99451914247</v>
      </c>
      <c r="G844">
        <v>418.63249194639002</v>
      </c>
      <c r="H844">
        <v>48.804414598614002</v>
      </c>
      <c r="I844">
        <v>81.455534277582998</v>
      </c>
      <c r="J844">
        <v>384.66452006237</v>
      </c>
      <c r="L844" s="1">
        <f t="shared" si="182"/>
        <v>3.6455017395520031</v>
      </c>
      <c r="M844">
        <f t="shared" si="183"/>
        <v>2961.5089525495127</v>
      </c>
      <c r="N844">
        <f t="shared" si="175"/>
        <v>8.2264137570819802</v>
      </c>
      <c r="O844">
        <f t="shared" si="176"/>
        <v>48.804414598614002</v>
      </c>
      <c r="P844">
        <f t="shared" si="177"/>
        <v>791</v>
      </c>
      <c r="Q844">
        <f t="shared" si="171"/>
        <v>102.396859810846</v>
      </c>
      <c r="R844">
        <f t="shared" si="178"/>
        <v>102.396859810846</v>
      </c>
      <c r="S844">
        <f t="shared" si="173"/>
        <v>105.58933731579053</v>
      </c>
      <c r="T844">
        <f t="shared" si="179"/>
        <v>105.58933731579053</v>
      </c>
      <c r="U844" s="3">
        <f t="shared" si="180"/>
        <v>384.66452006237</v>
      </c>
      <c r="V844">
        <f t="shared" si="172"/>
        <v>740</v>
      </c>
      <c r="W844" s="8">
        <f t="shared" si="174"/>
        <v>50.843240116229993</v>
      </c>
      <c r="X844" s="1">
        <f t="shared" si="181"/>
        <v>50.843240116229993</v>
      </c>
      <c r="Y844" s="18"/>
      <c r="Z844" s="7"/>
      <c r="AA844" s="1"/>
      <c r="AB844" s="1"/>
      <c r="AC844" s="1"/>
    </row>
    <row r="845" spans="1:29" x14ac:dyDescent="0.3">
      <c r="A845">
        <v>844</v>
      </c>
      <c r="E845">
        <v>-114.9395026868</v>
      </c>
      <c r="F845">
        <v>116.00208898308</v>
      </c>
      <c r="G845">
        <v>419.34146914713</v>
      </c>
      <c r="H845">
        <v>48.790482779100998</v>
      </c>
      <c r="I845">
        <v>85.105118506454005</v>
      </c>
      <c r="J845">
        <v>385.13193906098002</v>
      </c>
      <c r="L845" s="1">
        <f t="shared" si="182"/>
        <v>3.6495842288710065</v>
      </c>
      <c r="M845">
        <f t="shared" si="183"/>
        <v>2965.1585367783837</v>
      </c>
      <c r="N845">
        <f t="shared" si="175"/>
        <v>8.2365514910510651</v>
      </c>
      <c r="O845">
        <f t="shared" si="176"/>
        <v>48.790482779100998</v>
      </c>
      <c r="P845">
        <f t="shared" si="177"/>
        <v>793</v>
      </c>
      <c r="Q845">
        <f t="shared" si="171"/>
        <v>102.444007171032</v>
      </c>
      <c r="R845">
        <f t="shared" si="178"/>
        <v>102.444007171032</v>
      </c>
      <c r="S845">
        <f t="shared" si="173"/>
        <v>105.54645373539581</v>
      </c>
      <c r="T845">
        <f t="shared" si="179"/>
        <v>105.54645373539581</v>
      </c>
      <c r="U845" s="3">
        <f t="shared" si="180"/>
        <v>385.13193906098002</v>
      </c>
      <c r="V845">
        <f t="shared" si="172"/>
        <v>741</v>
      </c>
      <c r="W845" s="8">
        <f t="shared" si="174"/>
        <v>50.829963187029989</v>
      </c>
      <c r="X845" s="1">
        <f t="shared" si="181"/>
        <v>50.829963187029989</v>
      </c>
      <c r="Y845" s="18"/>
      <c r="Z845" s="7"/>
      <c r="AA845" s="1"/>
      <c r="AB845" s="1"/>
      <c r="AC845" s="1"/>
    </row>
    <row r="846" spans="1:29" x14ac:dyDescent="0.3">
      <c r="A846">
        <v>845</v>
      </c>
      <c r="E846">
        <v>-114.3050165855</v>
      </c>
      <c r="F846">
        <v>112.9690156787</v>
      </c>
      <c r="G846">
        <v>419.86617087991999</v>
      </c>
      <c r="H846">
        <v>48.785347785417997</v>
      </c>
      <c r="I846">
        <v>88.755574042532999</v>
      </c>
      <c r="J846">
        <v>385.59939876943002</v>
      </c>
      <c r="L846" s="1">
        <f t="shared" si="182"/>
        <v>3.6504555360789936</v>
      </c>
      <c r="M846">
        <f t="shared" si="183"/>
        <v>2968.8089923144626</v>
      </c>
      <c r="N846">
        <f t="shared" si="175"/>
        <v>8.2466916453179522</v>
      </c>
      <c r="O846">
        <f t="shared" si="176"/>
        <v>48.785347785417997</v>
      </c>
      <c r="P846">
        <f t="shared" si="177"/>
        <v>794</v>
      </c>
      <c r="Q846">
        <f t="shared" si="171"/>
        <v>102.44090566215701</v>
      </c>
      <c r="R846">
        <f t="shared" si="178"/>
        <v>102.44090566215701</v>
      </c>
      <c r="S846">
        <f t="shared" si="173"/>
        <v>105.53606709167087</v>
      </c>
      <c r="T846">
        <f t="shared" si="179"/>
        <v>105.53606709167087</v>
      </c>
      <c r="U846" s="3">
        <f t="shared" si="180"/>
        <v>385.59939876943002</v>
      </c>
      <c r="V846">
        <f t="shared" si="172"/>
        <v>742</v>
      </c>
      <c r="W846" s="8">
        <f t="shared" si="174"/>
        <v>50.816036361070019</v>
      </c>
      <c r="X846" s="1">
        <f t="shared" si="181"/>
        <v>50.816036361070019</v>
      </c>
      <c r="Y846" s="18"/>
      <c r="Z846" s="7"/>
      <c r="AA846" s="1"/>
      <c r="AB846" s="1"/>
      <c r="AC846" s="1"/>
    </row>
    <row r="847" spans="1:29" x14ac:dyDescent="0.3">
      <c r="A847">
        <v>846</v>
      </c>
      <c r="E847">
        <v>-113.6695453873</v>
      </c>
      <c r="F847">
        <v>109.91195142462</v>
      </c>
      <c r="G847">
        <v>420.22068708261003</v>
      </c>
      <c r="H847">
        <v>48.806723510155997</v>
      </c>
      <c r="I847">
        <v>92.402461942825994</v>
      </c>
      <c r="J847">
        <v>386.08051425372003</v>
      </c>
      <c r="L847" s="1">
        <f t="shared" si="182"/>
        <v>3.6468879002929953</v>
      </c>
      <c r="M847">
        <f t="shared" si="183"/>
        <v>2972.4558802147558</v>
      </c>
      <c r="N847">
        <f t="shared" si="175"/>
        <v>8.2568218894854333</v>
      </c>
      <c r="O847">
        <f t="shared" si="176"/>
        <v>48.806723510155997</v>
      </c>
      <c r="P847">
        <f t="shared" si="177"/>
        <v>795</v>
      </c>
      <c r="Q847">
        <f t="shared" si="171"/>
        <v>102.45235376541</v>
      </c>
      <c r="R847">
        <f t="shared" si="178"/>
        <v>102.45235376541</v>
      </c>
      <c r="S847">
        <f t="shared" si="173"/>
        <v>105.54167362770588</v>
      </c>
      <c r="T847">
        <f t="shared" si="179"/>
        <v>105.54167362770588</v>
      </c>
      <c r="U847" s="3">
        <f t="shared" si="180"/>
        <v>386.08051425372003</v>
      </c>
      <c r="V847">
        <f t="shared" si="172"/>
        <v>743</v>
      </c>
      <c r="W847" s="8">
        <f t="shared" si="174"/>
        <v>50.787805329410048</v>
      </c>
      <c r="X847" s="1">
        <f t="shared" si="181"/>
        <v>50.787805329410048</v>
      </c>
      <c r="Y847" s="18"/>
      <c r="Z847" s="7"/>
      <c r="AA847" s="1"/>
      <c r="AB847" s="1"/>
      <c r="AC847" s="1"/>
    </row>
    <row r="848" spans="1:29" x14ac:dyDescent="0.3">
      <c r="A848">
        <v>847</v>
      </c>
      <c r="E848">
        <v>-113.051719948</v>
      </c>
      <c r="F848">
        <v>106.8353742986</v>
      </c>
      <c r="G848">
        <v>420.39176440571998</v>
      </c>
      <c r="H848">
        <v>48.840455454477002</v>
      </c>
      <c r="I848">
        <v>96.048043400791997</v>
      </c>
      <c r="J848">
        <v>386.55797301163</v>
      </c>
      <c r="L848" s="1">
        <f t="shared" si="182"/>
        <v>3.6455814579660029</v>
      </c>
      <c r="M848">
        <f t="shared" si="183"/>
        <v>2976.1014616727216</v>
      </c>
      <c r="N848">
        <f t="shared" si="175"/>
        <v>8.2669485046464484</v>
      </c>
      <c r="O848">
        <f t="shared" si="176"/>
        <v>48.840455454477002</v>
      </c>
      <c r="P848">
        <f t="shared" si="177"/>
        <v>796</v>
      </c>
      <c r="Q848">
        <f t="shared" si="171"/>
        <v>102.485224777393</v>
      </c>
      <c r="R848">
        <f t="shared" si="178"/>
        <v>102.485224777393</v>
      </c>
      <c r="S848">
        <f t="shared" si="173"/>
        <v>105.57211262201561</v>
      </c>
      <c r="T848">
        <f t="shared" si="179"/>
        <v>105.57211262201561</v>
      </c>
      <c r="U848" s="3">
        <f t="shared" si="180"/>
        <v>386.55797301163</v>
      </c>
      <c r="V848">
        <f t="shared" si="172"/>
        <v>744</v>
      </c>
      <c r="W848" s="8">
        <f t="shared" si="174"/>
        <v>50.777226498260006</v>
      </c>
      <c r="X848" s="1">
        <f t="shared" si="181"/>
        <v>50.777226498260006</v>
      </c>
      <c r="Y848" s="18"/>
      <c r="Z848" s="7"/>
      <c r="AA848" s="1"/>
      <c r="AB848" s="1"/>
      <c r="AC848" s="1"/>
    </row>
    <row r="849" spans="1:29" x14ac:dyDescent="0.3">
      <c r="A849">
        <v>848</v>
      </c>
      <c r="E849">
        <v>-112.44501103739999</v>
      </c>
      <c r="F849">
        <v>103.75205314750001</v>
      </c>
      <c r="G849">
        <v>420.36314148880001</v>
      </c>
      <c r="H849">
        <v>48.871598166532003</v>
      </c>
      <c r="I849">
        <v>99.690291765891004</v>
      </c>
      <c r="J849">
        <v>387.04009681036001</v>
      </c>
      <c r="L849" s="1">
        <f t="shared" si="182"/>
        <v>3.6422483650990074</v>
      </c>
      <c r="M849">
        <f t="shared" si="183"/>
        <v>2979.7437100378206</v>
      </c>
      <c r="N849">
        <f t="shared" si="175"/>
        <v>8.2770658612161689</v>
      </c>
      <c r="O849">
        <f t="shared" si="176"/>
        <v>48.871598166532003</v>
      </c>
      <c r="P849">
        <f t="shared" si="177"/>
        <v>797</v>
      </c>
      <c r="Q849">
        <f t="shared" si="171"/>
        <v>102.503933508776</v>
      </c>
      <c r="R849">
        <f t="shared" si="178"/>
        <v>102.503933508776</v>
      </c>
      <c r="S849">
        <f t="shared" si="173"/>
        <v>105.59019466464626</v>
      </c>
      <c r="T849">
        <f t="shared" si="179"/>
        <v>105.59019466464626</v>
      </c>
      <c r="U849" s="3">
        <f t="shared" si="180"/>
        <v>387.04009681036001</v>
      </c>
      <c r="V849">
        <f t="shared" si="172"/>
        <v>745</v>
      </c>
      <c r="W849" s="8">
        <f t="shared" si="174"/>
        <v>50.796063279900011</v>
      </c>
      <c r="X849" s="1">
        <f t="shared" si="181"/>
        <v>50.796063279900011</v>
      </c>
      <c r="Y849" s="18"/>
      <c r="Z849" s="7"/>
      <c r="AA849" s="1"/>
      <c r="AB849" s="1"/>
      <c r="AC849" s="1"/>
    </row>
    <row r="850" spans="1:29" x14ac:dyDescent="0.3">
      <c r="A850">
        <v>849</v>
      </c>
      <c r="E850">
        <v>-111.8572228016</v>
      </c>
      <c r="F850">
        <v>100.67243830098001</v>
      </c>
      <c r="G850">
        <v>420.14711434517</v>
      </c>
      <c r="H850">
        <v>48.911737771390001</v>
      </c>
      <c r="I850">
        <v>103.33050559343999</v>
      </c>
      <c r="J850">
        <v>387.51854903040999</v>
      </c>
      <c r="L850" s="1">
        <f t="shared" si="182"/>
        <v>3.6402138275489904</v>
      </c>
      <c r="M850">
        <f t="shared" si="183"/>
        <v>2983.3839238653695</v>
      </c>
      <c r="N850">
        <f t="shared" si="175"/>
        <v>8.2871775662926925</v>
      </c>
      <c r="O850">
        <f t="shared" si="176"/>
        <v>48.911737771390001</v>
      </c>
      <c r="P850">
        <f t="shared" si="177"/>
        <v>798</v>
      </c>
      <c r="Q850">
        <f t="shared" ref="Q850:Q913" si="184">IF(P850=0,0,O850+INDEX(O:O,P850))</f>
        <v>102.51719265739899</v>
      </c>
      <c r="R850">
        <f t="shared" si="178"/>
        <v>102.51719265739899</v>
      </c>
      <c r="S850">
        <f t="shared" si="173"/>
        <v>105.6022148976231</v>
      </c>
      <c r="T850">
        <f t="shared" si="179"/>
        <v>105.6022148976231</v>
      </c>
      <c r="U850" s="3">
        <f t="shared" si="180"/>
        <v>387.51854903040999</v>
      </c>
      <c r="V850">
        <f t="shared" si="172"/>
        <v>746</v>
      </c>
      <c r="W850" s="8">
        <f t="shared" si="174"/>
        <v>50.807411320730012</v>
      </c>
      <c r="X850" s="1">
        <f t="shared" si="181"/>
        <v>50.807411320730012</v>
      </c>
      <c r="Y850" s="18"/>
      <c r="Z850" s="7"/>
      <c r="AA850" s="1"/>
      <c r="AB850" s="1"/>
      <c r="AC850" s="1"/>
    </row>
    <row r="851" spans="1:29" x14ac:dyDescent="0.3">
      <c r="A851">
        <v>850</v>
      </c>
      <c r="E851">
        <v>-111.2724143633</v>
      </c>
      <c r="F851">
        <v>97.611720328735998</v>
      </c>
      <c r="G851">
        <v>419.73933940334001</v>
      </c>
      <c r="H851">
        <v>48.956700471067997</v>
      </c>
      <c r="I851">
        <v>106.96508215179</v>
      </c>
      <c r="J851">
        <v>388.01016745196</v>
      </c>
      <c r="L851" s="1">
        <f t="shared" si="182"/>
        <v>3.6345765583500054</v>
      </c>
      <c r="M851">
        <f t="shared" si="183"/>
        <v>2987.0185004237196</v>
      </c>
      <c r="N851">
        <f t="shared" si="175"/>
        <v>8.2972736122881106</v>
      </c>
      <c r="O851">
        <f t="shared" si="176"/>
        <v>48.956700471067997</v>
      </c>
      <c r="P851">
        <f t="shared" si="177"/>
        <v>799</v>
      </c>
      <c r="Q851">
        <f t="shared" si="184"/>
        <v>102.530743947536</v>
      </c>
      <c r="R851">
        <f t="shared" si="178"/>
        <v>102.530743947536</v>
      </c>
      <c r="S851">
        <f t="shared" si="173"/>
        <v>105.61274877042301</v>
      </c>
      <c r="T851">
        <f t="shared" si="179"/>
        <v>105.61274877042301</v>
      </c>
      <c r="U851" s="3">
        <f t="shared" si="180"/>
        <v>388.01016745196</v>
      </c>
      <c r="V851">
        <f t="shared" si="172"/>
        <v>747</v>
      </c>
      <c r="W851" s="8">
        <f t="shared" si="174"/>
        <v>50.806643072919996</v>
      </c>
      <c r="X851" s="1">
        <f t="shared" si="181"/>
        <v>50.806643072919996</v>
      </c>
      <c r="Y851" s="18"/>
      <c r="Z851" s="7"/>
      <c r="AA851" s="1"/>
      <c r="AB851" s="1"/>
      <c r="AC851" s="1"/>
    </row>
    <row r="852" spans="1:29" x14ac:dyDescent="0.3">
      <c r="A852">
        <v>851</v>
      </c>
      <c r="E852">
        <v>-110.7061104668</v>
      </c>
      <c r="F852">
        <v>94.57871174265</v>
      </c>
      <c r="G852">
        <v>419.14316770071002</v>
      </c>
      <c r="H852">
        <v>49.007144163722003</v>
      </c>
      <c r="I852">
        <v>110.59623673231</v>
      </c>
      <c r="J852">
        <v>388.49957698818002</v>
      </c>
      <c r="L852" s="1">
        <f t="shared" si="182"/>
        <v>3.6311545805200041</v>
      </c>
      <c r="M852">
        <f t="shared" si="183"/>
        <v>2990.6496550042398</v>
      </c>
      <c r="N852">
        <f t="shared" si="175"/>
        <v>8.3073601527895544</v>
      </c>
      <c r="O852">
        <f t="shared" si="176"/>
        <v>49.007144163722003</v>
      </c>
      <c r="P852">
        <f t="shared" si="177"/>
        <v>800</v>
      </c>
      <c r="Q852">
        <f t="shared" si="184"/>
        <v>102.537538490564</v>
      </c>
      <c r="R852">
        <f t="shared" si="178"/>
        <v>102.537538490564</v>
      </c>
      <c r="S852">
        <f t="shared" si="173"/>
        <v>105.61097387884521</v>
      </c>
      <c r="T852">
        <f t="shared" si="179"/>
        <v>105.61097387884521</v>
      </c>
      <c r="U852" s="3">
        <f t="shared" si="180"/>
        <v>388.49957698818002</v>
      </c>
      <c r="V852">
        <f t="shared" si="172"/>
        <v>748</v>
      </c>
      <c r="W852" s="8">
        <f t="shared" si="174"/>
        <v>50.795674305860018</v>
      </c>
      <c r="X852" s="1">
        <f t="shared" si="181"/>
        <v>50.795674305860018</v>
      </c>
      <c r="Y852" s="18"/>
      <c r="Z852" s="7"/>
      <c r="AA852" s="1"/>
      <c r="AB852" s="1"/>
      <c r="AC852" s="1"/>
    </row>
    <row r="853" spans="1:29" x14ac:dyDescent="0.3">
      <c r="A853">
        <v>852</v>
      </c>
      <c r="E853">
        <v>-110.1510065184</v>
      </c>
      <c r="F853">
        <v>91.585145192246003</v>
      </c>
      <c r="G853">
        <v>418.36406137521999</v>
      </c>
      <c r="H853">
        <v>49.066723220897003</v>
      </c>
      <c r="I853">
        <v>114.22243153855</v>
      </c>
      <c r="J853">
        <v>388.99408837000999</v>
      </c>
      <c r="L853" s="1">
        <f t="shared" si="182"/>
        <v>3.6261948062399938</v>
      </c>
      <c r="M853">
        <f t="shared" si="183"/>
        <v>2994.2758498104799</v>
      </c>
      <c r="N853">
        <f t="shared" si="175"/>
        <v>8.3174329161402216</v>
      </c>
      <c r="O853">
        <f t="shared" si="176"/>
        <v>49.066723220897003</v>
      </c>
      <c r="P853">
        <f t="shared" si="177"/>
        <v>801</v>
      </c>
      <c r="Q853">
        <f t="shared" si="184"/>
        <v>102.529499195837</v>
      </c>
      <c r="R853">
        <f t="shared" si="178"/>
        <v>102.529499195837</v>
      </c>
      <c r="S853">
        <f t="shared" si="173"/>
        <v>105.5918684581388</v>
      </c>
      <c r="T853">
        <f t="shared" si="179"/>
        <v>105.5918684581388</v>
      </c>
      <c r="U853" s="3">
        <f t="shared" si="180"/>
        <v>388.99408837000999</v>
      </c>
      <c r="V853">
        <f t="shared" si="172"/>
        <v>749</v>
      </c>
      <c r="W853" s="8">
        <f t="shared" si="174"/>
        <v>50.801184231229968</v>
      </c>
      <c r="X853" s="1">
        <f t="shared" si="181"/>
        <v>50.801184231229968</v>
      </c>
      <c r="Y853" s="18"/>
      <c r="Z853" s="7"/>
      <c r="AA853" s="1"/>
      <c r="AB853" s="1"/>
      <c r="AC853" s="1"/>
    </row>
    <row r="854" spans="1:29" x14ac:dyDescent="0.3">
      <c r="A854">
        <v>853</v>
      </c>
      <c r="E854">
        <v>-109.6105141545</v>
      </c>
      <c r="F854">
        <v>88.642543747442005</v>
      </c>
      <c r="G854">
        <v>417.40249229654</v>
      </c>
      <c r="H854">
        <v>49.132527985247002</v>
      </c>
      <c r="I854">
        <v>117.84327424801</v>
      </c>
      <c r="J854">
        <v>389.49073092969002</v>
      </c>
      <c r="L854" s="1">
        <f t="shared" si="182"/>
        <v>3.6208427094600069</v>
      </c>
      <c r="M854">
        <f t="shared" si="183"/>
        <v>2997.8966925199397</v>
      </c>
      <c r="N854">
        <f t="shared" si="175"/>
        <v>8.3274908125553875</v>
      </c>
      <c r="O854">
        <f t="shared" si="176"/>
        <v>49.132527985247002</v>
      </c>
      <c r="P854">
        <f t="shared" si="177"/>
        <v>802</v>
      </c>
      <c r="Q854">
        <f t="shared" si="184"/>
        <v>102.54170715179501</v>
      </c>
      <c r="R854">
        <f t="shared" si="178"/>
        <v>102.54170715179501</v>
      </c>
      <c r="S854">
        <f t="shared" si="173"/>
        <v>105.60265376188936</v>
      </c>
      <c r="T854">
        <f t="shared" si="179"/>
        <v>105.60265376188936</v>
      </c>
      <c r="U854" s="3">
        <f t="shared" si="180"/>
        <v>389.49073092969002</v>
      </c>
      <c r="V854">
        <f t="shared" si="172"/>
        <v>750</v>
      </c>
      <c r="W854" s="8">
        <f t="shared" si="174"/>
        <v>50.824491782750044</v>
      </c>
      <c r="X854" s="1">
        <f t="shared" si="181"/>
        <v>50.824491782750044</v>
      </c>
      <c r="Y854" s="18"/>
      <c r="Z854" s="7"/>
      <c r="AA854" s="1"/>
      <c r="AB854" s="1"/>
      <c r="AC854" s="1"/>
    </row>
    <row r="855" spans="1:29" x14ac:dyDescent="0.3">
      <c r="A855">
        <v>854</v>
      </c>
      <c r="E855">
        <v>-109.10597054839999</v>
      </c>
      <c r="F855">
        <v>85.756473258998994</v>
      </c>
      <c r="G855">
        <v>416.26576692936999</v>
      </c>
      <c r="H855">
        <v>49.208038019096001</v>
      </c>
      <c r="I855">
        <v>121.46230422743</v>
      </c>
      <c r="J855">
        <v>389.96789250028002</v>
      </c>
      <c r="L855" s="1">
        <f t="shared" si="182"/>
        <v>3.6190299794199916</v>
      </c>
      <c r="M855">
        <f t="shared" si="183"/>
        <v>3001.5157224993595</v>
      </c>
      <c r="N855">
        <f t="shared" si="175"/>
        <v>8.337543673609332</v>
      </c>
      <c r="O855">
        <f t="shared" si="176"/>
        <v>49.208038019096001</v>
      </c>
      <c r="P855">
        <f t="shared" si="177"/>
        <v>803</v>
      </c>
      <c r="Q855">
        <f t="shared" si="184"/>
        <v>102.539676241329</v>
      </c>
      <c r="R855">
        <f t="shared" si="178"/>
        <v>102.539676241329</v>
      </c>
      <c r="S855">
        <f t="shared" si="173"/>
        <v>105.59064281689875</v>
      </c>
      <c r="T855">
        <f t="shared" si="179"/>
        <v>105.59064281689875</v>
      </c>
      <c r="U855" s="3">
        <f t="shared" si="180"/>
        <v>389.96789250028002</v>
      </c>
      <c r="V855">
        <f t="shared" si="172"/>
        <v>751</v>
      </c>
      <c r="W855" s="8">
        <f t="shared" si="174"/>
        <v>50.815569544360017</v>
      </c>
      <c r="X855" s="1">
        <f t="shared" si="181"/>
        <v>50.815569544360017</v>
      </c>
      <c r="Y855" s="18"/>
      <c r="Z855" s="7"/>
      <c r="AA855" s="1"/>
      <c r="AB855" s="1"/>
      <c r="AC855" s="1"/>
    </row>
    <row r="856" spans="1:29" x14ac:dyDescent="0.3">
      <c r="A856">
        <v>855</v>
      </c>
      <c r="E856">
        <v>-108.598867926</v>
      </c>
      <c r="F856">
        <v>82.940310941226997</v>
      </c>
      <c r="G856">
        <v>414.96616752070003</v>
      </c>
      <c r="H856">
        <v>49.303009531039002</v>
      </c>
      <c r="I856">
        <v>125.07123134058</v>
      </c>
      <c r="J856">
        <v>390.46348070659002</v>
      </c>
      <c r="L856" s="1">
        <f t="shared" si="182"/>
        <v>3.6089271131500027</v>
      </c>
      <c r="M856">
        <f t="shared" si="183"/>
        <v>3005.1246496125095</v>
      </c>
      <c r="N856">
        <f t="shared" si="175"/>
        <v>8.3475684711458591</v>
      </c>
      <c r="O856">
        <f t="shared" si="176"/>
        <v>49.303009531039002</v>
      </c>
      <c r="P856">
        <f t="shared" si="177"/>
        <v>805</v>
      </c>
      <c r="Q856">
        <f t="shared" si="184"/>
        <v>102.48467413896401</v>
      </c>
      <c r="R856">
        <f t="shared" si="178"/>
        <v>102.48467413896401</v>
      </c>
      <c r="S856">
        <f t="shared" si="173"/>
        <v>105.46182791468351</v>
      </c>
      <c r="T856">
        <f t="shared" si="179"/>
        <v>105.46182791468351</v>
      </c>
      <c r="U856" s="3">
        <f t="shared" si="180"/>
        <v>390.46348070659002</v>
      </c>
      <c r="V856">
        <f t="shared" si="172"/>
        <v>752</v>
      </c>
      <c r="W856" s="8">
        <f t="shared" si="174"/>
        <v>50.820229983950014</v>
      </c>
      <c r="X856" s="1">
        <f t="shared" si="181"/>
        <v>50.820229983950014</v>
      </c>
      <c r="Y856" s="18"/>
      <c r="Z856" s="7"/>
      <c r="AA856" s="1"/>
      <c r="AB856" s="1"/>
      <c r="AC856" s="1"/>
    </row>
    <row r="857" spans="1:29" x14ac:dyDescent="0.3">
      <c r="A857">
        <v>856</v>
      </c>
      <c r="E857">
        <v>-108.13204867810001</v>
      </c>
      <c r="F857">
        <v>80.219441217669996</v>
      </c>
      <c r="G857">
        <v>413.46497124449002</v>
      </c>
      <c r="H857">
        <v>49.36783519203</v>
      </c>
      <c r="I857">
        <v>128.67844955245999</v>
      </c>
      <c r="J857">
        <v>390.93895466930002</v>
      </c>
      <c r="L857" s="1">
        <f t="shared" si="182"/>
        <v>3.6072182118799958</v>
      </c>
      <c r="M857">
        <f t="shared" si="183"/>
        <v>3008.7318678243896</v>
      </c>
      <c r="N857">
        <f t="shared" si="175"/>
        <v>8.3575885217344155</v>
      </c>
      <c r="O857">
        <f t="shared" si="176"/>
        <v>49.36783519203</v>
      </c>
      <c r="P857">
        <f t="shared" si="177"/>
        <v>806</v>
      </c>
      <c r="Q857">
        <f t="shared" si="184"/>
        <v>102.466055249221</v>
      </c>
      <c r="R857">
        <f t="shared" si="178"/>
        <v>102.466055249221</v>
      </c>
      <c r="S857">
        <f t="shared" si="173"/>
        <v>105.44718287377333</v>
      </c>
      <c r="T857">
        <f t="shared" si="179"/>
        <v>105.44718287377333</v>
      </c>
      <c r="U857" s="3">
        <f t="shared" si="180"/>
        <v>390.93895466930002</v>
      </c>
      <c r="V857">
        <f t="shared" si="172"/>
        <v>753</v>
      </c>
      <c r="W857" s="8">
        <f t="shared" si="174"/>
        <v>50.799662862340028</v>
      </c>
      <c r="X857" s="1">
        <f t="shared" si="181"/>
        <v>50.799662862340028</v>
      </c>
      <c r="Y857" s="18"/>
      <c r="Z857" s="7"/>
      <c r="AA857" s="1"/>
      <c r="AB857" s="1"/>
      <c r="AC857" s="1"/>
    </row>
    <row r="858" spans="1:29" x14ac:dyDescent="0.3">
      <c r="A858">
        <v>857</v>
      </c>
      <c r="E858">
        <v>-107.66024256910001</v>
      </c>
      <c r="F858">
        <v>77.594481389148001</v>
      </c>
      <c r="G858">
        <v>411.80257531527002</v>
      </c>
      <c r="H858">
        <v>49.441439644915</v>
      </c>
      <c r="I858">
        <v>132.27679066287999</v>
      </c>
      <c r="J858">
        <v>391.43618841938002</v>
      </c>
      <c r="L858" s="1">
        <f t="shared" si="182"/>
        <v>3.5983411104199945</v>
      </c>
      <c r="M858">
        <f t="shared" si="183"/>
        <v>3012.3302089348094</v>
      </c>
      <c r="N858">
        <f t="shared" si="175"/>
        <v>8.3675839137078043</v>
      </c>
      <c r="O858">
        <f t="shared" si="176"/>
        <v>49.441439644915</v>
      </c>
      <c r="P858">
        <f t="shared" si="177"/>
        <v>807</v>
      </c>
      <c r="Q858">
        <f t="shared" si="184"/>
        <v>102.437182283872</v>
      </c>
      <c r="R858">
        <f t="shared" si="178"/>
        <v>102.437182283872</v>
      </c>
      <c r="S858">
        <f t="shared" si="173"/>
        <v>105.42220270818591</v>
      </c>
      <c r="T858">
        <f t="shared" si="179"/>
        <v>105.42220270818591</v>
      </c>
      <c r="U858" s="3">
        <f t="shared" si="180"/>
        <v>391.43618841938002</v>
      </c>
      <c r="V858">
        <f t="shared" si="172"/>
        <v>754</v>
      </c>
      <c r="W858" s="8">
        <f t="shared" si="174"/>
        <v>50.821702085620018</v>
      </c>
      <c r="X858" s="1">
        <f t="shared" si="181"/>
        <v>50.821702085620018</v>
      </c>
      <c r="Y858" s="18"/>
      <c r="Z858" s="7"/>
      <c r="AA858" s="1"/>
      <c r="AB858" s="1"/>
      <c r="AC858" s="1"/>
    </row>
    <row r="859" spans="1:29" x14ac:dyDescent="0.3">
      <c r="A859">
        <v>858</v>
      </c>
      <c r="E859">
        <v>-107.2199438313</v>
      </c>
      <c r="F859">
        <v>75.069546441892996</v>
      </c>
      <c r="G859">
        <v>409.98420286337</v>
      </c>
      <c r="H859">
        <v>49.522581916674</v>
      </c>
      <c r="I859">
        <v>135.8718243344</v>
      </c>
      <c r="J859">
        <v>391.91858235759997</v>
      </c>
      <c r="L859" s="1">
        <f t="shared" si="182"/>
        <v>3.5950336715200137</v>
      </c>
      <c r="M859">
        <f t="shared" si="183"/>
        <v>3015.9252426063294</v>
      </c>
      <c r="N859">
        <f t="shared" si="175"/>
        <v>8.3775701183509153</v>
      </c>
      <c r="O859">
        <f t="shared" si="176"/>
        <v>49.522581916674</v>
      </c>
      <c r="P859">
        <f t="shared" si="177"/>
        <v>808</v>
      </c>
      <c r="Q859">
        <f t="shared" si="184"/>
        <v>102.427781182332</v>
      </c>
      <c r="R859">
        <f t="shared" si="178"/>
        <v>102.427781182332</v>
      </c>
      <c r="S859">
        <f t="shared" si="173"/>
        <v>105.40175222785882</v>
      </c>
      <c r="T859">
        <f t="shared" si="179"/>
        <v>105.40175222785882</v>
      </c>
      <c r="U859" s="3">
        <f t="shared" si="180"/>
        <v>391.91858235759997</v>
      </c>
      <c r="V859">
        <f t="shared" si="172"/>
        <v>755</v>
      </c>
      <c r="W859" s="8">
        <f t="shared" si="174"/>
        <v>50.844074721869958</v>
      </c>
      <c r="X859" s="1">
        <f t="shared" si="181"/>
        <v>50.844074721869958</v>
      </c>
      <c r="Y859" s="18"/>
      <c r="Z859" s="7"/>
      <c r="AA859" s="1"/>
      <c r="AB859" s="1"/>
      <c r="AC859" s="1"/>
    </row>
    <row r="860" spans="1:29" x14ac:dyDescent="0.3">
      <c r="A860">
        <v>859</v>
      </c>
      <c r="E860">
        <v>-106.789416934</v>
      </c>
      <c r="F860">
        <v>72.650597081884001</v>
      </c>
      <c r="G860">
        <v>408.02456738025001</v>
      </c>
      <c r="H860">
        <v>49.621511850155997</v>
      </c>
      <c r="I860">
        <v>139.45889298092999</v>
      </c>
      <c r="J860">
        <v>392.40684534972002</v>
      </c>
      <c r="L860" s="1">
        <f t="shared" si="182"/>
        <v>3.5870686465299855</v>
      </c>
      <c r="M860">
        <f t="shared" si="183"/>
        <v>3019.5123112528595</v>
      </c>
      <c r="N860">
        <f t="shared" si="175"/>
        <v>8.3875341979246105</v>
      </c>
      <c r="O860">
        <f t="shared" si="176"/>
        <v>49.621511850155997</v>
      </c>
      <c r="P860">
        <f t="shared" si="177"/>
        <v>809</v>
      </c>
      <c r="Q860">
        <f t="shared" si="184"/>
        <v>102.441544379086</v>
      </c>
      <c r="R860">
        <f t="shared" si="178"/>
        <v>102.441544379086</v>
      </c>
      <c r="S860">
        <f t="shared" si="173"/>
        <v>105.40843254510396</v>
      </c>
      <c r="T860">
        <f t="shared" si="179"/>
        <v>105.40843254510396</v>
      </c>
      <c r="U860" s="3">
        <f t="shared" si="180"/>
        <v>392.40684534972002</v>
      </c>
      <c r="V860">
        <f t="shared" si="172"/>
        <v>756</v>
      </c>
      <c r="W860" s="8">
        <f t="shared" si="174"/>
        <v>50.863302286709995</v>
      </c>
      <c r="X860" s="1">
        <f t="shared" si="181"/>
        <v>50.863302286709995</v>
      </c>
      <c r="Y860" s="18"/>
      <c r="Z860" s="7"/>
      <c r="AA860" s="1"/>
      <c r="AB860" s="1"/>
      <c r="AC860" s="1"/>
    </row>
    <row r="861" spans="1:29" x14ac:dyDescent="0.3">
      <c r="A861">
        <v>860</v>
      </c>
      <c r="E861">
        <v>-106.352866883</v>
      </c>
      <c r="F861">
        <v>70.328445416194995</v>
      </c>
      <c r="G861">
        <v>405.95254988467002</v>
      </c>
      <c r="H861">
        <v>49.766962806305997</v>
      </c>
      <c r="I861">
        <v>143.03140818016001</v>
      </c>
      <c r="J861">
        <v>392.91402262609</v>
      </c>
      <c r="L861" s="1">
        <f t="shared" si="182"/>
        <v>3.5725151992300255</v>
      </c>
      <c r="M861">
        <f t="shared" si="183"/>
        <v>3023.0848264520896</v>
      </c>
      <c r="N861">
        <f t="shared" si="175"/>
        <v>8.3974578512558047</v>
      </c>
      <c r="O861">
        <f t="shared" si="176"/>
        <v>49.766962806305997</v>
      </c>
      <c r="P861">
        <f t="shared" si="177"/>
        <v>810</v>
      </c>
      <c r="Q861">
        <f t="shared" si="184"/>
        <v>102.493077060129</v>
      </c>
      <c r="R861">
        <f t="shared" si="178"/>
        <v>102.493077060129</v>
      </c>
      <c r="S861">
        <f t="shared" si="173"/>
        <v>105.46401917265673</v>
      </c>
      <c r="T861">
        <f t="shared" si="179"/>
        <v>105.46401917265673</v>
      </c>
      <c r="U861" s="3">
        <f t="shared" si="180"/>
        <v>392.91402262609</v>
      </c>
      <c r="V861">
        <f t="shared" si="172"/>
        <v>757</v>
      </c>
      <c r="W861" s="8">
        <f t="shared" si="174"/>
        <v>50.873287511320029</v>
      </c>
      <c r="X861" s="1">
        <f t="shared" si="181"/>
        <v>50.873287511320029</v>
      </c>
      <c r="Y861" s="18"/>
      <c r="Z861" s="7"/>
      <c r="AA861" s="1"/>
      <c r="AB861" s="1"/>
      <c r="AC861" s="1"/>
    </row>
    <row r="862" spans="1:29" x14ac:dyDescent="0.3">
      <c r="A862">
        <v>861</v>
      </c>
      <c r="E862">
        <v>-105.99524771900001</v>
      </c>
      <c r="F862">
        <v>68.180065697339998</v>
      </c>
      <c r="G862">
        <v>403.68725287440998</v>
      </c>
      <c r="H862">
        <v>49.840778720095997</v>
      </c>
      <c r="I862">
        <v>146.60870892374001</v>
      </c>
      <c r="J862">
        <v>393.36509448752003</v>
      </c>
      <c r="L862" s="1">
        <f t="shared" si="182"/>
        <v>3.5773007435799968</v>
      </c>
      <c r="M862">
        <f t="shared" si="183"/>
        <v>3026.6621271956697</v>
      </c>
      <c r="N862">
        <f t="shared" si="175"/>
        <v>8.4073947977657486</v>
      </c>
      <c r="O862">
        <f t="shared" si="176"/>
        <v>49.840778720095997</v>
      </c>
      <c r="P862">
        <f t="shared" si="177"/>
        <v>811</v>
      </c>
      <c r="Q862">
        <f t="shared" si="184"/>
        <v>102.455000182522</v>
      </c>
      <c r="R862">
        <f t="shared" si="178"/>
        <v>102.455000182522</v>
      </c>
      <c r="S862">
        <f t="shared" si="173"/>
        <v>105.42642683827192</v>
      </c>
      <c r="T862">
        <f t="shared" si="179"/>
        <v>105.42642683827192</v>
      </c>
      <c r="U862" s="3">
        <f t="shared" si="180"/>
        <v>393.36509448752003</v>
      </c>
      <c r="V862">
        <f t="shared" si="172"/>
        <v>758</v>
      </c>
      <c r="W862" s="8">
        <f t="shared" si="174"/>
        <v>50.834964900480031</v>
      </c>
      <c r="X862" s="1">
        <f t="shared" si="181"/>
        <v>50.834964900480031</v>
      </c>
      <c r="Y862" s="18"/>
      <c r="Z862" s="7"/>
      <c r="AA862" s="1"/>
      <c r="AB862" s="1"/>
      <c r="AC862" s="1"/>
    </row>
    <row r="863" spans="1:29" x14ac:dyDescent="0.3">
      <c r="A863">
        <v>862</v>
      </c>
      <c r="E863">
        <v>-105.62021944289999</v>
      </c>
      <c r="F863">
        <v>66.184201099182005</v>
      </c>
      <c r="G863">
        <v>401.28883912013998</v>
      </c>
      <c r="H863">
        <v>49.907946168735997</v>
      </c>
      <c r="I863">
        <v>150.17548754706999</v>
      </c>
      <c r="J863">
        <v>393.85033137637998</v>
      </c>
      <c r="L863" s="1">
        <f t="shared" si="182"/>
        <v>3.5667786233299807</v>
      </c>
      <c r="M863">
        <f t="shared" si="183"/>
        <v>3030.2289058189995</v>
      </c>
      <c r="N863">
        <f t="shared" si="175"/>
        <v>8.4173025161638879</v>
      </c>
      <c r="O863">
        <f t="shared" si="176"/>
        <v>49.907946168735997</v>
      </c>
      <c r="P863">
        <f t="shared" si="177"/>
        <v>812</v>
      </c>
      <c r="Q863">
        <f t="shared" si="184"/>
        <v>102.41819008966499</v>
      </c>
      <c r="R863">
        <f t="shared" si="178"/>
        <v>102.41819008966499</v>
      </c>
      <c r="S863">
        <f t="shared" si="173"/>
        <v>105.3770896824402</v>
      </c>
      <c r="T863">
        <f t="shared" si="179"/>
        <v>105.3770896824402</v>
      </c>
      <c r="U863" s="3">
        <f t="shared" si="180"/>
        <v>393.85033137637998</v>
      </c>
      <c r="V863">
        <f t="shared" si="172"/>
        <v>759</v>
      </c>
      <c r="W863" s="8">
        <f t="shared" si="174"/>
        <v>50.837806018459958</v>
      </c>
      <c r="X863" s="1">
        <f t="shared" si="181"/>
        <v>50.837806018459958</v>
      </c>
      <c r="Y863" s="18"/>
      <c r="Z863" s="7"/>
      <c r="AA863" s="1"/>
      <c r="AB863" s="1"/>
      <c r="AC863" s="1"/>
    </row>
    <row r="864" spans="1:29" x14ac:dyDescent="0.3">
      <c r="A864">
        <v>863</v>
      </c>
      <c r="E864">
        <v>-105.2613919058</v>
      </c>
      <c r="F864">
        <v>64.345801638126005</v>
      </c>
      <c r="G864">
        <v>398.76554599477998</v>
      </c>
      <c r="H864">
        <v>49.966610819404004</v>
      </c>
      <c r="I864">
        <v>153.73773638097001</v>
      </c>
      <c r="J864">
        <v>394.3357984978</v>
      </c>
      <c r="L864" s="1">
        <f t="shared" si="182"/>
        <v>3.5622488339000142</v>
      </c>
      <c r="M864">
        <f t="shared" si="183"/>
        <v>3033.7911546528994</v>
      </c>
      <c r="N864">
        <f t="shared" si="175"/>
        <v>8.4271976518136089</v>
      </c>
      <c r="O864">
        <f t="shared" si="176"/>
        <v>49.966610819404004</v>
      </c>
      <c r="P864">
        <f t="shared" si="177"/>
        <v>813</v>
      </c>
      <c r="Q864">
        <f t="shared" si="184"/>
        <v>102.33751377630901</v>
      </c>
      <c r="R864">
        <f t="shared" si="178"/>
        <v>102.33751377630901</v>
      </c>
      <c r="S864">
        <f t="shared" si="173"/>
        <v>105.28820113583787</v>
      </c>
      <c r="T864">
        <f t="shared" si="179"/>
        <v>105.28820113583787</v>
      </c>
      <c r="U864" s="3">
        <f t="shared" si="180"/>
        <v>394.3357984978</v>
      </c>
      <c r="V864">
        <f t="shared" si="172"/>
        <v>760</v>
      </c>
      <c r="W864" s="8">
        <f t="shared" si="174"/>
        <v>50.831150646159983</v>
      </c>
      <c r="X864" s="1">
        <f t="shared" si="181"/>
        <v>50.831150646159983</v>
      </c>
      <c r="Y864" s="18"/>
      <c r="Z864" s="7"/>
      <c r="AA864" s="1"/>
      <c r="AB864" s="1"/>
      <c r="AC864" s="1"/>
    </row>
    <row r="865" spans="1:29" x14ac:dyDescent="0.3">
      <c r="A865">
        <v>864</v>
      </c>
      <c r="E865">
        <v>-104.9036526096</v>
      </c>
      <c r="F865">
        <v>62.662289234793001</v>
      </c>
      <c r="G865">
        <v>396.13606230257</v>
      </c>
      <c r="H865">
        <v>50.030708648162999</v>
      </c>
      <c r="I865">
        <v>157.29316523352</v>
      </c>
      <c r="J865">
        <v>394.83494514099999</v>
      </c>
      <c r="L865" s="1">
        <f t="shared" si="182"/>
        <v>3.5554288525499942</v>
      </c>
      <c r="M865">
        <f t="shared" si="183"/>
        <v>3037.3465835054494</v>
      </c>
      <c r="N865">
        <f t="shared" si="175"/>
        <v>8.4370738430706922</v>
      </c>
      <c r="O865">
        <f t="shared" si="176"/>
        <v>50.030708648162999</v>
      </c>
      <c r="P865">
        <f t="shared" si="177"/>
        <v>814</v>
      </c>
      <c r="Q865">
        <f t="shared" si="184"/>
        <v>102.28949711854699</v>
      </c>
      <c r="R865">
        <f t="shared" si="178"/>
        <v>102.28949711854699</v>
      </c>
      <c r="S865">
        <f t="shared" si="173"/>
        <v>105.2443740514919</v>
      </c>
      <c r="T865">
        <f t="shared" si="179"/>
        <v>105.2443740514919</v>
      </c>
      <c r="U865" s="3">
        <f t="shared" si="180"/>
        <v>394.83494514099999</v>
      </c>
      <c r="V865">
        <f t="shared" si="172"/>
        <v>761</v>
      </c>
      <c r="W865" s="8">
        <f t="shared" si="174"/>
        <v>50.833245508449977</v>
      </c>
      <c r="X865" s="1">
        <f t="shared" si="181"/>
        <v>50.833245508449977</v>
      </c>
      <c r="Y865" s="18"/>
      <c r="Z865" s="7"/>
      <c r="AA865" s="1"/>
      <c r="AB865" s="1"/>
      <c r="AC865" s="1"/>
    </row>
    <row r="866" spans="1:29" x14ac:dyDescent="0.3">
      <c r="A866">
        <v>865</v>
      </c>
      <c r="E866">
        <v>-104.611395913</v>
      </c>
      <c r="F866">
        <v>61.150834096479997</v>
      </c>
      <c r="G866">
        <v>393.39629783461999</v>
      </c>
      <c r="H866">
        <v>50.079111565867997</v>
      </c>
      <c r="I866">
        <v>160.85354103776999</v>
      </c>
      <c r="J866">
        <v>395.28465763355001</v>
      </c>
      <c r="L866" s="1">
        <f t="shared" si="182"/>
        <v>3.5603758042499862</v>
      </c>
      <c r="M866">
        <f t="shared" si="183"/>
        <v>3040.9069593096992</v>
      </c>
      <c r="N866">
        <f t="shared" si="175"/>
        <v>8.4469637758602758</v>
      </c>
      <c r="O866">
        <f t="shared" si="176"/>
        <v>50.079111565867997</v>
      </c>
      <c r="P866">
        <f t="shared" si="177"/>
        <v>815</v>
      </c>
      <c r="Q866">
        <f t="shared" si="184"/>
        <v>102.193698135123</v>
      </c>
      <c r="R866">
        <f t="shared" si="178"/>
        <v>102.193698135123</v>
      </c>
      <c r="S866">
        <f t="shared" si="173"/>
        <v>105.14003467435687</v>
      </c>
      <c r="T866">
        <f t="shared" si="179"/>
        <v>105.14003467435687</v>
      </c>
      <c r="U866" s="3">
        <f t="shared" si="180"/>
        <v>395.28465763355001</v>
      </c>
      <c r="V866">
        <f t="shared" si="172"/>
        <v>762</v>
      </c>
      <c r="W866" s="8">
        <f t="shared" si="174"/>
        <v>50.803854204339984</v>
      </c>
      <c r="X866" s="1">
        <f t="shared" si="181"/>
        <v>50.803854204339984</v>
      </c>
      <c r="Y866" s="18"/>
      <c r="Z866" s="7"/>
      <c r="AA866" s="1"/>
      <c r="AB866" s="1"/>
      <c r="AC866" s="1"/>
    </row>
    <row r="867" spans="1:29" x14ac:dyDescent="0.3">
      <c r="A867">
        <v>866</v>
      </c>
      <c r="E867">
        <v>-104.2833796555</v>
      </c>
      <c r="F867">
        <v>59.869667406407999</v>
      </c>
      <c r="G867">
        <v>390.54577815260001</v>
      </c>
      <c r="H867">
        <v>50.067872512583001</v>
      </c>
      <c r="I867">
        <v>164.40322720349999</v>
      </c>
      <c r="J867">
        <v>395.78815758370001</v>
      </c>
      <c r="L867" s="1">
        <f t="shared" si="182"/>
        <v>3.5496861657300087</v>
      </c>
      <c r="M867">
        <f t="shared" si="183"/>
        <v>3044.4566454754295</v>
      </c>
      <c r="N867">
        <f t="shared" si="175"/>
        <v>8.4568240152095271</v>
      </c>
      <c r="O867">
        <f t="shared" si="176"/>
        <v>50.067872512583001</v>
      </c>
      <c r="P867">
        <f t="shared" si="177"/>
        <v>816</v>
      </c>
      <c r="Q867">
        <f t="shared" si="184"/>
        <v>102.028804169569</v>
      </c>
      <c r="R867">
        <f t="shared" si="178"/>
        <v>102.028804169569</v>
      </c>
      <c r="S867">
        <f t="shared" si="173"/>
        <v>104.97755088975937</v>
      </c>
      <c r="T867">
        <f t="shared" si="179"/>
        <v>104.97755088975937</v>
      </c>
      <c r="U867" s="3">
        <f t="shared" si="180"/>
        <v>395.78815758370001</v>
      </c>
      <c r="V867">
        <f t="shared" si="172"/>
        <v>763</v>
      </c>
      <c r="W867" s="8">
        <f t="shared" si="174"/>
        <v>50.80243396425999</v>
      </c>
      <c r="X867" s="1">
        <f t="shared" si="181"/>
        <v>50.80243396425999</v>
      </c>
      <c r="Y867" s="18"/>
      <c r="Z867" s="7"/>
      <c r="AA867" s="1"/>
      <c r="AB867" s="1"/>
      <c r="AC867" s="1"/>
    </row>
    <row r="868" spans="1:29" x14ac:dyDescent="0.3">
      <c r="A868">
        <v>867</v>
      </c>
      <c r="E868">
        <v>-103.90581319730001</v>
      </c>
      <c r="F868">
        <v>58.757933593479997</v>
      </c>
      <c r="G868">
        <v>387.63047999448003</v>
      </c>
      <c r="H868">
        <v>50.070725885618003</v>
      </c>
      <c r="I868">
        <v>167.94166963759</v>
      </c>
      <c r="J868">
        <v>396.35303837395998</v>
      </c>
      <c r="L868" s="1">
        <f t="shared" si="182"/>
        <v>3.5384424340900011</v>
      </c>
      <c r="M868">
        <f t="shared" si="183"/>
        <v>3047.9950879095195</v>
      </c>
      <c r="N868">
        <f t="shared" si="175"/>
        <v>8.4666530219708882</v>
      </c>
      <c r="O868">
        <f t="shared" si="176"/>
        <v>50.070725885618003</v>
      </c>
      <c r="P868">
        <f t="shared" si="177"/>
        <v>817</v>
      </c>
      <c r="Q868">
        <f t="shared" si="184"/>
        <v>101.855119439885</v>
      </c>
      <c r="R868">
        <f t="shared" si="178"/>
        <v>101.855119439885</v>
      </c>
      <c r="S868">
        <f t="shared" si="173"/>
        <v>104.83220744740042</v>
      </c>
      <c r="T868">
        <f t="shared" si="179"/>
        <v>104.83220744740042</v>
      </c>
      <c r="U868" s="3">
        <f t="shared" si="180"/>
        <v>396.35303837395998</v>
      </c>
      <c r="V868">
        <f t="shared" si="172"/>
        <v>764</v>
      </c>
      <c r="W868" s="8">
        <f t="shared" si="174"/>
        <v>50.861676822359982</v>
      </c>
      <c r="X868" s="1">
        <f t="shared" si="181"/>
        <v>50.861676822359982</v>
      </c>
      <c r="Y868" s="18"/>
      <c r="Z868" s="7"/>
      <c r="AA868" s="1"/>
      <c r="AB868" s="1"/>
      <c r="AC868" s="1"/>
    </row>
    <row r="869" spans="1:29" x14ac:dyDescent="0.3">
      <c r="A869">
        <v>868</v>
      </c>
      <c r="E869">
        <v>-103.6230741263</v>
      </c>
      <c r="F869">
        <v>57.878082826326001</v>
      </c>
      <c r="G869">
        <v>384.62681557322998</v>
      </c>
      <c r="H869">
        <v>50.011530893393001</v>
      </c>
      <c r="I869">
        <v>171.49636961286001</v>
      </c>
      <c r="J869">
        <v>396.83991622726001</v>
      </c>
      <c r="L869" s="1">
        <f t="shared" si="182"/>
        <v>3.5546999752700117</v>
      </c>
      <c r="M869">
        <f t="shared" si="183"/>
        <v>3051.5497878847896</v>
      </c>
      <c r="N869">
        <f t="shared" si="175"/>
        <v>8.4765271885688591</v>
      </c>
      <c r="O869">
        <f t="shared" si="176"/>
        <v>50.011530893393001</v>
      </c>
      <c r="P869">
        <f t="shared" si="177"/>
        <v>818</v>
      </c>
      <c r="Q869">
        <f t="shared" si="184"/>
        <v>101.65160067126601</v>
      </c>
      <c r="R869">
        <f t="shared" si="178"/>
        <v>101.65160067126601</v>
      </c>
      <c r="S869">
        <f t="shared" si="173"/>
        <v>104.63220812608085</v>
      </c>
      <c r="T869">
        <f t="shared" si="179"/>
        <v>104.63220812608085</v>
      </c>
      <c r="U869" s="3">
        <f t="shared" si="180"/>
        <v>396.83991622726001</v>
      </c>
      <c r="V869">
        <f t="shared" si="172"/>
        <v>765</v>
      </c>
      <c r="W869" s="8">
        <f t="shared" si="174"/>
        <v>50.847927814369996</v>
      </c>
      <c r="X869" s="1">
        <f t="shared" si="181"/>
        <v>50.847927814369996</v>
      </c>
      <c r="Y869" s="18"/>
      <c r="Z869" s="7"/>
      <c r="AA869" s="1"/>
      <c r="AB869" s="1"/>
      <c r="AC869" s="1"/>
    </row>
    <row r="870" spans="1:29" x14ac:dyDescent="0.3">
      <c r="A870">
        <v>869</v>
      </c>
      <c r="E870">
        <v>-103.33766837020001</v>
      </c>
      <c r="F870">
        <v>57.112514693622998</v>
      </c>
      <c r="G870">
        <v>381.59217995974001</v>
      </c>
      <c r="H870">
        <v>50.026933062227997</v>
      </c>
      <c r="I870">
        <v>175.05154786271001</v>
      </c>
      <c r="J870">
        <v>397.33654480978998</v>
      </c>
      <c r="L870" s="1">
        <f t="shared" si="182"/>
        <v>3.5551782498500017</v>
      </c>
      <c r="M870">
        <f t="shared" si="183"/>
        <v>3055.1049661346397</v>
      </c>
      <c r="N870">
        <f t="shared" si="175"/>
        <v>8.4864026837073325</v>
      </c>
      <c r="O870">
        <f t="shared" si="176"/>
        <v>50.026933062227997</v>
      </c>
      <c r="P870">
        <f t="shared" si="177"/>
        <v>819</v>
      </c>
      <c r="Q870">
        <f t="shared" si="184"/>
        <v>101.51566637608599</v>
      </c>
      <c r="R870">
        <f t="shared" si="178"/>
        <v>101.51566637608599</v>
      </c>
      <c r="S870">
        <f t="shared" si="173"/>
        <v>104.49741470964973</v>
      </c>
      <c r="T870">
        <f t="shared" si="179"/>
        <v>104.49741470964973</v>
      </c>
      <c r="U870" s="3">
        <f t="shared" si="180"/>
        <v>397.33654480978998</v>
      </c>
      <c r="V870">
        <f t="shared" si="172"/>
        <v>766</v>
      </c>
      <c r="W870" s="8">
        <f t="shared" si="174"/>
        <v>50.817858801669956</v>
      </c>
      <c r="X870" s="1">
        <f t="shared" si="181"/>
        <v>50.817858801669956</v>
      </c>
      <c r="Y870" s="18"/>
      <c r="Z870" s="7"/>
      <c r="AA870" s="1"/>
      <c r="AB870" s="1"/>
      <c r="AC870" s="1"/>
    </row>
    <row r="871" spans="1:29" x14ac:dyDescent="0.3">
      <c r="A871">
        <v>870</v>
      </c>
      <c r="E871">
        <v>-103.0795411154</v>
      </c>
      <c r="F871">
        <v>56.602482978577001</v>
      </c>
      <c r="G871">
        <v>378.50188407026002</v>
      </c>
      <c r="H871">
        <v>49.972266152065998</v>
      </c>
      <c r="I871">
        <v>178.60988335722999</v>
      </c>
      <c r="J871">
        <v>397.82077944046</v>
      </c>
      <c r="L871" s="1">
        <f t="shared" si="182"/>
        <v>3.5583354945199801</v>
      </c>
      <c r="M871">
        <f t="shared" si="183"/>
        <v>3058.6633016291598</v>
      </c>
      <c r="N871">
        <f t="shared" si="175"/>
        <v>8.4962869489698889</v>
      </c>
      <c r="O871">
        <f t="shared" si="176"/>
        <v>49.972266152065998</v>
      </c>
      <c r="P871">
        <f t="shared" si="177"/>
        <v>820</v>
      </c>
      <c r="Q871">
        <f t="shared" si="184"/>
        <v>101.35845324227</v>
      </c>
      <c r="R871">
        <f t="shared" si="178"/>
        <v>101.35845324227</v>
      </c>
      <c r="S871">
        <f t="shared" si="173"/>
        <v>104.34538948092235</v>
      </c>
      <c r="T871">
        <f t="shared" si="179"/>
        <v>104.34538948092235</v>
      </c>
      <c r="U871" s="3">
        <f t="shared" si="180"/>
        <v>397.82077944046</v>
      </c>
      <c r="V871">
        <f t="shared" si="172"/>
        <v>767</v>
      </c>
      <c r="W871" s="8">
        <f t="shared" si="174"/>
        <v>50.764902756409981</v>
      </c>
      <c r="X871" s="1">
        <f t="shared" si="181"/>
        <v>50.764902756409981</v>
      </c>
      <c r="Y871" s="18"/>
      <c r="Z871" s="7"/>
      <c r="AA871" s="1"/>
      <c r="AB871" s="1"/>
      <c r="AC871" s="1"/>
    </row>
    <row r="872" spans="1:29" x14ac:dyDescent="0.3">
      <c r="A872">
        <v>871</v>
      </c>
      <c r="E872">
        <v>-102.81083828600001</v>
      </c>
      <c r="F872">
        <v>56.333494734681999</v>
      </c>
      <c r="G872">
        <v>375.38244231828997</v>
      </c>
      <c r="H872">
        <v>49.868405590443999</v>
      </c>
      <c r="I872">
        <v>-177.8319416377</v>
      </c>
      <c r="J872">
        <v>398.32761103474002</v>
      </c>
      <c r="L872" s="1">
        <f t="shared" si="182"/>
        <v>-356.44182499493002</v>
      </c>
      <c r="M872">
        <f t="shared" si="183"/>
        <v>3062.22163712368</v>
      </c>
      <c r="N872">
        <f t="shared" si="175"/>
        <v>8.5061712142324453</v>
      </c>
      <c r="O872">
        <f t="shared" si="176"/>
        <v>49.868405590443999</v>
      </c>
      <c r="P872">
        <f t="shared" si="177"/>
        <v>821</v>
      </c>
      <c r="Q872">
        <f t="shared" si="184"/>
        <v>101.141039244211</v>
      </c>
      <c r="R872">
        <f t="shared" si="178"/>
        <v>101.141039244211</v>
      </c>
      <c r="S872">
        <f t="shared" si="173"/>
        <v>104.13932539922637</v>
      </c>
      <c r="T872">
        <f t="shared" si="179"/>
        <v>104.13932539922637</v>
      </c>
      <c r="U872" s="3">
        <f t="shared" si="180"/>
        <v>398.32761103474002</v>
      </c>
      <c r="V872">
        <f t="shared" si="172"/>
        <v>768</v>
      </c>
      <c r="W872" s="8">
        <f t="shared" si="174"/>
        <v>50.762558613280021</v>
      </c>
      <c r="X872" s="1">
        <f t="shared" si="181"/>
        <v>50.762558613280021</v>
      </c>
      <c r="Y872" s="18"/>
      <c r="Z872" s="7"/>
      <c r="AA872" s="1"/>
      <c r="AB872" s="1"/>
      <c r="AC872" s="1"/>
    </row>
    <row r="873" spans="1:29" x14ac:dyDescent="0.3">
      <c r="A873">
        <v>872</v>
      </c>
      <c r="E873">
        <v>-102.5769125146</v>
      </c>
      <c r="F873">
        <v>56.175996348146001</v>
      </c>
      <c r="G873">
        <v>372.25233981040998</v>
      </c>
      <c r="H873">
        <v>49.84408531343</v>
      </c>
      <c r="I873">
        <v>-174.26166769580001</v>
      </c>
      <c r="J873">
        <v>398.80515984228998</v>
      </c>
      <c r="L873" s="1">
        <f t="shared" si="182"/>
        <v>3.570273941899984</v>
      </c>
      <c r="M873">
        <f t="shared" si="183"/>
        <v>3065.7919110655798</v>
      </c>
      <c r="N873">
        <f t="shared" si="175"/>
        <v>8.5160886418488335</v>
      </c>
      <c r="O873">
        <f t="shared" si="176"/>
        <v>49.84408531343</v>
      </c>
      <c r="P873">
        <f t="shared" si="177"/>
        <v>822</v>
      </c>
      <c r="Q873">
        <f t="shared" si="184"/>
        <v>100.974119352061</v>
      </c>
      <c r="R873">
        <f t="shared" si="178"/>
        <v>100.974119352061</v>
      </c>
      <c r="S873">
        <f t="shared" si="173"/>
        <v>103.97553424616012</v>
      </c>
      <c r="T873">
        <f t="shared" si="179"/>
        <v>103.97553424616012</v>
      </c>
      <c r="U873" s="3">
        <f t="shared" si="180"/>
        <v>398.80515984228998</v>
      </c>
      <c r="V873">
        <f t="shared" si="172"/>
        <v>769</v>
      </c>
      <c r="W873" s="8">
        <f t="shared" si="174"/>
        <v>50.753403392879989</v>
      </c>
      <c r="X873" s="1">
        <f t="shared" si="181"/>
        <v>50.753403392879989</v>
      </c>
      <c r="Y873" s="18"/>
      <c r="Z873" s="7"/>
      <c r="AA873" s="1"/>
      <c r="AB873" s="1"/>
      <c r="AC873" s="1"/>
    </row>
    <row r="874" spans="1:29" x14ac:dyDescent="0.3">
      <c r="A874">
        <v>873</v>
      </c>
      <c r="E874">
        <v>-102.3133385097</v>
      </c>
      <c r="F874">
        <v>56.223852747521001</v>
      </c>
      <c r="G874">
        <v>369.12157990894002</v>
      </c>
      <c r="H874">
        <v>49.809097745058999</v>
      </c>
      <c r="I874">
        <v>-170.69703310840001</v>
      </c>
      <c r="J874">
        <v>399.32057727759002</v>
      </c>
      <c r="L874" s="1">
        <f t="shared" si="182"/>
        <v>3.5646345874000076</v>
      </c>
      <c r="M874">
        <f t="shared" si="183"/>
        <v>3069.35654565298</v>
      </c>
      <c r="N874">
        <f t="shared" si="175"/>
        <v>8.5259904045916119</v>
      </c>
      <c r="O874">
        <f t="shared" si="176"/>
        <v>49.809097745058999</v>
      </c>
      <c r="P874">
        <f t="shared" si="177"/>
        <v>823</v>
      </c>
      <c r="Q874">
        <f t="shared" si="184"/>
        <v>100.796044425506</v>
      </c>
      <c r="R874">
        <f t="shared" si="178"/>
        <v>100.796044425506</v>
      </c>
      <c r="S874">
        <f t="shared" si="173"/>
        <v>103.80616101321375</v>
      </c>
      <c r="T874">
        <f t="shared" si="179"/>
        <v>103.80616101321375</v>
      </c>
      <c r="U874" s="3">
        <f t="shared" si="180"/>
        <v>399.32057727759002</v>
      </c>
      <c r="V874">
        <f t="shared" si="172"/>
        <v>770</v>
      </c>
      <c r="W874" s="8">
        <f t="shared" si="174"/>
        <v>50.749260639930014</v>
      </c>
      <c r="X874" s="1">
        <f t="shared" si="181"/>
        <v>50.749260639930014</v>
      </c>
      <c r="Y874" s="18"/>
      <c r="Z874" s="7"/>
      <c r="AA874" s="1"/>
      <c r="AB874" s="1"/>
      <c r="AC874" s="1"/>
    </row>
    <row r="875" spans="1:29" x14ac:dyDescent="0.3">
      <c r="A875">
        <v>874</v>
      </c>
      <c r="E875">
        <v>-102.0731348817</v>
      </c>
      <c r="F875">
        <v>56.464982455589002</v>
      </c>
      <c r="G875">
        <v>365.99733455532999</v>
      </c>
      <c r="H875">
        <v>49.773043216120001</v>
      </c>
      <c r="I875">
        <v>-167.12623648350001</v>
      </c>
      <c r="J875">
        <v>399.81999619573998</v>
      </c>
      <c r="L875" s="1">
        <f t="shared" si="182"/>
        <v>3.5707966248999981</v>
      </c>
      <c r="M875">
        <f t="shared" si="183"/>
        <v>3072.9273422778801</v>
      </c>
      <c r="N875">
        <f t="shared" si="175"/>
        <v>8.5359092841052231</v>
      </c>
      <c r="O875">
        <f t="shared" si="176"/>
        <v>49.773043216120001</v>
      </c>
      <c r="P875">
        <f t="shared" si="177"/>
        <v>824</v>
      </c>
      <c r="Q875">
        <f t="shared" si="184"/>
        <v>100.62669111413001</v>
      </c>
      <c r="R875">
        <f t="shared" si="178"/>
        <v>100.62669111413001</v>
      </c>
      <c r="S875">
        <f t="shared" si="173"/>
        <v>103.64282953911982</v>
      </c>
      <c r="T875">
        <f t="shared" si="179"/>
        <v>103.64282953911982</v>
      </c>
      <c r="U875" s="3">
        <f t="shared" si="180"/>
        <v>399.81999619573998</v>
      </c>
      <c r="V875">
        <f t="shared" si="172"/>
        <v>771</v>
      </c>
      <c r="W875" s="8">
        <f t="shared" si="174"/>
        <v>50.705856093819989</v>
      </c>
      <c r="X875" s="1">
        <f t="shared" si="181"/>
        <v>50.705856093819989</v>
      </c>
      <c r="Y875" s="18"/>
      <c r="Z875" s="7"/>
      <c r="AA875" s="1"/>
      <c r="AB875" s="1"/>
      <c r="AC875" s="1"/>
    </row>
    <row r="876" spans="1:29" x14ac:dyDescent="0.3">
      <c r="A876">
        <v>875</v>
      </c>
      <c r="E876">
        <v>-101.815548679</v>
      </c>
      <c r="F876">
        <v>56.942291443221997</v>
      </c>
      <c r="G876">
        <v>362.90195115609998</v>
      </c>
      <c r="H876">
        <v>49.692924493580001</v>
      </c>
      <c r="I876">
        <v>-163.55710435859999</v>
      </c>
      <c r="J876">
        <v>400.34394513887003</v>
      </c>
      <c r="L876" s="1">
        <f t="shared" si="182"/>
        <v>3.5691321249000225</v>
      </c>
      <c r="M876">
        <f t="shared" si="183"/>
        <v>3076.4964744027802</v>
      </c>
      <c r="N876">
        <f t="shared" si="175"/>
        <v>8.5458235400077225</v>
      </c>
      <c r="O876">
        <f t="shared" si="176"/>
        <v>49.692924493580001</v>
      </c>
      <c r="P876">
        <f t="shared" si="177"/>
        <v>825</v>
      </c>
      <c r="Q876">
        <f t="shared" si="184"/>
        <v>100.42331180732799</v>
      </c>
      <c r="R876">
        <f t="shared" si="178"/>
        <v>100.42331180732799</v>
      </c>
      <c r="S876">
        <f t="shared" si="173"/>
        <v>103.44435855659654</v>
      </c>
      <c r="T876">
        <f t="shared" si="179"/>
        <v>103.44435855659654</v>
      </c>
      <c r="U876" s="3">
        <f t="shared" si="180"/>
        <v>400.34394513887003</v>
      </c>
      <c r="V876">
        <f t="shared" si="172"/>
        <v>772</v>
      </c>
      <c r="W876" s="8">
        <f t="shared" si="174"/>
        <v>50.778516998010048</v>
      </c>
      <c r="X876" s="1">
        <f t="shared" si="181"/>
        <v>50.778516998010048</v>
      </c>
      <c r="Y876" s="18"/>
      <c r="Z876" s="7"/>
      <c r="AA876" s="1"/>
      <c r="AB876" s="1"/>
      <c r="AC876" s="1"/>
    </row>
    <row r="877" spans="1:29" x14ac:dyDescent="0.3">
      <c r="A877">
        <v>876</v>
      </c>
      <c r="E877">
        <v>-101.5487569062</v>
      </c>
      <c r="F877">
        <v>57.629055214400999</v>
      </c>
      <c r="G877">
        <v>359.84679752711997</v>
      </c>
      <c r="H877">
        <v>49.592878826147</v>
      </c>
      <c r="I877">
        <v>-159.98478802989999</v>
      </c>
      <c r="J877">
        <v>400.88229030649001</v>
      </c>
      <c r="L877" s="1">
        <f t="shared" si="182"/>
        <v>3.5723163286999977</v>
      </c>
      <c r="M877">
        <f t="shared" si="183"/>
        <v>3080.06879073148</v>
      </c>
      <c r="N877">
        <f t="shared" si="175"/>
        <v>8.555746640920777</v>
      </c>
      <c r="O877">
        <f t="shared" si="176"/>
        <v>49.592878826147</v>
      </c>
      <c r="P877">
        <f t="shared" si="177"/>
        <v>826</v>
      </c>
      <c r="Q877">
        <f t="shared" si="184"/>
        <v>100.228243275528</v>
      </c>
      <c r="R877">
        <f t="shared" si="178"/>
        <v>100.228243275528</v>
      </c>
      <c r="S877">
        <f t="shared" si="173"/>
        <v>103.27413771319829</v>
      </c>
      <c r="T877">
        <f t="shared" si="179"/>
        <v>103.27413771319829</v>
      </c>
      <c r="U877" s="3">
        <f t="shared" si="180"/>
        <v>400.88229030649001</v>
      </c>
      <c r="V877">
        <f t="shared" si="172"/>
        <v>773</v>
      </c>
      <c r="W877" s="8">
        <f t="shared" si="174"/>
        <v>50.835151006109982</v>
      </c>
      <c r="X877" s="1">
        <f t="shared" si="181"/>
        <v>50.835151006109982</v>
      </c>
      <c r="Y877" s="18"/>
      <c r="Z877" s="7"/>
      <c r="AA877" s="1"/>
      <c r="AB877" s="1"/>
      <c r="AC877" s="1"/>
    </row>
    <row r="878" spans="1:29" x14ac:dyDescent="0.3">
      <c r="A878">
        <v>877</v>
      </c>
      <c r="E878">
        <v>-101.3317302553</v>
      </c>
      <c r="F878">
        <v>58.516189211116</v>
      </c>
      <c r="G878">
        <v>356.83995019346997</v>
      </c>
      <c r="H878">
        <v>49.479244445912002</v>
      </c>
      <c r="I878">
        <v>-156.39685996099999</v>
      </c>
      <c r="J878">
        <v>401.37528492160999</v>
      </c>
      <c r="L878" s="1">
        <f t="shared" si="182"/>
        <v>3.5879280688999984</v>
      </c>
      <c r="M878">
        <f t="shared" si="183"/>
        <v>3083.6567188003801</v>
      </c>
      <c r="N878">
        <f t="shared" si="175"/>
        <v>8.5657131077788335</v>
      </c>
      <c r="O878">
        <f t="shared" si="176"/>
        <v>49.479244445912002</v>
      </c>
      <c r="P878">
        <f t="shared" si="177"/>
        <v>827</v>
      </c>
      <c r="Q878">
        <f t="shared" si="184"/>
        <v>100.003063370375</v>
      </c>
      <c r="R878">
        <f t="shared" si="178"/>
        <v>100.003063370375</v>
      </c>
      <c r="S878">
        <f t="shared" si="173"/>
        <v>103.04494823662243</v>
      </c>
      <c r="T878">
        <f t="shared" si="179"/>
        <v>103.04494823662243</v>
      </c>
      <c r="U878" s="3">
        <f t="shared" si="180"/>
        <v>401.37528492160999</v>
      </c>
      <c r="V878">
        <f t="shared" si="172"/>
        <v>774</v>
      </c>
      <c r="W878" s="8">
        <f t="shared" si="174"/>
        <v>50.845272507429968</v>
      </c>
      <c r="X878" s="1">
        <f t="shared" si="181"/>
        <v>50.845272507429968</v>
      </c>
      <c r="Y878" s="18"/>
      <c r="Z878" s="7"/>
      <c r="AA878" s="1"/>
      <c r="AB878" s="1"/>
      <c r="AC878" s="1"/>
    </row>
    <row r="879" spans="1:29" x14ac:dyDescent="0.3">
      <c r="A879">
        <v>878</v>
      </c>
      <c r="E879">
        <v>-101.1242032355</v>
      </c>
      <c r="F879">
        <v>59.615902670855</v>
      </c>
      <c r="G879">
        <v>353.90330468917</v>
      </c>
      <c r="H879">
        <v>49.336186739624999</v>
      </c>
      <c r="I879">
        <v>-152.79962401430001</v>
      </c>
      <c r="J879">
        <v>401.86176945233001</v>
      </c>
      <c r="L879" s="1">
        <f t="shared" si="182"/>
        <v>3.5972359466999819</v>
      </c>
      <c r="M879">
        <f t="shared" si="183"/>
        <v>3087.2539547470801</v>
      </c>
      <c r="N879">
        <f t="shared" si="175"/>
        <v>8.5757054298530004</v>
      </c>
      <c r="O879">
        <f t="shared" si="176"/>
        <v>49.336186739624999</v>
      </c>
      <c r="P879">
        <f t="shared" si="177"/>
        <v>828</v>
      </c>
      <c r="Q879">
        <f t="shared" si="184"/>
        <v>99.672152069286</v>
      </c>
      <c r="R879">
        <f t="shared" si="178"/>
        <v>99.672152069286</v>
      </c>
      <c r="S879">
        <f t="shared" si="173"/>
        <v>102.71300405101923</v>
      </c>
      <c r="T879">
        <f t="shared" si="179"/>
        <v>102.71300405101923</v>
      </c>
      <c r="U879" s="3">
        <f t="shared" si="180"/>
        <v>401.86176945233001</v>
      </c>
      <c r="V879">
        <f t="shared" si="172"/>
        <v>775</v>
      </c>
      <c r="W879" s="8">
        <f t="shared" si="174"/>
        <v>50.851380029040001</v>
      </c>
      <c r="X879" s="1">
        <f t="shared" si="181"/>
        <v>50.851380029040001</v>
      </c>
      <c r="Y879" s="18"/>
      <c r="Z879" s="7"/>
      <c r="AA879" s="1"/>
      <c r="AB879" s="1"/>
      <c r="AC879" s="1"/>
    </row>
    <row r="880" spans="1:29" x14ac:dyDescent="0.3">
      <c r="A880">
        <v>879</v>
      </c>
      <c r="E880">
        <v>-100.90827872609999</v>
      </c>
      <c r="F880">
        <v>60.897848852166</v>
      </c>
      <c r="G880">
        <v>351.04209793612</v>
      </c>
      <c r="H880">
        <v>49.191117085925001</v>
      </c>
      <c r="I880">
        <v>-149.19372116849999</v>
      </c>
      <c r="J880">
        <v>402.35792429809999</v>
      </c>
      <c r="L880" s="1">
        <f t="shared" si="182"/>
        <v>3.6059028458000171</v>
      </c>
      <c r="M880">
        <f t="shared" si="183"/>
        <v>3090.85985759288</v>
      </c>
      <c r="N880">
        <f t="shared" si="175"/>
        <v>8.5857218266468891</v>
      </c>
      <c r="O880">
        <f t="shared" si="176"/>
        <v>49.191117085925001</v>
      </c>
      <c r="P880">
        <f t="shared" si="177"/>
        <v>829</v>
      </c>
      <c r="Q880">
        <f t="shared" si="184"/>
        <v>99.357415979001999</v>
      </c>
      <c r="R880">
        <f t="shared" si="178"/>
        <v>99.357415979001999</v>
      </c>
      <c r="S880">
        <f t="shared" si="173"/>
        <v>102.39771413653794</v>
      </c>
      <c r="T880">
        <f t="shared" si="179"/>
        <v>102.39771413653794</v>
      </c>
      <c r="U880" s="3">
        <f t="shared" si="180"/>
        <v>402.35792429809999</v>
      </c>
      <c r="V880">
        <f t="shared" si="172"/>
        <v>776</v>
      </c>
      <c r="W880" s="8">
        <f t="shared" si="174"/>
        <v>50.890551095739966</v>
      </c>
      <c r="X880" s="1">
        <f t="shared" si="181"/>
        <v>50.890551095739966</v>
      </c>
      <c r="Y880" s="18"/>
      <c r="Z880" s="7"/>
      <c r="AA880" s="1"/>
      <c r="AB880" s="1"/>
      <c r="AC880" s="1"/>
    </row>
    <row r="881" spans="1:29" x14ac:dyDescent="0.3">
      <c r="A881">
        <v>880</v>
      </c>
      <c r="E881">
        <v>-100.6684181509</v>
      </c>
      <c r="F881">
        <v>62.370043167642002</v>
      </c>
      <c r="G881">
        <v>348.27604142535</v>
      </c>
      <c r="H881">
        <v>49.028863882457998</v>
      </c>
      <c r="I881">
        <v>-145.58220496449999</v>
      </c>
      <c r="J881">
        <v>402.87796863710997</v>
      </c>
      <c r="L881" s="1">
        <f t="shared" si="182"/>
        <v>3.6115162039999973</v>
      </c>
      <c r="M881">
        <f t="shared" si="183"/>
        <v>3094.47137379688</v>
      </c>
      <c r="N881">
        <f t="shared" si="175"/>
        <v>8.5957538161024445</v>
      </c>
      <c r="O881">
        <f t="shared" si="176"/>
        <v>49.028863882457998</v>
      </c>
      <c r="P881">
        <f t="shared" si="177"/>
        <v>830</v>
      </c>
      <c r="Q881">
        <f t="shared" si="184"/>
        <v>98.990882210319</v>
      </c>
      <c r="R881">
        <f t="shared" si="178"/>
        <v>98.990882210319</v>
      </c>
      <c r="S881">
        <f t="shared" si="173"/>
        <v>102.04462631922713</v>
      </c>
      <c r="T881">
        <f t="shared" si="179"/>
        <v>102.04462631922713</v>
      </c>
      <c r="U881" s="3">
        <f t="shared" si="180"/>
        <v>402.87796863710997</v>
      </c>
      <c r="V881">
        <f t="shared" ref="V881:V944" si="185">IFERROR(MATCH(N881-1,N:N,1),0)</f>
        <v>777</v>
      </c>
      <c r="W881" s="8">
        <f t="shared" si="174"/>
        <v>50.861445150699979</v>
      </c>
      <c r="X881" s="1">
        <f t="shared" si="181"/>
        <v>50.861445150699979</v>
      </c>
      <c r="Y881" s="18"/>
      <c r="Z881" s="7"/>
      <c r="AA881" s="1"/>
      <c r="AB881" s="1"/>
      <c r="AC881" s="1"/>
    </row>
    <row r="882" spans="1:29" x14ac:dyDescent="0.3">
      <c r="A882">
        <v>881</v>
      </c>
      <c r="E882">
        <v>-100.4380113934</v>
      </c>
      <c r="F882">
        <v>64.008940181829004</v>
      </c>
      <c r="G882">
        <v>345.60458580571998</v>
      </c>
      <c r="H882">
        <v>48.870653017648003</v>
      </c>
      <c r="I882">
        <v>-141.9566575515</v>
      </c>
      <c r="J882">
        <v>403.38774116855001</v>
      </c>
      <c r="L882" s="1">
        <f t="shared" si="182"/>
        <v>3.6255474129999925</v>
      </c>
      <c r="M882">
        <f t="shared" si="183"/>
        <v>3098.0969212098798</v>
      </c>
      <c r="N882">
        <f t="shared" si="175"/>
        <v>8.6058247811385549</v>
      </c>
      <c r="O882">
        <f t="shared" si="176"/>
        <v>48.870653017648003</v>
      </c>
      <c r="P882">
        <f t="shared" si="177"/>
        <v>832</v>
      </c>
      <c r="Q882">
        <f t="shared" si="184"/>
        <v>98.669453328456001</v>
      </c>
      <c r="R882">
        <f t="shared" si="178"/>
        <v>98.669453328456001</v>
      </c>
      <c r="S882">
        <f t="shared" si="173"/>
        <v>101.67851398082013</v>
      </c>
      <c r="T882">
        <f t="shared" si="179"/>
        <v>101.67851398082013</v>
      </c>
      <c r="U882" s="3">
        <f t="shared" si="180"/>
        <v>403.38774116855001</v>
      </c>
      <c r="V882">
        <f t="shared" si="185"/>
        <v>778</v>
      </c>
      <c r="W882" s="8">
        <f t="shared" si="174"/>
        <v>50.854188707830019</v>
      </c>
      <c r="X882" s="1">
        <f t="shared" si="181"/>
        <v>50.854188707830019</v>
      </c>
      <c r="Y882" s="18"/>
      <c r="Z882" s="7"/>
      <c r="AA882" s="1"/>
      <c r="AB882" s="1"/>
      <c r="AC882" s="1"/>
    </row>
    <row r="883" spans="1:29" x14ac:dyDescent="0.3">
      <c r="A883">
        <v>882</v>
      </c>
      <c r="E883">
        <v>-100.2201625908</v>
      </c>
      <c r="F883">
        <v>65.819515218969997</v>
      </c>
      <c r="G883">
        <v>343.04528932097003</v>
      </c>
      <c r="H883">
        <v>48.704049534520998</v>
      </c>
      <c r="I883">
        <v>-138.31679693539999</v>
      </c>
      <c r="J883">
        <v>403.88294351999002</v>
      </c>
      <c r="L883" s="1">
        <f t="shared" si="182"/>
        <v>3.6398606161000089</v>
      </c>
      <c r="M883">
        <f t="shared" si="183"/>
        <v>3101.73678182598</v>
      </c>
      <c r="N883">
        <f t="shared" si="175"/>
        <v>8.6159355050721658</v>
      </c>
      <c r="O883">
        <f t="shared" si="176"/>
        <v>48.704049534520998</v>
      </c>
      <c r="P883">
        <f t="shared" si="177"/>
        <v>833</v>
      </c>
      <c r="Q883">
        <f t="shared" si="184"/>
        <v>98.304194650115988</v>
      </c>
      <c r="R883">
        <f t="shared" si="178"/>
        <v>98.304194650115988</v>
      </c>
      <c r="S883">
        <f t="shared" si="173"/>
        <v>101.31036350589137</v>
      </c>
      <c r="T883">
        <f t="shared" si="179"/>
        <v>101.31036350589137</v>
      </c>
      <c r="U883" s="3">
        <f t="shared" si="180"/>
        <v>403.88294351999002</v>
      </c>
      <c r="V883">
        <f t="shared" si="185"/>
        <v>779</v>
      </c>
      <c r="W883" s="8">
        <f t="shared" si="174"/>
        <v>50.89812305538004</v>
      </c>
      <c r="X883" s="1">
        <f t="shared" si="181"/>
        <v>50.89812305538004</v>
      </c>
      <c r="Y883" s="18"/>
      <c r="Z883" s="7"/>
      <c r="AA883" s="1"/>
      <c r="AB883" s="1"/>
      <c r="AC883" s="1"/>
    </row>
    <row r="884" spans="1:29" x14ac:dyDescent="0.3">
      <c r="A884">
        <v>883</v>
      </c>
      <c r="E884">
        <v>-99.973241122420006</v>
      </c>
      <c r="F884">
        <v>67.789518374332005</v>
      </c>
      <c r="G884">
        <v>340.60927260454002</v>
      </c>
      <c r="H884">
        <v>48.532882691075997</v>
      </c>
      <c r="I884">
        <v>-134.6694344064</v>
      </c>
      <c r="J884">
        <v>404.40365246610003</v>
      </c>
      <c r="L884" s="1">
        <f t="shared" si="182"/>
        <v>3.6473625289999916</v>
      </c>
      <c r="M884">
        <f t="shared" si="183"/>
        <v>3105.38414435498</v>
      </c>
      <c r="N884">
        <f t="shared" si="175"/>
        <v>8.6260670676527216</v>
      </c>
      <c r="O884">
        <f t="shared" si="176"/>
        <v>48.532882691075997</v>
      </c>
      <c r="P884">
        <f t="shared" si="177"/>
        <v>834</v>
      </c>
      <c r="Q884">
        <f t="shared" si="184"/>
        <v>97.985140580782002</v>
      </c>
      <c r="R884">
        <f t="shared" si="178"/>
        <v>97.985140580782002</v>
      </c>
      <c r="S884">
        <f t="shared" si="173"/>
        <v>101.00359048413905</v>
      </c>
      <c r="T884">
        <f t="shared" si="179"/>
        <v>101.00359048413905</v>
      </c>
      <c r="U884" s="3">
        <f t="shared" si="180"/>
        <v>404.40365246610003</v>
      </c>
      <c r="V884">
        <f t="shared" si="185"/>
        <v>781</v>
      </c>
      <c r="W884" s="8">
        <f t="shared" si="174"/>
        <v>50.382080487470034</v>
      </c>
      <c r="X884" s="1">
        <f t="shared" si="181"/>
        <v>50.382080487470034</v>
      </c>
      <c r="Y884" s="18"/>
      <c r="Z884" s="7"/>
      <c r="AA884" s="1"/>
      <c r="AB884" s="1"/>
      <c r="AC884" s="1"/>
    </row>
    <row r="885" spans="1:29" x14ac:dyDescent="0.3">
      <c r="A885">
        <v>884</v>
      </c>
      <c r="E885">
        <v>-99.726111350430003</v>
      </c>
      <c r="F885">
        <v>69.914621626935997</v>
      </c>
      <c r="G885">
        <v>338.30738465143997</v>
      </c>
      <c r="H885">
        <v>48.354316108340001</v>
      </c>
      <c r="I885">
        <v>-131.00859089279999</v>
      </c>
      <c r="J885">
        <v>404.92007576387999</v>
      </c>
      <c r="L885" s="1">
        <f t="shared" si="182"/>
        <v>3.6608435136000139</v>
      </c>
      <c r="M885">
        <f t="shared" si="183"/>
        <v>3109.0449878685799</v>
      </c>
      <c r="N885">
        <f t="shared" si="175"/>
        <v>8.6362360774127218</v>
      </c>
      <c r="O885">
        <f t="shared" si="176"/>
        <v>48.354316108340001</v>
      </c>
      <c r="P885">
        <f t="shared" si="177"/>
        <v>835</v>
      </c>
      <c r="Q885">
        <f t="shared" si="184"/>
        <v>97.674529197255993</v>
      </c>
      <c r="R885">
        <f t="shared" si="178"/>
        <v>97.674529197255993</v>
      </c>
      <c r="S885">
        <f t="shared" si="173"/>
        <v>100.70817625649893</v>
      </c>
      <c r="T885">
        <f t="shared" si="179"/>
        <v>100.70817625649893</v>
      </c>
      <c r="U885" s="3">
        <f t="shared" si="180"/>
        <v>404.92007576387999</v>
      </c>
      <c r="V885">
        <f t="shared" si="185"/>
        <v>782</v>
      </c>
      <c r="W885" s="8">
        <f t="shared" si="174"/>
        <v>50.438308525210005</v>
      </c>
      <c r="X885" s="1">
        <f t="shared" si="181"/>
        <v>50.438308525210005</v>
      </c>
      <c r="Y885" s="18"/>
      <c r="Z885" s="7"/>
      <c r="AA885" s="1"/>
      <c r="AB885" s="1"/>
      <c r="AC885" s="1"/>
    </row>
    <row r="886" spans="1:29" x14ac:dyDescent="0.3">
      <c r="A886">
        <v>885</v>
      </c>
      <c r="E886">
        <v>-99.465923459470005</v>
      </c>
      <c r="F886">
        <v>72.190270065405002</v>
      </c>
      <c r="G886">
        <v>336.15572812774002</v>
      </c>
      <c r="H886">
        <v>48.161173778409001</v>
      </c>
      <c r="I886">
        <v>-127.33607342249999</v>
      </c>
      <c r="J886">
        <v>405.44353669027998</v>
      </c>
      <c r="L886" s="1">
        <f t="shared" si="182"/>
        <v>3.6725174702999936</v>
      </c>
      <c r="M886">
        <f t="shared" si="183"/>
        <v>3112.7175053388801</v>
      </c>
      <c r="N886">
        <f t="shared" si="175"/>
        <v>8.6464375148302217</v>
      </c>
      <c r="O886">
        <f t="shared" si="176"/>
        <v>48.161173778409001</v>
      </c>
      <c r="P886">
        <f t="shared" si="177"/>
        <v>836</v>
      </c>
      <c r="Q886">
        <f t="shared" si="184"/>
        <v>97.359529559251996</v>
      </c>
      <c r="R886">
        <f t="shared" si="178"/>
        <v>97.359529559251996</v>
      </c>
      <c r="S886">
        <f t="shared" si="173"/>
        <v>100.41371660142822</v>
      </c>
      <c r="T886">
        <f t="shared" si="179"/>
        <v>100.41371660142822</v>
      </c>
      <c r="U886" s="3">
        <f t="shared" si="180"/>
        <v>405.44353669027998</v>
      </c>
      <c r="V886">
        <f t="shared" si="185"/>
        <v>783</v>
      </c>
      <c r="W886" s="8">
        <f t="shared" si="174"/>
        <v>50.47404283858998</v>
      </c>
      <c r="X886" s="1">
        <f t="shared" si="181"/>
        <v>50.47404283858998</v>
      </c>
      <c r="Y886" s="18"/>
      <c r="Z886" s="7"/>
      <c r="AA886" s="1"/>
      <c r="AB886" s="1"/>
      <c r="AC886" s="1"/>
    </row>
    <row r="887" spans="1:29" x14ac:dyDescent="0.3">
      <c r="A887">
        <v>886</v>
      </c>
      <c r="E887">
        <v>-99.184544212879999</v>
      </c>
      <c r="F887">
        <v>74.616481388778993</v>
      </c>
      <c r="G887">
        <v>334.17827605398998</v>
      </c>
      <c r="H887">
        <v>47.936185207759998</v>
      </c>
      <c r="I887">
        <v>-123.6528251413</v>
      </c>
      <c r="J887">
        <v>405.98021458818999</v>
      </c>
      <c r="L887" s="1">
        <f t="shared" si="182"/>
        <v>3.6832482811999938</v>
      </c>
      <c r="M887">
        <f t="shared" si="183"/>
        <v>3116.4007536200802</v>
      </c>
      <c r="N887">
        <f t="shared" si="175"/>
        <v>8.6566687600557781</v>
      </c>
      <c r="O887">
        <f t="shared" si="176"/>
        <v>47.936185207759998</v>
      </c>
      <c r="P887">
        <f t="shared" si="177"/>
        <v>837</v>
      </c>
      <c r="Q887">
        <f t="shared" si="184"/>
        <v>97.086691798929991</v>
      </c>
      <c r="R887">
        <f t="shared" si="178"/>
        <v>97.086691798929991</v>
      </c>
      <c r="S887">
        <f t="shared" si="173"/>
        <v>100.16472224554308</v>
      </c>
      <c r="T887">
        <f t="shared" si="179"/>
        <v>100.16472224554308</v>
      </c>
      <c r="U887" s="3">
        <f t="shared" si="180"/>
        <v>405.98021458818999</v>
      </c>
      <c r="V887">
        <f t="shared" si="185"/>
        <v>784</v>
      </c>
      <c r="W887" s="8">
        <f t="shared" si="174"/>
        <v>50.546566681859986</v>
      </c>
      <c r="X887" s="1">
        <f t="shared" si="181"/>
        <v>50.546566681859986</v>
      </c>
      <c r="Y887" s="18"/>
      <c r="Z887" s="7"/>
      <c r="AA887" s="1"/>
      <c r="AB887" s="1"/>
      <c r="AC887" s="1"/>
    </row>
    <row r="888" spans="1:29" x14ac:dyDescent="0.3">
      <c r="A888">
        <v>887</v>
      </c>
      <c r="E888">
        <v>-98.908750154060002</v>
      </c>
      <c r="F888">
        <v>77.159142027724997</v>
      </c>
      <c r="G888">
        <v>332.35220070324999</v>
      </c>
      <c r="H888">
        <v>47.720055067769998</v>
      </c>
      <c r="I888">
        <v>-119.9492046331</v>
      </c>
      <c r="J888">
        <v>406.50389425297999</v>
      </c>
      <c r="L888" s="1">
        <f t="shared" si="182"/>
        <v>3.7036205082000038</v>
      </c>
      <c r="M888">
        <f t="shared" si="183"/>
        <v>3120.1043741282801</v>
      </c>
      <c r="N888">
        <f t="shared" si="175"/>
        <v>8.6669565948007783</v>
      </c>
      <c r="O888">
        <f t="shared" si="176"/>
        <v>47.720055067769998</v>
      </c>
      <c r="P888">
        <f t="shared" si="177"/>
        <v>838</v>
      </c>
      <c r="Q888">
        <f t="shared" si="184"/>
        <v>96.798752012362996</v>
      </c>
      <c r="R888">
        <f t="shared" si="178"/>
        <v>96.798752012362996</v>
      </c>
      <c r="S888">
        <f t="shared" si="173"/>
        <v>99.893499775423706</v>
      </c>
      <c r="T888">
        <f t="shared" si="179"/>
        <v>99.893499775423706</v>
      </c>
      <c r="U888" s="3">
        <f t="shared" si="180"/>
        <v>406.50389425297999</v>
      </c>
      <c r="V888">
        <f t="shared" si="185"/>
        <v>785</v>
      </c>
      <c r="W888" s="8">
        <f t="shared" si="174"/>
        <v>50.621507088960016</v>
      </c>
      <c r="X888" s="1">
        <f t="shared" si="181"/>
        <v>50.621507088960016</v>
      </c>
      <c r="Y888" s="18"/>
      <c r="Z888" s="7"/>
      <c r="AA888" s="1"/>
      <c r="AB888" s="1"/>
      <c r="AC888" s="1"/>
    </row>
    <row r="889" spans="1:29" x14ac:dyDescent="0.3">
      <c r="A889">
        <v>888</v>
      </c>
      <c r="E889">
        <v>-98.612144063339997</v>
      </c>
      <c r="F889">
        <v>79.815571853161003</v>
      </c>
      <c r="G889">
        <v>330.69962686418</v>
      </c>
      <c r="H889">
        <v>47.496458444848003</v>
      </c>
      <c r="I889">
        <v>-116.23149482620001</v>
      </c>
      <c r="J889">
        <v>407.03898459227997</v>
      </c>
      <c r="L889" s="1">
        <f t="shared" si="182"/>
        <v>3.7177098068999896</v>
      </c>
      <c r="M889">
        <f t="shared" si="183"/>
        <v>3123.8220839351802</v>
      </c>
      <c r="N889">
        <f t="shared" si="175"/>
        <v>8.6772835664866115</v>
      </c>
      <c r="O889">
        <f t="shared" si="176"/>
        <v>47.496458444848003</v>
      </c>
      <c r="P889">
        <f t="shared" si="177"/>
        <v>839</v>
      </c>
      <c r="Q889">
        <f t="shared" si="184"/>
        <v>96.470143256737998</v>
      </c>
      <c r="R889">
        <f t="shared" si="178"/>
        <v>96.470143256737998</v>
      </c>
      <c r="S889">
        <f t="shared" si="173"/>
        <v>99.590971146430789</v>
      </c>
      <c r="T889">
        <f t="shared" si="179"/>
        <v>99.590971146430789</v>
      </c>
      <c r="U889" s="3">
        <f t="shared" si="180"/>
        <v>407.03898459227997</v>
      </c>
      <c r="V889">
        <f t="shared" si="185"/>
        <v>786</v>
      </c>
      <c r="W889" s="8">
        <f t="shared" si="174"/>
        <v>50.687438198229984</v>
      </c>
      <c r="X889" s="1">
        <f t="shared" si="181"/>
        <v>50.687438198229984</v>
      </c>
      <c r="Y889" s="18"/>
      <c r="Z889" s="7"/>
      <c r="AA889" s="1"/>
      <c r="AB889" s="1"/>
      <c r="AC889" s="1"/>
    </row>
    <row r="890" spans="1:29" x14ac:dyDescent="0.3">
      <c r="A890">
        <v>889</v>
      </c>
      <c r="E890">
        <v>-98.32141504626</v>
      </c>
      <c r="F890">
        <v>82.576890333812003</v>
      </c>
      <c r="G890">
        <v>329.22763512044997</v>
      </c>
      <c r="H890">
        <v>47.265932479759996</v>
      </c>
      <c r="I890">
        <v>-112.49314471060001</v>
      </c>
      <c r="J890">
        <v>407.55797821174002</v>
      </c>
      <c r="L890" s="1">
        <f t="shared" si="182"/>
        <v>3.7383501155999994</v>
      </c>
      <c r="M890">
        <f t="shared" si="183"/>
        <v>3127.5604340507803</v>
      </c>
      <c r="N890">
        <f t="shared" si="175"/>
        <v>8.6876678723632779</v>
      </c>
      <c r="O890">
        <f t="shared" si="176"/>
        <v>47.265932479759996</v>
      </c>
      <c r="P890">
        <f t="shared" si="177"/>
        <v>840</v>
      </c>
      <c r="Q890">
        <f t="shared" si="184"/>
        <v>96.167518437951998</v>
      </c>
      <c r="R890">
        <f t="shared" si="178"/>
        <v>96.167518437951998</v>
      </c>
      <c r="S890">
        <f t="shared" si="173"/>
        <v>99.313659915217329</v>
      </c>
      <c r="T890">
        <f t="shared" si="179"/>
        <v>99.313659915217329</v>
      </c>
      <c r="U890" s="3">
        <f t="shared" si="180"/>
        <v>407.55797821174002</v>
      </c>
      <c r="V890">
        <f t="shared" si="185"/>
        <v>787</v>
      </c>
      <c r="W890" s="8">
        <f t="shared" si="174"/>
        <v>50.727146492439999</v>
      </c>
      <c r="X890" s="1">
        <f t="shared" si="181"/>
        <v>50.727146492439999</v>
      </c>
      <c r="Y890" s="18"/>
      <c r="Z890" s="7"/>
      <c r="AA890" s="1"/>
      <c r="AB890" s="1"/>
      <c r="AC890" s="1"/>
    </row>
    <row r="891" spans="1:29" x14ac:dyDescent="0.3">
      <c r="A891">
        <v>890</v>
      </c>
      <c r="E891">
        <v>-97.999982942800003</v>
      </c>
      <c r="F891">
        <v>85.429453729616</v>
      </c>
      <c r="G891">
        <v>327.94867977921001</v>
      </c>
      <c r="H891">
        <v>47.023266318090002</v>
      </c>
      <c r="I891">
        <v>-108.7410640687</v>
      </c>
      <c r="J891">
        <v>408.09575864419998</v>
      </c>
      <c r="L891" s="1">
        <f t="shared" si="182"/>
        <v>3.7520806419000081</v>
      </c>
      <c r="M891">
        <f t="shared" si="183"/>
        <v>3131.3125146926805</v>
      </c>
      <c r="N891">
        <f t="shared" si="175"/>
        <v>8.6980903185907792</v>
      </c>
      <c r="O891">
        <f t="shared" si="176"/>
        <v>47.023266318090002</v>
      </c>
      <c r="P891">
        <f t="shared" si="177"/>
        <v>841</v>
      </c>
      <c r="Q891">
        <f t="shared" si="184"/>
        <v>95.867709301248993</v>
      </c>
      <c r="R891">
        <f t="shared" si="178"/>
        <v>95.867709301248993</v>
      </c>
      <c r="S891">
        <f t="shared" si="173"/>
        <v>99.038950233099101</v>
      </c>
      <c r="T891">
        <f t="shared" si="179"/>
        <v>99.038950233099101</v>
      </c>
      <c r="U891" s="3">
        <f t="shared" si="180"/>
        <v>408.09575864419998</v>
      </c>
      <c r="V891">
        <f t="shared" si="185"/>
        <v>788</v>
      </c>
      <c r="W891" s="8">
        <f t="shared" si="174"/>
        <v>50.801494355059958</v>
      </c>
      <c r="X891" s="1">
        <f t="shared" si="181"/>
        <v>50.801494355059958</v>
      </c>
      <c r="Y891" s="18"/>
      <c r="Z891" s="7"/>
      <c r="AA891" s="1"/>
      <c r="AB891" s="1"/>
      <c r="AC891" s="1"/>
    </row>
    <row r="892" spans="1:29" x14ac:dyDescent="0.3">
      <c r="A892">
        <v>891</v>
      </c>
      <c r="E892">
        <v>-97.664835380720007</v>
      </c>
      <c r="F892">
        <v>88.361810472290003</v>
      </c>
      <c r="G892">
        <v>326.87007323376997</v>
      </c>
      <c r="H892">
        <v>46.767776314808998</v>
      </c>
      <c r="I892">
        <v>-104.9708290113</v>
      </c>
      <c r="J892">
        <v>408.63435848121998</v>
      </c>
      <c r="L892" s="1">
        <f t="shared" si="182"/>
        <v>3.7702350574000008</v>
      </c>
      <c r="M892">
        <f t="shared" si="183"/>
        <v>3135.0827497500804</v>
      </c>
      <c r="N892">
        <f t="shared" si="175"/>
        <v>8.7085631937502228</v>
      </c>
      <c r="O892">
        <f t="shared" si="176"/>
        <v>46.767776314808998</v>
      </c>
      <c r="P892">
        <f t="shared" si="177"/>
        <v>842</v>
      </c>
      <c r="Q892">
        <f t="shared" si="184"/>
        <v>95.591712371008995</v>
      </c>
      <c r="R892">
        <f t="shared" si="178"/>
        <v>95.591712371008995</v>
      </c>
      <c r="S892">
        <f t="shared" si="173"/>
        <v>98.78710443982412</v>
      </c>
      <c r="T892">
        <f t="shared" si="179"/>
        <v>98.78710443982412</v>
      </c>
      <c r="U892" s="3">
        <f t="shared" si="180"/>
        <v>408.63435848121998</v>
      </c>
      <c r="V892">
        <f t="shared" si="185"/>
        <v>789</v>
      </c>
      <c r="W892" s="8">
        <f t="shared" si="174"/>
        <v>50.864237109209967</v>
      </c>
      <c r="X892" s="1">
        <f t="shared" si="181"/>
        <v>50.864237109209967</v>
      </c>
      <c r="Y892" s="18"/>
      <c r="Z892" s="7"/>
      <c r="AA892" s="1"/>
      <c r="AB892" s="1"/>
      <c r="AC892" s="1"/>
    </row>
    <row r="893" spans="1:29" x14ac:dyDescent="0.3">
      <c r="A893">
        <v>892</v>
      </c>
      <c r="E893">
        <v>-97.310887292299995</v>
      </c>
      <c r="F893">
        <v>91.357918770189002</v>
      </c>
      <c r="G893">
        <v>325.98987603613</v>
      </c>
      <c r="H893">
        <v>46.507360308411002</v>
      </c>
      <c r="I893">
        <v>-101.1809516564</v>
      </c>
      <c r="J893">
        <v>409.17835035782002</v>
      </c>
      <c r="L893" s="1">
        <f t="shared" si="182"/>
        <v>3.7898773548999998</v>
      </c>
      <c r="M893">
        <f t="shared" si="183"/>
        <v>3138.8726271049804</v>
      </c>
      <c r="N893">
        <f t="shared" si="175"/>
        <v>8.7190906308471678</v>
      </c>
      <c r="O893">
        <f t="shared" si="176"/>
        <v>46.507360308411002</v>
      </c>
      <c r="P893">
        <f t="shared" si="177"/>
        <v>843</v>
      </c>
      <c r="Q893">
        <f t="shared" si="184"/>
        <v>95.312126756647999</v>
      </c>
      <c r="R893">
        <f t="shared" si="178"/>
        <v>95.312126756647999</v>
      </c>
      <c r="S893">
        <f t="shared" si="173"/>
        <v>98.532751334176453</v>
      </c>
      <c r="T893">
        <f t="shared" si="179"/>
        <v>98.532751334176453</v>
      </c>
      <c r="U893" s="3">
        <f t="shared" si="180"/>
        <v>409.17835035782002</v>
      </c>
      <c r="V893">
        <f t="shared" si="185"/>
        <v>791</v>
      </c>
      <c r="W893" s="8">
        <f t="shared" si="174"/>
        <v>50.423536454040004</v>
      </c>
      <c r="X893" s="1">
        <f t="shared" si="181"/>
        <v>50.423536454040004</v>
      </c>
      <c r="Y893" s="18"/>
      <c r="Z893" s="7"/>
      <c r="AA893" s="1"/>
      <c r="AB893" s="1"/>
      <c r="AC893" s="1"/>
    </row>
    <row r="894" spans="1:29" x14ac:dyDescent="0.3">
      <c r="A894">
        <v>893</v>
      </c>
      <c r="E894">
        <v>-96.943140116859993</v>
      </c>
      <c r="F894">
        <v>94.405197866948001</v>
      </c>
      <c r="G894">
        <v>325.31550269322003</v>
      </c>
      <c r="H894">
        <v>46.23968911491</v>
      </c>
      <c r="I894">
        <v>-97.370256751040003</v>
      </c>
      <c r="J894">
        <v>409.72165092652</v>
      </c>
      <c r="L894" s="1">
        <f t="shared" si="182"/>
        <v>3.8106949053599948</v>
      </c>
      <c r="M894">
        <f t="shared" si="183"/>
        <v>3142.6833220103404</v>
      </c>
      <c r="N894">
        <f t="shared" si="175"/>
        <v>8.7296758944731678</v>
      </c>
      <c r="O894">
        <f t="shared" si="176"/>
        <v>46.23968911491</v>
      </c>
      <c r="P894">
        <f t="shared" si="177"/>
        <v>844</v>
      </c>
      <c r="Q894">
        <f t="shared" si="184"/>
        <v>95.044103713524009</v>
      </c>
      <c r="R894">
        <f t="shared" si="178"/>
        <v>95.044103713524009</v>
      </c>
      <c r="S894">
        <f t="shared" si="173"/>
        <v>98.286793033650852</v>
      </c>
      <c r="T894">
        <f t="shared" si="179"/>
        <v>98.286793033650852</v>
      </c>
      <c r="U894" s="3">
        <f t="shared" si="180"/>
        <v>409.72165092652</v>
      </c>
      <c r="V894">
        <f t="shared" si="185"/>
        <v>792</v>
      </c>
      <c r="W894" s="8">
        <f t="shared" si="174"/>
        <v>50.48088772074999</v>
      </c>
      <c r="X894" s="1">
        <f t="shared" si="181"/>
        <v>50.48088772074999</v>
      </c>
      <c r="Y894" s="18"/>
      <c r="Z894" s="7"/>
      <c r="AA894" s="1"/>
      <c r="AB894" s="1"/>
      <c r="AC894" s="1"/>
    </row>
    <row r="895" spans="1:29" x14ac:dyDescent="0.3">
      <c r="A895">
        <v>894</v>
      </c>
      <c r="E895">
        <v>-96.549008961829998</v>
      </c>
      <c r="F895">
        <v>97.488868583236993</v>
      </c>
      <c r="G895">
        <v>324.85542360656001</v>
      </c>
      <c r="H895">
        <v>45.959797244265999</v>
      </c>
      <c r="I895">
        <v>-93.540587067800004</v>
      </c>
      <c r="J895">
        <v>410.27551883452998</v>
      </c>
      <c r="L895" s="1">
        <f t="shared" si="182"/>
        <v>3.8296696832399988</v>
      </c>
      <c r="M895">
        <f t="shared" si="183"/>
        <v>3146.5129916935803</v>
      </c>
      <c r="N895">
        <f t="shared" si="175"/>
        <v>8.7403138658155015</v>
      </c>
      <c r="O895">
        <f t="shared" si="176"/>
        <v>45.959797244265999</v>
      </c>
      <c r="P895">
        <f t="shared" si="177"/>
        <v>845</v>
      </c>
      <c r="Q895">
        <f t="shared" si="184"/>
        <v>94.750280023366997</v>
      </c>
      <c r="R895">
        <f t="shared" si="178"/>
        <v>94.750280023366997</v>
      </c>
      <c r="S895">
        <f t="shared" si="173"/>
        <v>98.023274740828725</v>
      </c>
      <c r="T895">
        <f t="shared" si="179"/>
        <v>98.023274740828725</v>
      </c>
      <c r="U895" s="3">
        <f t="shared" si="180"/>
        <v>410.27551883452998</v>
      </c>
      <c r="V895">
        <f t="shared" si="185"/>
        <v>793</v>
      </c>
      <c r="W895" s="8">
        <f t="shared" si="174"/>
        <v>50.545961563989977</v>
      </c>
      <c r="X895" s="1">
        <f t="shared" si="181"/>
        <v>50.545961563989977</v>
      </c>
      <c r="Y895" s="18"/>
      <c r="Z895" s="7"/>
      <c r="AA895" s="1"/>
      <c r="AB895" s="1"/>
      <c r="AC895" s="1"/>
    </row>
    <row r="896" spans="1:29" x14ac:dyDescent="0.3">
      <c r="A896">
        <v>895</v>
      </c>
      <c r="E896">
        <v>-96.139309998589994</v>
      </c>
      <c r="F896">
        <v>100.59491311009999</v>
      </c>
      <c r="G896">
        <v>324.60970318580002</v>
      </c>
      <c r="H896">
        <v>45.671186071191997</v>
      </c>
      <c r="I896">
        <v>-89.688038590229993</v>
      </c>
      <c r="J896">
        <v>410.82861069129001</v>
      </c>
      <c r="L896" s="1">
        <f t="shared" si="182"/>
        <v>3.8525484775700107</v>
      </c>
      <c r="M896">
        <f t="shared" si="183"/>
        <v>3150.3655401711503</v>
      </c>
      <c r="N896">
        <f t="shared" si="175"/>
        <v>8.7510153893643068</v>
      </c>
      <c r="O896">
        <f t="shared" si="176"/>
        <v>45.671186071191997</v>
      </c>
      <c r="P896">
        <f t="shared" si="177"/>
        <v>846</v>
      </c>
      <c r="Q896">
        <f t="shared" si="184"/>
        <v>94.456533856609994</v>
      </c>
      <c r="R896">
        <f t="shared" si="178"/>
        <v>94.456533856609994</v>
      </c>
      <c r="S896">
        <f t="shared" si="173"/>
        <v>97.759428945451916</v>
      </c>
      <c r="T896">
        <f t="shared" si="179"/>
        <v>97.759428945451916</v>
      </c>
      <c r="U896" s="3">
        <f t="shared" si="180"/>
        <v>410.82861069129001</v>
      </c>
      <c r="V896">
        <f t="shared" si="185"/>
        <v>794</v>
      </c>
      <c r="W896" s="8">
        <f t="shared" si="174"/>
        <v>50.603193212060035</v>
      </c>
      <c r="X896" s="1">
        <f t="shared" si="181"/>
        <v>50.603193212060035</v>
      </c>
      <c r="Y896" s="18"/>
      <c r="Z896" s="7"/>
      <c r="AA896" s="1"/>
      <c r="AB896" s="1"/>
      <c r="AC896" s="1"/>
    </row>
    <row r="897" spans="1:29" x14ac:dyDescent="0.3">
      <c r="A897">
        <v>896</v>
      </c>
      <c r="E897">
        <v>-95.726227652999995</v>
      </c>
      <c r="F897">
        <v>103.71029565587</v>
      </c>
      <c r="G897">
        <v>324.58375009308998</v>
      </c>
      <c r="H897">
        <v>45.371602884131001</v>
      </c>
      <c r="I897">
        <v>-85.808571141269994</v>
      </c>
      <c r="J897">
        <v>411.36783158473997</v>
      </c>
      <c r="L897" s="1">
        <f t="shared" si="182"/>
        <v>3.8794674489599998</v>
      </c>
      <c r="M897">
        <f t="shared" si="183"/>
        <v>3154.2450076201103</v>
      </c>
      <c r="N897">
        <f t="shared" si="175"/>
        <v>8.7617916878336395</v>
      </c>
      <c r="O897">
        <f t="shared" si="176"/>
        <v>45.371602884131001</v>
      </c>
      <c r="P897">
        <f t="shared" si="177"/>
        <v>847</v>
      </c>
      <c r="Q897">
        <f t="shared" si="184"/>
        <v>94.178326394286998</v>
      </c>
      <c r="R897">
        <f t="shared" si="178"/>
        <v>94.178326394286998</v>
      </c>
      <c r="S897">
        <f t="shared" si="173"/>
        <v>97.503060989517365</v>
      </c>
      <c r="T897">
        <f t="shared" si="179"/>
        <v>97.503060989517365</v>
      </c>
      <c r="U897" s="3">
        <f t="shared" si="180"/>
        <v>411.36783158473997</v>
      </c>
      <c r="V897">
        <f t="shared" si="185"/>
        <v>795</v>
      </c>
      <c r="W897" s="8">
        <f t="shared" si="174"/>
        <v>50.644131097909963</v>
      </c>
      <c r="X897" s="1">
        <f t="shared" si="181"/>
        <v>50.644131097909963</v>
      </c>
      <c r="Y897" s="18"/>
      <c r="Z897" s="7"/>
      <c r="AA897" s="1"/>
      <c r="AB897" s="1"/>
      <c r="AC897" s="1"/>
    </row>
    <row r="898" spans="1:29" x14ac:dyDescent="0.3">
      <c r="A898">
        <v>897</v>
      </c>
      <c r="E898">
        <v>-95.278817048639993</v>
      </c>
      <c r="F898">
        <v>106.81465383708</v>
      </c>
      <c r="G898">
        <v>324.78043215882002</v>
      </c>
      <c r="H898">
        <v>45.057470493879002</v>
      </c>
      <c r="I898">
        <v>-81.90839201528</v>
      </c>
      <c r="J898">
        <v>411.92294986208998</v>
      </c>
      <c r="L898" s="1">
        <f t="shared" si="182"/>
        <v>3.9001791259899932</v>
      </c>
      <c r="M898">
        <f t="shared" si="183"/>
        <v>3158.1451867461001</v>
      </c>
      <c r="N898">
        <f t="shared" si="175"/>
        <v>8.7726255187391668</v>
      </c>
      <c r="O898">
        <f t="shared" si="176"/>
        <v>45.057470493879002</v>
      </c>
      <c r="P898">
        <f t="shared" si="177"/>
        <v>848</v>
      </c>
      <c r="Q898">
        <f t="shared" si="184"/>
        <v>93.897925948356004</v>
      </c>
      <c r="R898">
        <f t="shared" si="178"/>
        <v>93.897925948356004</v>
      </c>
      <c r="S898">
        <f t="shared" ref="S898:S961" si="186">IF(P898=0,0,SQRT((E898-INDEX(E:E,P898))^2+(F898-INDEX(F:F,P898))^2+(G898-INDEX(G:G,P898))^2))</f>
        <v>97.24918180033545</v>
      </c>
      <c r="T898">
        <f t="shared" si="179"/>
        <v>97.24918180033545</v>
      </c>
      <c r="U898" s="3">
        <f t="shared" si="180"/>
        <v>411.92294986208998</v>
      </c>
      <c r="V898">
        <f t="shared" si="185"/>
        <v>796</v>
      </c>
      <c r="W898" s="8">
        <f t="shared" ref="W898:W961" si="187">IF(V898=0,0,U898-INDEX(U:U,V898))</f>
        <v>50.724722648639954</v>
      </c>
      <c r="X898" s="1">
        <f t="shared" si="181"/>
        <v>50.724722648639954</v>
      </c>
      <c r="Y898" s="18"/>
      <c r="Z898" s="7"/>
      <c r="AA898" s="1"/>
      <c r="AB898" s="1"/>
      <c r="AC898" s="1"/>
    </row>
    <row r="899" spans="1:29" x14ac:dyDescent="0.3">
      <c r="A899">
        <v>898</v>
      </c>
      <c r="E899">
        <v>-94.801429156829997</v>
      </c>
      <c r="F899">
        <v>109.89401614975</v>
      </c>
      <c r="G899">
        <v>325.18690019736999</v>
      </c>
      <c r="H899">
        <v>44.741629988055998</v>
      </c>
      <c r="I899">
        <v>-77.983930734739999</v>
      </c>
      <c r="J899">
        <v>412.49009832239</v>
      </c>
      <c r="L899" s="1">
        <f t="shared" si="182"/>
        <v>3.924461280540001</v>
      </c>
      <c r="M899">
        <f t="shared" si="183"/>
        <v>3162.0696480266402</v>
      </c>
      <c r="N899">
        <f t="shared" ref="N899:N962" si="188">M899/360</f>
        <v>8.7835268000740001</v>
      </c>
      <c r="O899">
        <f t="shared" ref="O899:O962" si="189">H899</f>
        <v>44.741629988055998</v>
      </c>
      <c r="P899">
        <f t="shared" ref="P899:P962" si="190">IFERROR(MATCH(N899-0.5,N:N,1),0)</f>
        <v>849</v>
      </c>
      <c r="Q899">
        <f t="shared" si="184"/>
        <v>93.613228154588001</v>
      </c>
      <c r="R899">
        <f t="shared" ref="R899:R962" si="191">IF(Q899=0,MAX(Q:Q),Q899)</f>
        <v>93.613228154588001</v>
      </c>
      <c r="S899">
        <f t="shared" si="186"/>
        <v>96.992456394618102</v>
      </c>
      <c r="T899">
        <f t="shared" ref="T899:T962" si="192">IF(S899=0,MAX(S:S),S899)</f>
        <v>96.992456394618102</v>
      </c>
      <c r="U899" s="3">
        <f t="shared" ref="U899:U962" si="193">J899</f>
        <v>412.49009832239</v>
      </c>
      <c r="V899">
        <f t="shared" si="185"/>
        <v>798</v>
      </c>
      <c r="W899" s="8">
        <f t="shared" si="187"/>
        <v>50.354968957450012</v>
      </c>
      <c r="X899" s="1">
        <f t="shared" ref="X899:X962" si="194">IF(W899=0,MAX(W:W),W899)</f>
        <v>50.354968957450012</v>
      </c>
      <c r="Y899" s="18"/>
      <c r="Z899" s="7"/>
      <c r="AA899" s="1"/>
      <c r="AB899" s="1"/>
      <c r="AC899" s="1"/>
    </row>
    <row r="900" spans="1:29" x14ac:dyDescent="0.3">
      <c r="A900">
        <v>899</v>
      </c>
      <c r="E900">
        <v>-94.320718198180003</v>
      </c>
      <c r="F900">
        <v>112.93994590603</v>
      </c>
      <c r="G900">
        <v>325.79227260285001</v>
      </c>
      <c r="H900">
        <v>44.436890967299</v>
      </c>
      <c r="I900">
        <v>-74.027508200689994</v>
      </c>
      <c r="J900">
        <v>413.04326215723</v>
      </c>
      <c r="L900" s="1">
        <f t="shared" ref="L900:L963" si="195">I900-I899</f>
        <v>3.9564225340500059</v>
      </c>
      <c r="M900">
        <f t="shared" ref="M900:M963" si="196">IF(L900&gt;0,M899+L900,M899+L899)</f>
        <v>3166.0260705606902</v>
      </c>
      <c r="N900">
        <f t="shared" si="188"/>
        <v>8.7945168626685835</v>
      </c>
      <c r="O900">
        <f t="shared" si="189"/>
        <v>44.436890967299</v>
      </c>
      <c r="P900">
        <f t="shared" si="190"/>
        <v>850</v>
      </c>
      <c r="Q900">
        <f t="shared" si="184"/>
        <v>93.348628738689001</v>
      </c>
      <c r="R900">
        <f t="shared" si="191"/>
        <v>93.348628738689001</v>
      </c>
      <c r="S900">
        <f t="shared" si="186"/>
        <v>96.751521418342463</v>
      </c>
      <c r="T900">
        <f t="shared" si="192"/>
        <v>96.751521418342463</v>
      </c>
      <c r="U900" s="3">
        <f t="shared" si="193"/>
        <v>413.04326215723</v>
      </c>
      <c r="V900">
        <f t="shared" si="185"/>
        <v>799</v>
      </c>
      <c r="W900" s="8">
        <f t="shared" si="187"/>
        <v>50.423840468799995</v>
      </c>
      <c r="X900" s="1">
        <f t="shared" si="194"/>
        <v>50.423840468799995</v>
      </c>
      <c r="Y900" s="18"/>
      <c r="Z900" s="7"/>
      <c r="AA900" s="1"/>
      <c r="AB900" s="1"/>
      <c r="AC900" s="1"/>
    </row>
    <row r="901" spans="1:29" x14ac:dyDescent="0.3">
      <c r="A901">
        <v>900</v>
      </c>
      <c r="E901">
        <v>-93.811878575189994</v>
      </c>
      <c r="F901">
        <v>115.93362188639</v>
      </c>
      <c r="G901">
        <v>326.60172466544998</v>
      </c>
      <c r="H901">
        <v>44.134180489446003</v>
      </c>
      <c r="I901">
        <v>-70.045715579220001</v>
      </c>
      <c r="J901">
        <v>413.60597242998</v>
      </c>
      <c r="L901" s="1">
        <f t="shared" si="195"/>
        <v>3.9817926214699924</v>
      </c>
      <c r="M901">
        <f t="shared" si="196"/>
        <v>3170.0078631821602</v>
      </c>
      <c r="N901">
        <f t="shared" si="188"/>
        <v>8.8055773977282232</v>
      </c>
      <c r="O901">
        <f t="shared" si="189"/>
        <v>44.134180489446003</v>
      </c>
      <c r="P901">
        <f t="shared" si="190"/>
        <v>851</v>
      </c>
      <c r="Q901">
        <f t="shared" si="184"/>
        <v>93.090880960513999</v>
      </c>
      <c r="R901">
        <f t="shared" si="191"/>
        <v>93.090880960513999</v>
      </c>
      <c r="S901">
        <f t="shared" si="186"/>
        <v>96.515168060568939</v>
      </c>
      <c r="T901">
        <f t="shared" si="192"/>
        <v>96.515168060568939</v>
      </c>
      <c r="U901" s="3">
        <f t="shared" si="193"/>
        <v>413.60597242998</v>
      </c>
      <c r="V901">
        <f t="shared" si="185"/>
        <v>800</v>
      </c>
      <c r="W901" s="8">
        <f t="shared" si="187"/>
        <v>50.483493823950027</v>
      </c>
      <c r="X901" s="1">
        <f t="shared" si="194"/>
        <v>50.483493823950027</v>
      </c>
      <c r="Y901" s="18"/>
      <c r="Z901" s="7"/>
      <c r="AA901" s="1"/>
      <c r="AB901" s="1"/>
      <c r="AC901" s="1"/>
    </row>
    <row r="902" spans="1:29" x14ac:dyDescent="0.3">
      <c r="A902">
        <v>901</v>
      </c>
      <c r="E902">
        <v>-93.276260698049995</v>
      </c>
      <c r="F902">
        <v>118.85698784724001</v>
      </c>
      <c r="G902">
        <v>327.62272160627998</v>
      </c>
      <c r="H902">
        <v>43.822671325788001</v>
      </c>
      <c r="I902">
        <v>-66.03907626038</v>
      </c>
      <c r="J902">
        <v>414.17555705264999</v>
      </c>
      <c r="L902" s="1">
        <f t="shared" si="195"/>
        <v>4.0066393188400014</v>
      </c>
      <c r="M902">
        <f t="shared" si="196"/>
        <v>3174.0145025010002</v>
      </c>
      <c r="N902">
        <f t="shared" si="188"/>
        <v>8.8167069513916676</v>
      </c>
      <c r="O902">
        <f t="shared" si="189"/>
        <v>43.822671325788001</v>
      </c>
      <c r="P902">
        <f t="shared" si="190"/>
        <v>852</v>
      </c>
      <c r="Q902">
        <f t="shared" si="184"/>
        <v>92.829815489509997</v>
      </c>
      <c r="R902">
        <f t="shared" si="191"/>
        <v>92.829815489509997</v>
      </c>
      <c r="S902">
        <f t="shared" si="186"/>
        <v>96.276821753189253</v>
      </c>
      <c r="T902">
        <f t="shared" si="192"/>
        <v>96.276821753189253</v>
      </c>
      <c r="U902" s="3">
        <f t="shared" si="193"/>
        <v>414.17555705264999</v>
      </c>
      <c r="V902">
        <f t="shared" si="185"/>
        <v>801</v>
      </c>
      <c r="W902" s="8">
        <f t="shared" si="187"/>
        <v>50.535320148580013</v>
      </c>
      <c r="X902" s="1">
        <f t="shared" si="194"/>
        <v>50.535320148580013</v>
      </c>
      <c r="Y902" s="18"/>
      <c r="Z902" s="7"/>
      <c r="AA902" s="1"/>
      <c r="AB902" s="1"/>
      <c r="AC902" s="1"/>
    </row>
    <row r="903" spans="1:29" x14ac:dyDescent="0.3">
      <c r="A903">
        <v>902</v>
      </c>
      <c r="E903">
        <v>-92.710586481289994</v>
      </c>
      <c r="F903">
        <v>121.6930997437</v>
      </c>
      <c r="G903">
        <v>328.85307336120002</v>
      </c>
      <c r="H903">
        <v>43.499481721248998</v>
      </c>
      <c r="I903">
        <v>-62.006843229520001</v>
      </c>
      <c r="J903">
        <v>414.75477264927002</v>
      </c>
      <c r="L903" s="1">
        <f t="shared" si="195"/>
        <v>4.0322330308599987</v>
      </c>
      <c r="M903">
        <f t="shared" si="196"/>
        <v>3178.0467355318601</v>
      </c>
      <c r="N903">
        <f t="shared" si="188"/>
        <v>8.8279075986996123</v>
      </c>
      <c r="O903">
        <f t="shared" si="189"/>
        <v>43.499481721248998</v>
      </c>
      <c r="P903">
        <f t="shared" si="190"/>
        <v>854</v>
      </c>
      <c r="Q903">
        <f t="shared" si="184"/>
        <v>92.632009706496007</v>
      </c>
      <c r="R903">
        <f t="shared" si="191"/>
        <v>92.632009706496007</v>
      </c>
      <c r="S903">
        <f t="shared" si="186"/>
        <v>96.015344611201925</v>
      </c>
      <c r="T903">
        <f t="shared" si="192"/>
        <v>96.015344611201925</v>
      </c>
      <c r="U903" s="3">
        <f t="shared" si="193"/>
        <v>414.75477264927002</v>
      </c>
      <c r="V903">
        <f t="shared" si="185"/>
        <v>802</v>
      </c>
      <c r="W903" s="8">
        <f t="shared" si="187"/>
        <v>50.638719281130022</v>
      </c>
      <c r="X903" s="1">
        <f t="shared" si="194"/>
        <v>50.638719281130022</v>
      </c>
      <c r="Y903" s="18"/>
      <c r="Z903" s="7"/>
      <c r="AA903" s="1"/>
      <c r="AB903" s="1"/>
      <c r="AC903" s="1"/>
    </row>
    <row r="904" spans="1:29" x14ac:dyDescent="0.3">
      <c r="A904">
        <v>903</v>
      </c>
      <c r="E904">
        <v>-92.143653067640003</v>
      </c>
      <c r="F904">
        <v>124.43712437959</v>
      </c>
      <c r="G904">
        <v>330.27639524153</v>
      </c>
      <c r="H904">
        <v>43.181285084549003</v>
      </c>
      <c r="I904">
        <v>-57.939748634490002</v>
      </c>
      <c r="J904">
        <v>415.31605671261002</v>
      </c>
      <c r="L904" s="1">
        <f t="shared" si="195"/>
        <v>4.0670945950299995</v>
      </c>
      <c r="M904">
        <f t="shared" si="196"/>
        <v>3182.1138301268902</v>
      </c>
      <c r="N904">
        <f t="shared" si="188"/>
        <v>8.8392050836858065</v>
      </c>
      <c r="O904">
        <f t="shared" si="189"/>
        <v>43.181285084549003</v>
      </c>
      <c r="P904">
        <f t="shared" si="190"/>
        <v>855</v>
      </c>
      <c r="Q904">
        <f t="shared" si="184"/>
        <v>92.389323103645012</v>
      </c>
      <c r="R904">
        <f t="shared" si="191"/>
        <v>92.389323103645012</v>
      </c>
      <c r="S904">
        <f t="shared" si="186"/>
        <v>95.802322668610032</v>
      </c>
      <c r="T904">
        <f t="shared" si="192"/>
        <v>95.802322668610032</v>
      </c>
      <c r="U904" s="3">
        <f t="shared" si="193"/>
        <v>415.31605671261002</v>
      </c>
      <c r="V904">
        <f t="shared" si="185"/>
        <v>804</v>
      </c>
      <c r="W904" s="8">
        <f t="shared" si="187"/>
        <v>50.203385403270033</v>
      </c>
      <c r="X904" s="1">
        <f t="shared" si="194"/>
        <v>50.203385403270033</v>
      </c>
      <c r="Y904" s="18"/>
      <c r="Z904" s="7"/>
      <c r="AA904" s="1"/>
      <c r="AB904" s="1"/>
      <c r="AC904" s="1"/>
    </row>
    <row r="905" spans="1:29" x14ac:dyDescent="0.3">
      <c r="A905">
        <v>904</v>
      </c>
      <c r="E905">
        <v>-91.534210192459994</v>
      </c>
      <c r="F905">
        <v>127.08100331989</v>
      </c>
      <c r="G905">
        <v>331.86214601796001</v>
      </c>
      <c r="H905">
        <v>42.889648074629001</v>
      </c>
      <c r="I905">
        <v>-53.846780861239999</v>
      </c>
      <c r="J905">
        <v>415.90261615098001</v>
      </c>
      <c r="L905" s="1">
        <f t="shared" si="195"/>
        <v>4.0929677732500025</v>
      </c>
      <c r="M905">
        <f t="shared" si="196"/>
        <v>3186.2067979001404</v>
      </c>
      <c r="N905">
        <f t="shared" si="188"/>
        <v>8.8505744386115008</v>
      </c>
      <c r="O905">
        <f t="shared" si="189"/>
        <v>42.889648074629001</v>
      </c>
      <c r="P905">
        <f t="shared" si="190"/>
        <v>856</v>
      </c>
      <c r="Q905">
        <f t="shared" si="184"/>
        <v>92.192657605668003</v>
      </c>
      <c r="R905">
        <f t="shared" si="191"/>
        <v>92.192657605668003</v>
      </c>
      <c r="S905">
        <f t="shared" si="186"/>
        <v>95.634103002843588</v>
      </c>
      <c r="T905">
        <f t="shared" si="192"/>
        <v>95.634103002843588</v>
      </c>
      <c r="U905" s="3">
        <f t="shared" si="193"/>
        <v>415.90261615098001</v>
      </c>
      <c r="V905">
        <f t="shared" si="185"/>
        <v>805</v>
      </c>
      <c r="W905" s="8">
        <f t="shared" si="187"/>
        <v>50.320877849400006</v>
      </c>
      <c r="X905" s="1">
        <f t="shared" si="194"/>
        <v>50.320877849400006</v>
      </c>
      <c r="Y905" s="18"/>
      <c r="Z905" s="7"/>
      <c r="AA905" s="1"/>
      <c r="AB905" s="1"/>
      <c r="AC905" s="1"/>
    </row>
    <row r="906" spans="1:29" x14ac:dyDescent="0.3">
      <c r="A906">
        <v>905</v>
      </c>
      <c r="E906">
        <v>-90.922767411479995</v>
      </c>
      <c r="F906">
        <v>129.60807095151</v>
      </c>
      <c r="G906">
        <v>333.62732252946</v>
      </c>
      <c r="H906">
        <v>42.605788624615997</v>
      </c>
      <c r="I906">
        <v>-49.721037812379997</v>
      </c>
      <c r="J906">
        <v>416.47206978585001</v>
      </c>
      <c r="L906" s="1">
        <f t="shared" si="195"/>
        <v>4.1257430488600022</v>
      </c>
      <c r="M906">
        <f t="shared" si="196"/>
        <v>3190.3325409490003</v>
      </c>
      <c r="N906">
        <f t="shared" si="188"/>
        <v>8.8620348359694461</v>
      </c>
      <c r="O906">
        <f t="shared" si="189"/>
        <v>42.605788624615997</v>
      </c>
      <c r="P906">
        <f t="shared" si="190"/>
        <v>857</v>
      </c>
      <c r="Q906">
        <f t="shared" si="184"/>
        <v>91.973623816645997</v>
      </c>
      <c r="R906">
        <f t="shared" si="191"/>
        <v>91.973623816645997</v>
      </c>
      <c r="S906">
        <f t="shared" si="186"/>
        <v>95.443419160487522</v>
      </c>
      <c r="T906">
        <f t="shared" si="192"/>
        <v>95.443419160487522</v>
      </c>
      <c r="U906" s="3">
        <f t="shared" si="193"/>
        <v>416.47206978585001</v>
      </c>
      <c r="V906">
        <f t="shared" si="185"/>
        <v>806</v>
      </c>
      <c r="W906" s="8">
        <f t="shared" si="187"/>
        <v>50.431538657630028</v>
      </c>
      <c r="X906" s="1">
        <f t="shared" si="194"/>
        <v>50.431538657630028</v>
      </c>
      <c r="Y906" s="18"/>
      <c r="Z906" s="7"/>
      <c r="AA906" s="1"/>
      <c r="AB906" s="1"/>
      <c r="AC906" s="1"/>
    </row>
    <row r="907" spans="1:29" x14ac:dyDescent="0.3">
      <c r="A907">
        <v>906</v>
      </c>
      <c r="E907">
        <v>-90.311531058539998</v>
      </c>
      <c r="F907">
        <v>132.00884444182</v>
      </c>
      <c r="G907">
        <v>335.56114945835998</v>
      </c>
      <c r="H907">
        <v>42.335269047705999</v>
      </c>
      <c r="I907">
        <v>-45.561847260539999</v>
      </c>
      <c r="J907">
        <v>417.02270129396999</v>
      </c>
      <c r="L907" s="1">
        <f t="shared" si="195"/>
        <v>4.1591905518399983</v>
      </c>
      <c r="M907">
        <f t="shared" si="196"/>
        <v>3194.4917315008402</v>
      </c>
      <c r="N907">
        <f t="shared" si="188"/>
        <v>8.8735881430578889</v>
      </c>
      <c r="O907">
        <f t="shared" si="189"/>
        <v>42.335269047705999</v>
      </c>
      <c r="P907">
        <f t="shared" si="190"/>
        <v>858</v>
      </c>
      <c r="Q907">
        <f t="shared" si="184"/>
        <v>91.776708692621</v>
      </c>
      <c r="R907">
        <f t="shared" si="191"/>
        <v>91.776708692621</v>
      </c>
      <c r="S907">
        <f t="shared" si="186"/>
        <v>95.260987367333868</v>
      </c>
      <c r="T907">
        <f t="shared" si="192"/>
        <v>95.260987367333868</v>
      </c>
      <c r="U907" s="3">
        <f t="shared" si="193"/>
        <v>417.02270129396999</v>
      </c>
      <c r="V907">
        <f t="shared" si="185"/>
        <v>807</v>
      </c>
      <c r="W907" s="8">
        <f t="shared" si="187"/>
        <v>50.501912468589978</v>
      </c>
      <c r="X907" s="1">
        <f t="shared" si="194"/>
        <v>50.501912468589978</v>
      </c>
      <c r="Y907" s="18"/>
      <c r="Z907" s="7"/>
      <c r="AA907" s="1"/>
      <c r="AB907" s="1"/>
      <c r="AC907" s="1"/>
    </row>
    <row r="908" spans="1:29" x14ac:dyDescent="0.3">
      <c r="A908">
        <v>907</v>
      </c>
      <c r="E908">
        <v>-89.654234359239993</v>
      </c>
      <c r="F908">
        <v>134.26519041360001</v>
      </c>
      <c r="G908">
        <v>337.64775429628003</v>
      </c>
      <c r="H908">
        <v>42.076722498732003</v>
      </c>
      <c r="I908">
        <v>-41.382092229309997</v>
      </c>
      <c r="J908">
        <v>417.60113135130001</v>
      </c>
      <c r="L908" s="1">
        <f t="shared" si="195"/>
        <v>4.1797550312300018</v>
      </c>
      <c r="M908">
        <f t="shared" si="196"/>
        <v>3198.67148653207</v>
      </c>
      <c r="N908">
        <f t="shared" si="188"/>
        <v>8.8851985737001939</v>
      </c>
      <c r="O908">
        <f t="shared" si="189"/>
        <v>42.076722498732003</v>
      </c>
      <c r="P908">
        <f t="shared" si="190"/>
        <v>859</v>
      </c>
      <c r="Q908">
        <f t="shared" si="184"/>
        <v>91.59930441540601</v>
      </c>
      <c r="R908">
        <f t="shared" si="191"/>
        <v>91.59930441540601</v>
      </c>
      <c r="S908">
        <f t="shared" si="186"/>
        <v>95.106467738956454</v>
      </c>
      <c r="T908">
        <f t="shared" si="192"/>
        <v>95.106467738956454</v>
      </c>
      <c r="U908" s="3">
        <f t="shared" si="193"/>
        <v>417.60113135130001</v>
      </c>
      <c r="V908">
        <f t="shared" si="185"/>
        <v>809</v>
      </c>
      <c r="W908" s="8">
        <f t="shared" si="187"/>
        <v>50.046380551970003</v>
      </c>
      <c r="X908" s="1">
        <f t="shared" si="194"/>
        <v>50.046380551970003</v>
      </c>
      <c r="Y908" s="18"/>
      <c r="Z908" s="7"/>
      <c r="AA908" s="1"/>
      <c r="AB908" s="1"/>
      <c r="AC908" s="1"/>
    </row>
    <row r="909" spans="1:29" x14ac:dyDescent="0.3">
      <c r="A909">
        <v>908</v>
      </c>
      <c r="E909">
        <v>-89.002623303500002</v>
      </c>
      <c r="F909">
        <v>136.39519601753</v>
      </c>
      <c r="G909">
        <v>339.86480559515002</v>
      </c>
      <c r="H909">
        <v>41.863742552269002</v>
      </c>
      <c r="I909">
        <v>-37.168799687350003</v>
      </c>
      <c r="J909">
        <v>418.15834291413</v>
      </c>
      <c r="L909" s="1">
        <f t="shared" si="195"/>
        <v>4.2132925419599943</v>
      </c>
      <c r="M909">
        <f t="shared" si="196"/>
        <v>3202.8847790740301</v>
      </c>
      <c r="N909">
        <f t="shared" si="188"/>
        <v>8.8969021640945289</v>
      </c>
      <c r="O909">
        <f t="shared" si="189"/>
        <v>41.863742552269002</v>
      </c>
      <c r="P909">
        <f t="shared" si="190"/>
        <v>860</v>
      </c>
      <c r="Q909">
        <f t="shared" si="184"/>
        <v>91.485254402424999</v>
      </c>
      <c r="R909">
        <f t="shared" si="191"/>
        <v>91.485254402424999</v>
      </c>
      <c r="S909">
        <f t="shared" si="186"/>
        <v>95.002616004623434</v>
      </c>
      <c r="T909">
        <f t="shared" si="192"/>
        <v>95.002616004623434</v>
      </c>
      <c r="U909" s="3">
        <f t="shared" si="193"/>
        <v>418.15834291413</v>
      </c>
      <c r="V909">
        <f t="shared" si="185"/>
        <v>810</v>
      </c>
      <c r="W909" s="8">
        <f t="shared" si="187"/>
        <v>50.127500658149984</v>
      </c>
      <c r="X909" s="1">
        <f t="shared" si="194"/>
        <v>50.127500658149984</v>
      </c>
      <c r="Y909" s="18"/>
      <c r="Z909" s="7"/>
      <c r="AA909" s="1"/>
      <c r="AB909" s="1"/>
      <c r="AC909" s="1"/>
    </row>
    <row r="910" spans="1:29" x14ac:dyDescent="0.3">
      <c r="A910">
        <v>909</v>
      </c>
      <c r="E910">
        <v>-88.329336924979998</v>
      </c>
      <c r="F910">
        <v>138.33674364660999</v>
      </c>
      <c r="G910">
        <v>342.24201245565001</v>
      </c>
      <c r="H910">
        <v>41.630466515621002</v>
      </c>
      <c r="I910">
        <v>-32.935899425480002</v>
      </c>
      <c r="J910">
        <v>418.71669808266</v>
      </c>
      <c r="L910" s="1">
        <f t="shared" si="195"/>
        <v>4.2329002618700002</v>
      </c>
      <c r="M910">
        <f t="shared" si="196"/>
        <v>3207.1176793359</v>
      </c>
      <c r="N910">
        <f t="shared" si="188"/>
        <v>8.9086602203775005</v>
      </c>
      <c r="O910">
        <f t="shared" si="189"/>
        <v>41.630466515621002</v>
      </c>
      <c r="P910">
        <f t="shared" si="190"/>
        <v>862</v>
      </c>
      <c r="Q910">
        <f t="shared" si="184"/>
        <v>91.471245235716992</v>
      </c>
      <c r="R910">
        <f t="shared" si="191"/>
        <v>91.471245235716992</v>
      </c>
      <c r="S910">
        <f t="shared" si="186"/>
        <v>94.918709616066067</v>
      </c>
      <c r="T910">
        <f t="shared" si="192"/>
        <v>94.918709616066067</v>
      </c>
      <c r="U910" s="3">
        <f t="shared" si="193"/>
        <v>418.71669808266</v>
      </c>
      <c r="V910">
        <f t="shared" si="185"/>
        <v>811</v>
      </c>
      <c r="W910" s="8">
        <f t="shared" si="187"/>
        <v>50.24098841877003</v>
      </c>
      <c r="X910" s="1">
        <f t="shared" si="194"/>
        <v>50.24098841877003</v>
      </c>
      <c r="Y910" s="18"/>
      <c r="Z910" s="7"/>
      <c r="AA910" s="1"/>
      <c r="AB910" s="1"/>
      <c r="AC910" s="1"/>
    </row>
    <row r="911" spans="1:29" x14ac:dyDescent="0.3">
      <c r="A911">
        <v>910</v>
      </c>
      <c r="E911">
        <v>-87.614669290219993</v>
      </c>
      <c r="F911">
        <v>140.10584710927</v>
      </c>
      <c r="G911">
        <v>344.73921412134001</v>
      </c>
      <c r="H911">
        <v>41.413566129865004</v>
      </c>
      <c r="I911">
        <v>-28.684141090120001</v>
      </c>
      <c r="J911">
        <v>419.29968898844999</v>
      </c>
      <c r="L911" s="1">
        <f t="shared" si="195"/>
        <v>4.2517583353600017</v>
      </c>
      <c r="M911">
        <f t="shared" si="196"/>
        <v>3211.3694376712601</v>
      </c>
      <c r="N911">
        <f t="shared" si="188"/>
        <v>8.9204706601979442</v>
      </c>
      <c r="O911">
        <f t="shared" si="189"/>
        <v>41.413566129865004</v>
      </c>
      <c r="P911">
        <f t="shared" si="190"/>
        <v>863</v>
      </c>
      <c r="Q911">
        <f t="shared" si="184"/>
        <v>91.321512298600993</v>
      </c>
      <c r="R911">
        <f t="shared" si="191"/>
        <v>91.321512298600993</v>
      </c>
      <c r="S911">
        <f t="shared" si="186"/>
        <v>94.796991896612084</v>
      </c>
      <c r="T911">
        <f t="shared" si="192"/>
        <v>94.796991896612084</v>
      </c>
      <c r="U911" s="3">
        <f t="shared" si="193"/>
        <v>419.29968898844999</v>
      </c>
      <c r="V911">
        <f t="shared" si="185"/>
        <v>812</v>
      </c>
      <c r="W911" s="8">
        <f t="shared" si="187"/>
        <v>50.291025125889973</v>
      </c>
      <c r="X911" s="1">
        <f t="shared" si="194"/>
        <v>50.291025125889973</v>
      </c>
      <c r="Y911" s="18"/>
      <c r="Z911" s="7"/>
      <c r="AA911" s="1"/>
      <c r="AB911" s="1"/>
      <c r="AC911" s="1"/>
    </row>
    <row r="912" spans="1:29" x14ac:dyDescent="0.3">
      <c r="A912">
        <v>911</v>
      </c>
      <c r="E912">
        <v>-86.895953612279996</v>
      </c>
      <c r="F912">
        <v>141.71691297935001</v>
      </c>
      <c r="G912">
        <v>347.34006829062002</v>
      </c>
      <c r="H912">
        <v>41.237677549624003</v>
      </c>
      <c r="I912">
        <v>-24.405769529730001</v>
      </c>
      <c r="J912">
        <v>419.87202454891002</v>
      </c>
      <c r="L912" s="1">
        <f t="shared" si="195"/>
        <v>4.2783715603899992</v>
      </c>
      <c r="M912">
        <f t="shared" si="196"/>
        <v>3215.6478092316502</v>
      </c>
      <c r="N912">
        <f t="shared" si="188"/>
        <v>8.9323550256434725</v>
      </c>
      <c r="O912">
        <f t="shared" si="189"/>
        <v>41.237677549624003</v>
      </c>
      <c r="P912">
        <f t="shared" si="190"/>
        <v>864</v>
      </c>
      <c r="Q912">
        <f t="shared" si="184"/>
        <v>91.204288369028006</v>
      </c>
      <c r="R912">
        <f t="shared" si="191"/>
        <v>91.204288369028006</v>
      </c>
      <c r="S912">
        <f t="shared" si="186"/>
        <v>94.70035876906816</v>
      </c>
      <c r="T912">
        <f t="shared" si="192"/>
        <v>94.70035876906816</v>
      </c>
      <c r="U912" s="3">
        <f t="shared" si="193"/>
        <v>419.87202454891002</v>
      </c>
      <c r="V912">
        <f t="shared" si="185"/>
        <v>814</v>
      </c>
      <c r="W912" s="8">
        <f t="shared" si="187"/>
        <v>49.866078325940009</v>
      </c>
      <c r="X912" s="1">
        <f t="shared" si="194"/>
        <v>49.866078325940009</v>
      </c>
      <c r="Y912" s="18"/>
      <c r="Z912" s="7"/>
      <c r="AA912" s="1"/>
      <c r="AB912" s="1"/>
      <c r="AC912" s="1"/>
    </row>
    <row r="913" spans="1:29" x14ac:dyDescent="0.3">
      <c r="A913">
        <v>912</v>
      </c>
      <c r="E913">
        <v>-86.180588154500001</v>
      </c>
      <c r="F913">
        <v>143.15967620135001</v>
      </c>
      <c r="G913">
        <v>350.03859913372997</v>
      </c>
      <c r="H913">
        <v>41.099299216534</v>
      </c>
      <c r="I913">
        <v>-20.10410035992</v>
      </c>
      <c r="J913">
        <v>420.42640114787002</v>
      </c>
      <c r="L913" s="1">
        <f t="shared" si="195"/>
        <v>4.3016691698100011</v>
      </c>
      <c r="M913">
        <f t="shared" si="196"/>
        <v>3219.9494784014601</v>
      </c>
      <c r="N913">
        <f t="shared" si="188"/>
        <v>8.9443041066707227</v>
      </c>
      <c r="O913">
        <f t="shared" si="189"/>
        <v>41.099299216534</v>
      </c>
      <c r="P913">
        <f t="shared" si="190"/>
        <v>865</v>
      </c>
      <c r="Q913">
        <f t="shared" si="184"/>
        <v>91.130007864697006</v>
      </c>
      <c r="R913">
        <f t="shared" si="191"/>
        <v>91.130007864697006</v>
      </c>
      <c r="S913">
        <f t="shared" si="186"/>
        <v>94.632756282568522</v>
      </c>
      <c r="T913">
        <f t="shared" si="192"/>
        <v>94.632756282568522</v>
      </c>
      <c r="U913" s="3">
        <f t="shared" si="193"/>
        <v>420.42640114787002</v>
      </c>
      <c r="V913">
        <f t="shared" si="185"/>
        <v>815</v>
      </c>
      <c r="W913" s="8">
        <f t="shared" si="187"/>
        <v>49.933434842160011</v>
      </c>
      <c r="X913" s="1">
        <f t="shared" si="194"/>
        <v>49.933434842160011</v>
      </c>
      <c r="Y913" s="18"/>
      <c r="Z913" s="7"/>
      <c r="AA913" s="1"/>
      <c r="AB913" s="1"/>
      <c r="AC913" s="1"/>
    </row>
    <row r="914" spans="1:29" x14ac:dyDescent="0.3">
      <c r="A914">
        <v>913</v>
      </c>
      <c r="E914">
        <v>-85.464654959960001</v>
      </c>
      <c r="F914">
        <v>144.39889367356</v>
      </c>
      <c r="G914">
        <v>352.83658292323997</v>
      </c>
      <c r="H914">
        <v>40.967606593204998</v>
      </c>
      <c r="I914">
        <v>-15.78365146845</v>
      </c>
      <c r="J914">
        <v>420.96515625827999</v>
      </c>
      <c r="L914" s="1">
        <f t="shared" si="195"/>
        <v>4.3204488914700008</v>
      </c>
      <c r="M914">
        <f t="shared" si="196"/>
        <v>3224.2699272929299</v>
      </c>
      <c r="N914">
        <f t="shared" si="188"/>
        <v>8.9563053535914712</v>
      </c>
      <c r="O914">
        <f t="shared" si="189"/>
        <v>40.967606593204998</v>
      </c>
      <c r="P914">
        <f t="shared" si="190"/>
        <v>866</v>
      </c>
      <c r="Q914">
        <f t="shared" ref="Q914:Q977" si="197">IF(P914=0,0,O914+INDEX(O:O,P914))</f>
        <v>91.046718159072995</v>
      </c>
      <c r="R914">
        <f t="shared" si="191"/>
        <v>91.046718159072995</v>
      </c>
      <c r="S914">
        <f t="shared" si="186"/>
        <v>94.561765984801198</v>
      </c>
      <c r="T914">
        <f t="shared" si="192"/>
        <v>94.561765984801198</v>
      </c>
      <c r="U914" s="3">
        <f t="shared" si="193"/>
        <v>420.96515625827999</v>
      </c>
      <c r="V914">
        <f t="shared" si="185"/>
        <v>816</v>
      </c>
      <c r="W914" s="8">
        <f t="shared" si="187"/>
        <v>49.968935499550014</v>
      </c>
      <c r="X914" s="1">
        <f t="shared" si="194"/>
        <v>49.968935499550014</v>
      </c>
      <c r="Y914" s="18"/>
      <c r="Z914" s="7"/>
      <c r="AA914" s="1"/>
      <c r="AB914" s="1"/>
      <c r="AC914" s="1"/>
    </row>
    <row r="915" spans="1:29" x14ac:dyDescent="0.3">
      <c r="A915">
        <v>914</v>
      </c>
      <c r="E915">
        <v>-84.695729433829996</v>
      </c>
      <c r="F915">
        <v>145.43314648312</v>
      </c>
      <c r="G915">
        <v>355.70262961514999</v>
      </c>
      <c r="H915">
        <v>40.850661215354002</v>
      </c>
      <c r="I915">
        <v>-11.459529612880001</v>
      </c>
      <c r="J915">
        <v>421.54296201407999</v>
      </c>
      <c r="L915" s="1">
        <f t="shared" si="195"/>
        <v>4.3241218555699987</v>
      </c>
      <c r="M915">
        <f t="shared" si="196"/>
        <v>3228.5940491484998</v>
      </c>
      <c r="N915">
        <f t="shared" si="188"/>
        <v>8.9683168031902767</v>
      </c>
      <c r="O915">
        <f t="shared" si="189"/>
        <v>40.850661215354002</v>
      </c>
      <c r="P915">
        <f t="shared" si="190"/>
        <v>868</v>
      </c>
      <c r="Q915">
        <f t="shared" si="197"/>
        <v>90.921387100971998</v>
      </c>
      <c r="R915">
        <f t="shared" si="191"/>
        <v>90.921387100971998</v>
      </c>
      <c r="S915">
        <f t="shared" si="186"/>
        <v>94.345150789581311</v>
      </c>
      <c r="T915">
        <f t="shared" si="192"/>
        <v>94.345150789581311</v>
      </c>
      <c r="U915" s="3">
        <f t="shared" si="193"/>
        <v>421.54296201407999</v>
      </c>
      <c r="V915">
        <f t="shared" si="185"/>
        <v>817</v>
      </c>
      <c r="W915" s="8">
        <f t="shared" si="187"/>
        <v>50.088757086099974</v>
      </c>
      <c r="X915" s="1">
        <f t="shared" si="194"/>
        <v>50.088757086099974</v>
      </c>
      <c r="Y915" s="18"/>
      <c r="Z915" s="7"/>
      <c r="AA915" s="1"/>
      <c r="AB915" s="1"/>
      <c r="AC915" s="1"/>
    </row>
    <row r="916" spans="1:29" x14ac:dyDescent="0.3">
      <c r="A916">
        <v>915</v>
      </c>
      <c r="E916">
        <v>-83.968689273370003</v>
      </c>
      <c r="F916">
        <v>146.31775452798999</v>
      </c>
      <c r="G916">
        <v>358.62920645626002</v>
      </c>
      <c r="H916">
        <v>40.809653533518002</v>
      </c>
      <c r="I916">
        <v>-7.1109585614890003</v>
      </c>
      <c r="J916">
        <v>422.06815997090001</v>
      </c>
      <c r="L916" s="1">
        <f t="shared" si="195"/>
        <v>4.3485710513910005</v>
      </c>
      <c r="M916">
        <f t="shared" si="196"/>
        <v>3232.9426201998908</v>
      </c>
      <c r="N916">
        <f t="shared" si="188"/>
        <v>8.9803961672219188</v>
      </c>
      <c r="O916">
        <f t="shared" si="189"/>
        <v>40.809653533518002</v>
      </c>
      <c r="P916">
        <f t="shared" si="190"/>
        <v>869</v>
      </c>
      <c r="Q916">
        <f t="shared" si="197"/>
        <v>90.821184426911003</v>
      </c>
      <c r="R916">
        <f t="shared" si="191"/>
        <v>90.821184426911003</v>
      </c>
      <c r="S916">
        <f t="shared" si="186"/>
        <v>94.253626213764051</v>
      </c>
      <c r="T916">
        <f t="shared" si="192"/>
        <v>94.253626213764051</v>
      </c>
      <c r="U916" s="3">
        <f t="shared" si="193"/>
        <v>422.06815997090001</v>
      </c>
      <c r="V916">
        <f t="shared" si="185"/>
        <v>819</v>
      </c>
      <c r="W916" s="8">
        <f t="shared" si="187"/>
        <v>49.627134396370025</v>
      </c>
      <c r="X916" s="1">
        <f t="shared" si="194"/>
        <v>49.627134396370025</v>
      </c>
      <c r="Y916" s="18"/>
      <c r="Z916" s="7"/>
      <c r="AA916" s="1"/>
      <c r="AB916" s="1"/>
      <c r="AC916" s="1"/>
    </row>
    <row r="917" spans="1:29" x14ac:dyDescent="0.3">
      <c r="A917">
        <v>916</v>
      </c>
      <c r="E917">
        <v>-83.220757418199995</v>
      </c>
      <c r="F917">
        <v>146.95529979488001</v>
      </c>
      <c r="G917">
        <v>361.61404676875998</v>
      </c>
      <c r="H917">
        <v>40.749165158982997</v>
      </c>
      <c r="I917">
        <v>-2.759089231061</v>
      </c>
      <c r="J917">
        <v>422.59952412800999</v>
      </c>
      <c r="L917" s="1">
        <f t="shared" si="195"/>
        <v>4.3518693304280003</v>
      </c>
      <c r="M917">
        <f t="shared" si="196"/>
        <v>3237.294489530319</v>
      </c>
      <c r="N917">
        <f t="shared" si="188"/>
        <v>8.9924846931397742</v>
      </c>
      <c r="O917">
        <f t="shared" si="189"/>
        <v>40.749165158982997</v>
      </c>
      <c r="P917">
        <f t="shared" si="190"/>
        <v>870</v>
      </c>
      <c r="Q917">
        <f t="shared" si="197"/>
        <v>90.776098221210987</v>
      </c>
      <c r="R917">
        <f t="shared" si="191"/>
        <v>90.776098221210987</v>
      </c>
      <c r="S917">
        <f t="shared" si="186"/>
        <v>94.210094718123941</v>
      </c>
      <c r="T917">
        <f t="shared" si="192"/>
        <v>94.210094718123941</v>
      </c>
      <c r="U917" s="3">
        <f t="shared" si="193"/>
        <v>422.59952412800999</v>
      </c>
      <c r="V917">
        <f t="shared" si="185"/>
        <v>820</v>
      </c>
      <c r="W917" s="8">
        <f t="shared" si="187"/>
        <v>49.685227391370006</v>
      </c>
      <c r="X917" s="1">
        <f t="shared" si="194"/>
        <v>49.685227391370006</v>
      </c>
      <c r="Y917" s="18"/>
      <c r="Z917" s="7"/>
      <c r="AA917" s="1"/>
      <c r="AB917" s="1"/>
      <c r="AC917" s="1"/>
    </row>
    <row r="918" spans="1:29" x14ac:dyDescent="0.3">
      <c r="A918">
        <v>917</v>
      </c>
      <c r="E918">
        <v>-82.407571751480006</v>
      </c>
      <c r="F918">
        <v>147.36125755936999</v>
      </c>
      <c r="G918">
        <v>364.62240655882999</v>
      </c>
      <c r="H918">
        <v>40.687999509641003</v>
      </c>
      <c r="I918">
        <v>1.585862671481</v>
      </c>
      <c r="J918">
        <v>423.18464733192002</v>
      </c>
      <c r="L918" s="1">
        <f t="shared" si="195"/>
        <v>4.3449519025420003</v>
      </c>
      <c r="M918">
        <f t="shared" si="196"/>
        <v>3241.6394414328611</v>
      </c>
      <c r="N918">
        <f t="shared" si="188"/>
        <v>9.0045540039801697</v>
      </c>
      <c r="O918">
        <f t="shared" si="189"/>
        <v>40.687999509641003</v>
      </c>
      <c r="P918">
        <f t="shared" si="190"/>
        <v>871</v>
      </c>
      <c r="Q918">
        <f t="shared" si="197"/>
        <v>90.660265661707001</v>
      </c>
      <c r="R918">
        <f t="shared" si="191"/>
        <v>90.660265661707001</v>
      </c>
      <c r="S918">
        <f t="shared" si="186"/>
        <v>94.112301941777702</v>
      </c>
      <c r="T918">
        <f t="shared" si="192"/>
        <v>94.112301941777702</v>
      </c>
      <c r="U918" s="3">
        <f t="shared" si="193"/>
        <v>423.18464733192002</v>
      </c>
      <c r="V918">
        <f t="shared" si="185"/>
        <v>821</v>
      </c>
      <c r="W918" s="8">
        <f t="shared" si="187"/>
        <v>49.792489081240035</v>
      </c>
      <c r="X918" s="1">
        <f t="shared" si="194"/>
        <v>49.792489081240035</v>
      </c>
      <c r="Y918" s="18"/>
      <c r="Z918" s="7"/>
      <c r="AA918" s="1"/>
      <c r="AB918" s="1"/>
      <c r="AC918" s="1"/>
    </row>
    <row r="919" spans="1:29" x14ac:dyDescent="0.3">
      <c r="A919">
        <v>918</v>
      </c>
      <c r="E919">
        <v>-81.655721379379997</v>
      </c>
      <c r="F919">
        <v>147.62439207359</v>
      </c>
      <c r="G919">
        <v>367.66242994828002</v>
      </c>
      <c r="H919">
        <v>40.719861002632001</v>
      </c>
      <c r="I919">
        <v>5.9503819059609997</v>
      </c>
      <c r="J919">
        <v>423.70038066379999</v>
      </c>
      <c r="L919" s="1">
        <f t="shared" si="195"/>
        <v>4.3645192344799995</v>
      </c>
      <c r="M919">
        <f t="shared" si="196"/>
        <v>3246.0039606673413</v>
      </c>
      <c r="N919">
        <f t="shared" si="188"/>
        <v>9.0166776685203924</v>
      </c>
      <c r="O919">
        <f t="shared" si="189"/>
        <v>40.719861002632001</v>
      </c>
      <c r="P919">
        <f t="shared" si="190"/>
        <v>873</v>
      </c>
      <c r="Q919">
        <f t="shared" si="197"/>
        <v>90.563946316062001</v>
      </c>
      <c r="R919">
        <f t="shared" si="191"/>
        <v>90.563946316062001</v>
      </c>
      <c r="S919">
        <f t="shared" si="186"/>
        <v>93.923227115641055</v>
      </c>
      <c r="T919">
        <f t="shared" si="192"/>
        <v>93.923227115641055</v>
      </c>
      <c r="U919" s="3">
        <f t="shared" si="193"/>
        <v>423.70038066379999</v>
      </c>
      <c r="V919">
        <f t="shared" si="185"/>
        <v>822</v>
      </c>
      <c r="W919" s="8">
        <f t="shared" si="187"/>
        <v>49.831995695079968</v>
      </c>
      <c r="X919" s="1">
        <f t="shared" si="194"/>
        <v>49.831995695079968</v>
      </c>
      <c r="Y919" s="18"/>
      <c r="Z919" s="7"/>
      <c r="AA919" s="1"/>
      <c r="AB919" s="1"/>
      <c r="AC919" s="1"/>
    </row>
    <row r="920" spans="1:29" x14ac:dyDescent="0.3">
      <c r="A920">
        <v>919</v>
      </c>
      <c r="E920">
        <v>-80.908254434430006</v>
      </c>
      <c r="F920">
        <v>147.6458433949</v>
      </c>
      <c r="G920">
        <v>370.71469888204001</v>
      </c>
      <c r="H920">
        <v>40.746373190592003</v>
      </c>
      <c r="I920">
        <v>10.315156559574</v>
      </c>
      <c r="J920">
        <v>424.20101317916999</v>
      </c>
      <c r="L920" s="1">
        <f t="shared" si="195"/>
        <v>4.3647746536129999</v>
      </c>
      <c r="M920">
        <f t="shared" si="196"/>
        <v>3250.3687353209543</v>
      </c>
      <c r="N920">
        <f t="shared" si="188"/>
        <v>9.0288020425582065</v>
      </c>
      <c r="O920">
        <f t="shared" si="189"/>
        <v>40.746373190592003</v>
      </c>
      <c r="P920">
        <f t="shared" si="190"/>
        <v>874</v>
      </c>
      <c r="Q920">
        <f t="shared" si="197"/>
        <v>90.555470935651002</v>
      </c>
      <c r="R920">
        <f t="shared" si="191"/>
        <v>90.555470935651002</v>
      </c>
      <c r="S920">
        <f t="shared" si="186"/>
        <v>93.907912479520505</v>
      </c>
      <c r="T920">
        <f t="shared" si="192"/>
        <v>93.907912479520505</v>
      </c>
      <c r="U920" s="3">
        <f t="shared" si="193"/>
        <v>424.20101317916999</v>
      </c>
      <c r="V920">
        <f t="shared" si="185"/>
        <v>824</v>
      </c>
      <c r="W920" s="8">
        <f t="shared" si="187"/>
        <v>49.351653295469987</v>
      </c>
      <c r="X920" s="1">
        <f t="shared" si="194"/>
        <v>49.351653295469987</v>
      </c>
      <c r="Y920" s="18"/>
      <c r="Z920" s="7"/>
      <c r="AA920" s="1"/>
      <c r="AB920" s="1"/>
      <c r="AC920" s="1"/>
    </row>
    <row r="921" spans="1:29" x14ac:dyDescent="0.3">
      <c r="A921">
        <v>920</v>
      </c>
      <c r="E921">
        <v>-80.057459671740006</v>
      </c>
      <c r="F921">
        <v>147.37992291467</v>
      </c>
      <c r="G921">
        <v>373.72813925812</v>
      </c>
      <c r="H921">
        <v>40.715294185932002</v>
      </c>
      <c r="I921">
        <v>14.656550606510001</v>
      </c>
      <c r="J921">
        <v>424.79607195054001</v>
      </c>
      <c r="L921" s="1">
        <f t="shared" si="195"/>
        <v>4.3413940469360011</v>
      </c>
      <c r="M921">
        <f t="shared" si="196"/>
        <v>3254.7101293678902</v>
      </c>
      <c r="N921">
        <f t="shared" si="188"/>
        <v>9.0408614704663623</v>
      </c>
      <c r="O921">
        <f t="shared" si="189"/>
        <v>40.715294185932002</v>
      </c>
      <c r="P921">
        <f t="shared" si="190"/>
        <v>875</v>
      </c>
      <c r="Q921">
        <f t="shared" si="197"/>
        <v>90.488337402051997</v>
      </c>
      <c r="R921">
        <f t="shared" si="191"/>
        <v>90.488337402051997</v>
      </c>
      <c r="S921">
        <f t="shared" si="186"/>
        <v>93.861502731318836</v>
      </c>
      <c r="T921">
        <f t="shared" si="192"/>
        <v>93.861502731318836</v>
      </c>
      <c r="U921" s="3">
        <f t="shared" si="193"/>
        <v>424.79607195054001</v>
      </c>
      <c r="V921">
        <f t="shared" si="185"/>
        <v>825</v>
      </c>
      <c r="W921" s="8">
        <f t="shared" si="187"/>
        <v>49.425209784359993</v>
      </c>
      <c r="X921" s="1">
        <f t="shared" si="194"/>
        <v>49.425209784359993</v>
      </c>
      <c r="Y921" s="18"/>
      <c r="Z921" s="7"/>
      <c r="AA921" s="1"/>
      <c r="AB921" s="1"/>
      <c r="AC921" s="1"/>
    </row>
    <row r="922" spans="1:29" x14ac:dyDescent="0.3">
      <c r="A922">
        <v>921</v>
      </c>
      <c r="E922">
        <v>-79.208727787000001</v>
      </c>
      <c r="F922">
        <v>146.86495091971</v>
      </c>
      <c r="G922">
        <v>376.70981080184998</v>
      </c>
      <c r="H922">
        <v>40.667277903949</v>
      </c>
      <c r="I922">
        <v>19.004555088358</v>
      </c>
      <c r="J922">
        <v>425.38157212274001</v>
      </c>
      <c r="L922" s="1">
        <f t="shared" si="195"/>
        <v>4.3480044818479993</v>
      </c>
      <c r="M922">
        <f t="shared" si="196"/>
        <v>3259.0581338497382</v>
      </c>
      <c r="N922">
        <f t="shared" si="188"/>
        <v>9.0529392606937176</v>
      </c>
      <c r="O922">
        <f t="shared" si="189"/>
        <v>40.667277903949</v>
      </c>
      <c r="P922">
        <f t="shared" si="190"/>
        <v>876</v>
      </c>
      <c r="Q922">
        <f t="shared" si="197"/>
        <v>90.360202397529008</v>
      </c>
      <c r="R922">
        <f t="shared" si="191"/>
        <v>90.360202397529008</v>
      </c>
      <c r="S922">
        <f t="shared" si="186"/>
        <v>93.743319901548816</v>
      </c>
      <c r="T922">
        <f t="shared" si="192"/>
        <v>93.743319901548816</v>
      </c>
      <c r="U922" s="3">
        <f t="shared" si="193"/>
        <v>425.38157212274001</v>
      </c>
      <c r="V922">
        <f t="shared" si="185"/>
        <v>826</v>
      </c>
      <c r="W922" s="8">
        <f t="shared" si="187"/>
        <v>49.556438147649999</v>
      </c>
      <c r="X922" s="1">
        <f t="shared" si="194"/>
        <v>49.556438147649999</v>
      </c>
      <c r="Y922" s="18"/>
      <c r="Z922" s="7"/>
      <c r="AA922" s="1"/>
      <c r="AB922" s="1"/>
      <c r="AC922" s="1"/>
    </row>
    <row r="923" spans="1:29" x14ac:dyDescent="0.3">
      <c r="A923">
        <v>922</v>
      </c>
      <c r="E923">
        <v>-78.426443185780002</v>
      </c>
      <c r="F923">
        <v>146.14947014626</v>
      </c>
      <c r="G923">
        <v>379.66818986052999</v>
      </c>
      <c r="H923">
        <v>40.655124779307997</v>
      </c>
      <c r="I923">
        <v>23.374392303619</v>
      </c>
      <c r="J923">
        <v>425.89466862120003</v>
      </c>
      <c r="L923" s="1">
        <f t="shared" si="195"/>
        <v>4.3698372152610006</v>
      </c>
      <c r="M923">
        <f t="shared" si="196"/>
        <v>3263.4279710649994</v>
      </c>
      <c r="N923">
        <f t="shared" si="188"/>
        <v>9.065077697402776</v>
      </c>
      <c r="O923">
        <f t="shared" si="189"/>
        <v>40.655124779307997</v>
      </c>
      <c r="P923">
        <f t="shared" si="190"/>
        <v>877</v>
      </c>
      <c r="Q923">
        <f t="shared" si="197"/>
        <v>90.248003605454997</v>
      </c>
      <c r="R923">
        <f t="shared" si="191"/>
        <v>90.248003605454997</v>
      </c>
      <c r="S923">
        <f t="shared" si="186"/>
        <v>93.612995067613198</v>
      </c>
      <c r="T923">
        <f t="shared" si="192"/>
        <v>93.612995067613198</v>
      </c>
      <c r="U923" s="3">
        <f t="shared" si="193"/>
        <v>425.89466862120003</v>
      </c>
      <c r="V923">
        <f t="shared" si="185"/>
        <v>827</v>
      </c>
      <c r="W923" s="8">
        <f t="shared" si="187"/>
        <v>49.539978795170043</v>
      </c>
      <c r="X923" s="1">
        <f t="shared" si="194"/>
        <v>49.539978795170043</v>
      </c>
      <c r="Y923" s="18"/>
      <c r="Z923" s="7"/>
      <c r="AA923" s="1"/>
      <c r="AB923" s="1"/>
      <c r="AC923" s="1"/>
    </row>
    <row r="924" spans="1:29" x14ac:dyDescent="0.3">
      <c r="A924">
        <v>923</v>
      </c>
      <c r="E924">
        <v>-77.620449883120003</v>
      </c>
      <c r="F924">
        <v>145.21372775336999</v>
      </c>
      <c r="G924">
        <v>382.55774187113002</v>
      </c>
      <c r="H924">
        <v>40.648083318342003</v>
      </c>
      <c r="I924">
        <v>27.740203987179999</v>
      </c>
      <c r="J924">
        <v>426.42800670029999</v>
      </c>
      <c r="L924" s="1">
        <f t="shared" si="195"/>
        <v>4.3658116835609988</v>
      </c>
      <c r="M924">
        <f t="shared" si="196"/>
        <v>3267.7937827485603</v>
      </c>
      <c r="N924">
        <f t="shared" si="188"/>
        <v>9.0772049520793345</v>
      </c>
      <c r="O924">
        <f t="shared" si="189"/>
        <v>40.648083318342003</v>
      </c>
      <c r="P924">
        <f t="shared" si="190"/>
        <v>879</v>
      </c>
      <c r="Q924">
        <f t="shared" si="197"/>
        <v>89.984270057966995</v>
      </c>
      <c r="R924">
        <f t="shared" si="191"/>
        <v>89.984270057966995</v>
      </c>
      <c r="S924">
        <f t="shared" si="186"/>
        <v>93.27642172983073</v>
      </c>
      <c r="T924">
        <f t="shared" si="192"/>
        <v>93.27642172983073</v>
      </c>
      <c r="U924" s="3">
        <f t="shared" si="193"/>
        <v>426.42800670029999</v>
      </c>
      <c r="V924">
        <f t="shared" si="185"/>
        <v>829</v>
      </c>
      <c r="W924" s="8">
        <f t="shared" si="187"/>
        <v>49.019892211219997</v>
      </c>
      <c r="X924" s="1">
        <f t="shared" si="194"/>
        <v>49.019892211219997</v>
      </c>
      <c r="Y924" s="18"/>
      <c r="Z924" s="7"/>
      <c r="AA924" s="1"/>
      <c r="AB924" s="1"/>
      <c r="AC924" s="1"/>
    </row>
    <row r="925" spans="1:29" x14ac:dyDescent="0.3">
      <c r="A925">
        <v>924</v>
      </c>
      <c r="E925">
        <v>-76.833519806669997</v>
      </c>
      <c r="F925">
        <v>144.06730388181001</v>
      </c>
      <c r="G925">
        <v>385.37631166620002</v>
      </c>
      <c r="H925">
        <v>40.655267263262999</v>
      </c>
      <c r="I925">
        <v>32.111903780006998</v>
      </c>
      <c r="J925">
        <v>426.93954643026001</v>
      </c>
      <c r="L925" s="1">
        <f t="shared" si="195"/>
        <v>4.3716997928269983</v>
      </c>
      <c r="M925">
        <f t="shared" si="196"/>
        <v>3272.1654825413871</v>
      </c>
      <c r="N925">
        <f t="shared" si="188"/>
        <v>9.0893485626149637</v>
      </c>
      <c r="O925">
        <f t="shared" si="189"/>
        <v>40.655267263262999</v>
      </c>
      <c r="P925">
        <f t="shared" si="190"/>
        <v>880</v>
      </c>
      <c r="Q925">
        <f t="shared" si="197"/>
        <v>89.846384349188</v>
      </c>
      <c r="R925">
        <f t="shared" si="191"/>
        <v>89.846384349188</v>
      </c>
      <c r="S925">
        <f t="shared" si="186"/>
        <v>93.142849964017458</v>
      </c>
      <c r="T925">
        <f t="shared" si="192"/>
        <v>93.142849964017458</v>
      </c>
      <c r="U925" s="3">
        <f t="shared" si="193"/>
        <v>426.93954643026001</v>
      </c>
      <c r="V925">
        <f t="shared" si="185"/>
        <v>830</v>
      </c>
      <c r="W925" s="8">
        <f t="shared" si="187"/>
        <v>49.02761570360002</v>
      </c>
      <c r="X925" s="1">
        <f t="shared" si="194"/>
        <v>49.02761570360002</v>
      </c>
      <c r="Y925" s="18"/>
      <c r="Z925" s="7"/>
      <c r="AA925" s="1"/>
      <c r="AB925" s="1"/>
      <c r="AC925" s="1"/>
    </row>
    <row r="926" spans="1:29" x14ac:dyDescent="0.3">
      <c r="A926">
        <v>925</v>
      </c>
      <c r="E926">
        <v>-76.041503275569994</v>
      </c>
      <c r="F926">
        <v>142.70089400770999</v>
      </c>
      <c r="G926">
        <v>388.09286494844002</v>
      </c>
      <c r="H926">
        <v>40.656376940000001</v>
      </c>
      <c r="I926">
        <v>36.481271873272</v>
      </c>
      <c r="J926">
        <v>427.45545238638999</v>
      </c>
      <c r="L926" s="1">
        <f t="shared" si="195"/>
        <v>4.3693680932650025</v>
      </c>
      <c r="M926">
        <f t="shared" si="196"/>
        <v>3276.5348506346522</v>
      </c>
      <c r="N926">
        <f t="shared" si="188"/>
        <v>9.1014856962073676</v>
      </c>
      <c r="O926">
        <f t="shared" si="189"/>
        <v>40.656376940000001</v>
      </c>
      <c r="P926">
        <f t="shared" si="190"/>
        <v>881</v>
      </c>
      <c r="Q926">
        <f t="shared" si="197"/>
        <v>89.685240822457999</v>
      </c>
      <c r="R926">
        <f t="shared" si="191"/>
        <v>89.685240822457999</v>
      </c>
      <c r="S926">
        <f t="shared" si="186"/>
        <v>92.978007982720825</v>
      </c>
      <c r="T926">
        <f t="shared" si="192"/>
        <v>92.978007982720825</v>
      </c>
      <c r="U926" s="3">
        <f t="shared" si="193"/>
        <v>427.45545238638999</v>
      </c>
      <c r="V926">
        <f t="shared" si="185"/>
        <v>831</v>
      </c>
      <c r="W926" s="8">
        <f t="shared" si="187"/>
        <v>49.067046324479975</v>
      </c>
      <c r="X926" s="1">
        <f t="shared" si="194"/>
        <v>49.067046324479975</v>
      </c>
      <c r="Y926" s="18"/>
      <c r="Z926" s="7"/>
      <c r="AA926" s="1"/>
      <c r="AB926" s="1"/>
      <c r="AC926" s="1"/>
    </row>
    <row r="927" spans="1:29" x14ac:dyDescent="0.3">
      <c r="A927">
        <v>926</v>
      </c>
      <c r="E927">
        <v>-75.255006681309993</v>
      </c>
      <c r="F927">
        <v>141.11029067121001</v>
      </c>
      <c r="G927">
        <v>390.68651676976998</v>
      </c>
      <c r="H927">
        <v>40.638193381682001</v>
      </c>
      <c r="I927">
        <v>40.852943386130001</v>
      </c>
      <c r="J927">
        <v>427.96666541495</v>
      </c>
      <c r="L927" s="1">
        <f t="shared" si="195"/>
        <v>4.3716715128580006</v>
      </c>
      <c r="M927">
        <f t="shared" si="196"/>
        <v>3280.9065221475103</v>
      </c>
      <c r="N927">
        <f t="shared" si="188"/>
        <v>9.1136292281875289</v>
      </c>
      <c r="O927">
        <f t="shared" si="189"/>
        <v>40.638193381682001</v>
      </c>
      <c r="P927">
        <f t="shared" si="190"/>
        <v>882</v>
      </c>
      <c r="Q927">
        <f t="shared" si="197"/>
        <v>89.508846399329997</v>
      </c>
      <c r="R927">
        <f t="shared" si="191"/>
        <v>89.508846399329997</v>
      </c>
      <c r="S927">
        <f t="shared" si="186"/>
        <v>92.796457222584152</v>
      </c>
      <c r="T927">
        <f t="shared" si="192"/>
        <v>92.796457222584152</v>
      </c>
      <c r="U927" s="3">
        <f t="shared" si="193"/>
        <v>427.96666541495</v>
      </c>
      <c r="V927">
        <f t="shared" si="185"/>
        <v>832</v>
      </c>
      <c r="W927" s="8">
        <f t="shared" si="187"/>
        <v>49.132129977759973</v>
      </c>
      <c r="X927" s="1">
        <f t="shared" si="194"/>
        <v>49.132129977759973</v>
      </c>
      <c r="Y927" s="18"/>
      <c r="Z927" s="7"/>
      <c r="AA927" s="1"/>
      <c r="AB927" s="1"/>
      <c r="AC927" s="1"/>
    </row>
    <row r="928" spans="1:29" x14ac:dyDescent="0.3">
      <c r="A928">
        <v>927</v>
      </c>
      <c r="E928">
        <v>-74.48415658991</v>
      </c>
      <c r="F928">
        <v>139.31947757006</v>
      </c>
      <c r="G928">
        <v>393.15109157698998</v>
      </c>
      <c r="H928">
        <v>40.618392935819998</v>
      </c>
      <c r="I928">
        <v>45.229639812711</v>
      </c>
      <c r="J928">
        <v>428.46456276865001</v>
      </c>
      <c r="L928" s="1">
        <f t="shared" si="195"/>
        <v>4.3766964265809989</v>
      </c>
      <c r="M928">
        <f t="shared" si="196"/>
        <v>3285.2832185740913</v>
      </c>
      <c r="N928">
        <f t="shared" si="188"/>
        <v>9.1257867182613648</v>
      </c>
      <c r="O928">
        <f t="shared" si="189"/>
        <v>40.618392935819998</v>
      </c>
      <c r="P928">
        <f t="shared" si="190"/>
        <v>883</v>
      </c>
      <c r="Q928">
        <f t="shared" si="197"/>
        <v>89.322442470341002</v>
      </c>
      <c r="R928">
        <f t="shared" si="191"/>
        <v>89.322442470341002</v>
      </c>
      <c r="S928">
        <f t="shared" si="186"/>
        <v>92.602256399122751</v>
      </c>
      <c r="T928">
        <f t="shared" si="192"/>
        <v>92.602256399122751</v>
      </c>
      <c r="U928" s="3">
        <f t="shared" si="193"/>
        <v>428.46456276865001</v>
      </c>
      <c r="V928">
        <f t="shared" si="185"/>
        <v>834</v>
      </c>
      <c r="W928" s="8">
        <f t="shared" si="187"/>
        <v>48.569272694440031</v>
      </c>
      <c r="X928" s="1">
        <f t="shared" si="194"/>
        <v>48.569272694440031</v>
      </c>
      <c r="Y928" s="18"/>
      <c r="Z928" s="7"/>
      <c r="AA928" s="1"/>
      <c r="AB928" s="1"/>
      <c r="AC928" s="1"/>
    </row>
    <row r="929" spans="1:29" x14ac:dyDescent="0.3">
      <c r="A929">
        <v>928</v>
      </c>
      <c r="E929">
        <v>-73.756454867689996</v>
      </c>
      <c r="F929">
        <v>137.32707130929001</v>
      </c>
      <c r="G929">
        <v>395.4700913044</v>
      </c>
      <c r="H929">
        <v>40.586842906647</v>
      </c>
      <c r="I929">
        <v>49.617916364682003</v>
      </c>
      <c r="J929">
        <v>428.92302029915999</v>
      </c>
      <c r="L929" s="1">
        <f t="shared" si="195"/>
        <v>4.3882765519710034</v>
      </c>
      <c r="M929">
        <f t="shared" si="196"/>
        <v>3289.6714951260624</v>
      </c>
      <c r="N929">
        <f t="shared" si="188"/>
        <v>9.1379763753501742</v>
      </c>
      <c r="O929">
        <f t="shared" si="189"/>
        <v>40.586842906647</v>
      </c>
      <c r="P929">
        <f t="shared" si="190"/>
        <v>885</v>
      </c>
      <c r="Q929">
        <f t="shared" si="197"/>
        <v>88.941159014986994</v>
      </c>
      <c r="R929">
        <f t="shared" si="191"/>
        <v>88.941159014986994</v>
      </c>
      <c r="S929">
        <f t="shared" si="186"/>
        <v>92.121856591689422</v>
      </c>
      <c r="T929">
        <f t="shared" si="192"/>
        <v>92.121856591689422</v>
      </c>
      <c r="U929" s="3">
        <f t="shared" si="193"/>
        <v>428.92302029915999</v>
      </c>
      <c r="V929">
        <f t="shared" si="185"/>
        <v>835</v>
      </c>
      <c r="W929" s="8">
        <f t="shared" si="187"/>
        <v>48.535861205319975</v>
      </c>
      <c r="X929" s="1">
        <f t="shared" si="194"/>
        <v>48.535861205319975</v>
      </c>
      <c r="Y929" s="18"/>
      <c r="Z929" s="7"/>
      <c r="AA929" s="1"/>
      <c r="AB929" s="1"/>
      <c r="AC929" s="1"/>
    </row>
    <row r="930" spans="1:29" x14ac:dyDescent="0.3">
      <c r="A930">
        <v>929</v>
      </c>
      <c r="E930">
        <v>-73.069166589079998</v>
      </c>
      <c r="F930">
        <v>135.1602779518</v>
      </c>
      <c r="G930">
        <v>397.64001820823</v>
      </c>
      <c r="H930">
        <v>40.563581179967997</v>
      </c>
      <c r="I930">
        <v>54.016097097116003</v>
      </c>
      <c r="J930">
        <v>429.34614022378997</v>
      </c>
      <c r="L930" s="1">
        <f t="shared" si="195"/>
        <v>4.3981807324339997</v>
      </c>
      <c r="M930">
        <f t="shared" si="196"/>
        <v>3294.0696758584963</v>
      </c>
      <c r="N930">
        <f t="shared" si="188"/>
        <v>9.150193544051378</v>
      </c>
      <c r="O930">
        <f t="shared" si="189"/>
        <v>40.563581179967997</v>
      </c>
      <c r="P930">
        <f t="shared" si="190"/>
        <v>886</v>
      </c>
      <c r="Q930">
        <f t="shared" si="197"/>
        <v>88.724754958376991</v>
      </c>
      <c r="R930">
        <f t="shared" si="191"/>
        <v>88.724754958376991</v>
      </c>
      <c r="S930">
        <f t="shared" si="186"/>
        <v>91.882145127271428</v>
      </c>
      <c r="T930">
        <f t="shared" si="192"/>
        <v>91.882145127271428</v>
      </c>
      <c r="U930" s="3">
        <f t="shared" si="193"/>
        <v>429.34614022378997</v>
      </c>
      <c r="V930">
        <f t="shared" si="185"/>
        <v>836</v>
      </c>
      <c r="W930" s="8">
        <f t="shared" si="187"/>
        <v>48.481070241729981</v>
      </c>
      <c r="X930" s="1">
        <f t="shared" si="194"/>
        <v>48.481070241729981</v>
      </c>
      <c r="Y930" s="18"/>
      <c r="Z930" s="7"/>
      <c r="AA930" s="1"/>
      <c r="AB930" s="1"/>
      <c r="AC930" s="1"/>
    </row>
    <row r="931" spans="1:29" x14ac:dyDescent="0.3">
      <c r="A931">
        <v>930</v>
      </c>
      <c r="E931">
        <v>-72.422894851639995</v>
      </c>
      <c r="F931">
        <v>132.84394624644</v>
      </c>
      <c r="G931">
        <v>399.66300339646</v>
      </c>
      <c r="H931">
        <v>40.569027511538998</v>
      </c>
      <c r="I931">
        <v>58.421724364253002</v>
      </c>
      <c r="J931">
        <v>429.73415384134</v>
      </c>
      <c r="L931" s="1">
        <f t="shared" si="195"/>
        <v>4.4056272671369996</v>
      </c>
      <c r="M931">
        <f t="shared" si="196"/>
        <v>3298.4753031256332</v>
      </c>
      <c r="N931">
        <f t="shared" si="188"/>
        <v>9.1624313975712042</v>
      </c>
      <c r="O931">
        <f t="shared" si="189"/>
        <v>40.569027511538998</v>
      </c>
      <c r="P931">
        <f t="shared" si="190"/>
        <v>887</v>
      </c>
      <c r="Q931">
        <f t="shared" si="197"/>
        <v>88.505212719298996</v>
      </c>
      <c r="R931">
        <f t="shared" si="191"/>
        <v>88.505212719298996</v>
      </c>
      <c r="S931">
        <f t="shared" si="186"/>
        <v>91.623539854132162</v>
      </c>
      <c r="T931">
        <f t="shared" si="192"/>
        <v>91.623539854132162</v>
      </c>
      <c r="U931" s="3">
        <f t="shared" si="193"/>
        <v>429.73415384134</v>
      </c>
      <c r="V931">
        <f t="shared" si="185"/>
        <v>837</v>
      </c>
      <c r="W931" s="8">
        <f t="shared" si="187"/>
        <v>48.396178420689978</v>
      </c>
      <c r="X931" s="1">
        <f t="shared" si="194"/>
        <v>48.396178420689978</v>
      </c>
      <c r="Y931" s="18"/>
      <c r="Z931" s="7"/>
      <c r="AA931" s="1"/>
      <c r="AB931" s="1"/>
      <c r="AC931" s="1"/>
    </row>
    <row r="932" spans="1:29" x14ac:dyDescent="0.3">
      <c r="A932">
        <v>931</v>
      </c>
      <c r="E932">
        <v>-71.806879286980006</v>
      </c>
      <c r="F932">
        <v>130.37285231402001</v>
      </c>
      <c r="G932">
        <v>401.50438830782002</v>
      </c>
      <c r="H932">
        <v>40.574904689214002</v>
      </c>
      <c r="I932">
        <v>62.830678198205</v>
      </c>
      <c r="J932">
        <v>430.10034566565002</v>
      </c>
      <c r="L932" s="1">
        <f t="shared" si="195"/>
        <v>4.4089538339519976</v>
      </c>
      <c r="M932">
        <f t="shared" si="196"/>
        <v>3302.8842569595854</v>
      </c>
      <c r="N932">
        <f t="shared" si="188"/>
        <v>9.1746784915544044</v>
      </c>
      <c r="O932">
        <f t="shared" si="189"/>
        <v>40.574904689214002</v>
      </c>
      <c r="P932">
        <f t="shared" si="190"/>
        <v>888</v>
      </c>
      <c r="Q932">
        <f t="shared" si="197"/>
        <v>88.294959756983999</v>
      </c>
      <c r="R932">
        <f t="shared" si="191"/>
        <v>88.294959756983999</v>
      </c>
      <c r="S932">
        <f t="shared" si="186"/>
        <v>91.368678536067648</v>
      </c>
      <c r="T932">
        <f t="shared" si="192"/>
        <v>91.368678536067648</v>
      </c>
      <c r="U932" s="3">
        <f t="shared" si="193"/>
        <v>430.10034566565002</v>
      </c>
      <c r="V932">
        <f t="shared" si="185"/>
        <v>838</v>
      </c>
      <c r="W932" s="8">
        <f t="shared" si="187"/>
        <v>48.271423947380015</v>
      </c>
      <c r="X932" s="1">
        <f t="shared" si="194"/>
        <v>48.271423947380015</v>
      </c>
      <c r="Y932" s="18"/>
      <c r="Z932" s="7"/>
      <c r="AA932" s="1"/>
      <c r="AB932" s="1"/>
      <c r="AC932" s="1"/>
    </row>
    <row r="933" spans="1:29" x14ac:dyDescent="0.3">
      <c r="A933">
        <v>932</v>
      </c>
      <c r="E933">
        <v>-71.220414012749998</v>
      </c>
      <c r="F933">
        <v>127.7565324814</v>
      </c>
      <c r="G933">
        <v>403.14330997495</v>
      </c>
      <c r="H933">
        <v>40.570865505180997</v>
      </c>
      <c r="I933">
        <v>67.242309337090006</v>
      </c>
      <c r="J933">
        <v>430.44747604998997</v>
      </c>
      <c r="L933" s="1">
        <f t="shared" si="195"/>
        <v>4.4116311388850065</v>
      </c>
      <c r="M933">
        <f t="shared" si="196"/>
        <v>3307.2958880984702</v>
      </c>
      <c r="N933">
        <f t="shared" si="188"/>
        <v>9.1869330224957508</v>
      </c>
      <c r="O933">
        <f t="shared" si="189"/>
        <v>40.570865505180997</v>
      </c>
      <c r="P933">
        <f t="shared" si="190"/>
        <v>889</v>
      </c>
      <c r="Q933">
        <f t="shared" si="197"/>
        <v>88.067323950028992</v>
      </c>
      <c r="R933">
        <f t="shared" si="191"/>
        <v>88.067323950028992</v>
      </c>
      <c r="S933">
        <f t="shared" si="186"/>
        <v>91.086386489839526</v>
      </c>
      <c r="T933">
        <f t="shared" si="192"/>
        <v>91.086386489839526</v>
      </c>
      <c r="U933" s="3">
        <f t="shared" si="193"/>
        <v>430.44747604998997</v>
      </c>
      <c r="V933">
        <f t="shared" si="185"/>
        <v>840</v>
      </c>
      <c r="W933" s="8">
        <f t="shared" si="187"/>
        <v>47.694569846050001</v>
      </c>
      <c r="X933" s="1">
        <f t="shared" si="194"/>
        <v>47.694569846050001</v>
      </c>
      <c r="Y933" s="18"/>
      <c r="Z933" s="7"/>
      <c r="AA933" s="1"/>
      <c r="AB933" s="1"/>
      <c r="AC933" s="1"/>
    </row>
    <row r="934" spans="1:29" x14ac:dyDescent="0.3">
      <c r="A934">
        <v>933</v>
      </c>
      <c r="E934">
        <v>-70.671581689950003</v>
      </c>
      <c r="F934">
        <v>125.00969036917</v>
      </c>
      <c r="G934">
        <v>404.56765418681999</v>
      </c>
      <c r="H934">
        <v>40.554802952751999</v>
      </c>
      <c r="I934">
        <v>71.658839307072995</v>
      </c>
      <c r="J934">
        <v>430.76905946430003</v>
      </c>
      <c r="L934" s="1">
        <f t="shared" si="195"/>
        <v>4.4165299699829887</v>
      </c>
      <c r="M934">
        <f t="shared" si="196"/>
        <v>3311.7124180684532</v>
      </c>
      <c r="N934">
        <f t="shared" si="188"/>
        <v>9.199201161301259</v>
      </c>
      <c r="O934">
        <f t="shared" si="189"/>
        <v>40.554802952751999</v>
      </c>
      <c r="P934">
        <f t="shared" si="190"/>
        <v>891</v>
      </c>
      <c r="Q934">
        <f t="shared" si="197"/>
        <v>87.578069270842008</v>
      </c>
      <c r="R934">
        <f t="shared" si="191"/>
        <v>87.578069270842008</v>
      </c>
      <c r="S934">
        <f t="shared" si="186"/>
        <v>90.464931806495386</v>
      </c>
      <c r="T934">
        <f t="shared" si="192"/>
        <v>90.464931806495386</v>
      </c>
      <c r="U934" s="3">
        <f t="shared" si="193"/>
        <v>430.76905946430003</v>
      </c>
      <c r="V934">
        <f t="shared" si="185"/>
        <v>841</v>
      </c>
      <c r="W934" s="8">
        <f t="shared" si="187"/>
        <v>47.542558996920036</v>
      </c>
      <c r="X934" s="1">
        <f t="shared" si="194"/>
        <v>47.542558996920036</v>
      </c>
      <c r="Y934" s="18"/>
      <c r="Z934" s="7"/>
      <c r="AA934" s="1"/>
      <c r="AB934" s="1"/>
      <c r="AC934" s="1"/>
    </row>
    <row r="935" spans="1:29" x14ac:dyDescent="0.3">
      <c r="A935">
        <v>934</v>
      </c>
      <c r="E935">
        <v>-70.166835655439996</v>
      </c>
      <c r="F935">
        <v>122.15731468123001</v>
      </c>
      <c r="G935">
        <v>405.78600993584001</v>
      </c>
      <c r="H935">
        <v>40.546462732266001</v>
      </c>
      <c r="I935">
        <v>76.081137859050997</v>
      </c>
      <c r="J935">
        <v>431.05898853243002</v>
      </c>
      <c r="L935" s="1">
        <f t="shared" si="195"/>
        <v>4.4222985519780025</v>
      </c>
      <c r="M935">
        <f t="shared" si="196"/>
        <v>3316.1347166204314</v>
      </c>
      <c r="N935">
        <f t="shared" si="188"/>
        <v>9.2114853239456433</v>
      </c>
      <c r="O935">
        <f t="shared" si="189"/>
        <v>40.546462732266001</v>
      </c>
      <c r="P935">
        <f t="shared" si="190"/>
        <v>892</v>
      </c>
      <c r="Q935">
        <f t="shared" si="197"/>
        <v>87.314239047075006</v>
      </c>
      <c r="R935">
        <f t="shared" si="191"/>
        <v>87.314239047075006</v>
      </c>
      <c r="S935">
        <f t="shared" si="186"/>
        <v>90.144335147546045</v>
      </c>
      <c r="T935">
        <f t="shared" si="192"/>
        <v>90.144335147546045</v>
      </c>
      <c r="U935" s="3">
        <f t="shared" si="193"/>
        <v>431.05898853243002</v>
      </c>
      <c r="V935">
        <f t="shared" si="185"/>
        <v>842</v>
      </c>
      <c r="W935" s="8">
        <f t="shared" si="187"/>
        <v>47.357295568230029</v>
      </c>
      <c r="X935" s="1">
        <f t="shared" si="194"/>
        <v>47.357295568230029</v>
      </c>
      <c r="Y935" s="18"/>
      <c r="Z935" s="7"/>
      <c r="AA935" s="1"/>
      <c r="AB935" s="1"/>
      <c r="AC935" s="1"/>
    </row>
    <row r="936" spans="1:29" x14ac:dyDescent="0.3">
      <c r="A936">
        <v>935</v>
      </c>
      <c r="E936">
        <v>-69.699498068439993</v>
      </c>
      <c r="F936">
        <v>119.21304227066</v>
      </c>
      <c r="G936">
        <v>406.78092749441998</v>
      </c>
      <c r="H936">
        <v>40.536398348086998</v>
      </c>
      <c r="I936">
        <v>80.507739947084005</v>
      </c>
      <c r="J936">
        <v>431.32586332653</v>
      </c>
      <c r="L936" s="1">
        <f t="shared" si="195"/>
        <v>4.4266020880330075</v>
      </c>
      <c r="M936">
        <f t="shared" si="196"/>
        <v>3320.5613187084646</v>
      </c>
      <c r="N936">
        <f t="shared" si="188"/>
        <v>9.2237814408568468</v>
      </c>
      <c r="O936">
        <f t="shared" si="189"/>
        <v>40.536398348086998</v>
      </c>
      <c r="P936">
        <f t="shared" si="190"/>
        <v>893</v>
      </c>
      <c r="Q936">
        <f t="shared" si="197"/>
        <v>87.043758656497999</v>
      </c>
      <c r="R936">
        <f t="shared" si="191"/>
        <v>87.043758656497999</v>
      </c>
      <c r="S936">
        <f t="shared" si="186"/>
        <v>89.808077119121322</v>
      </c>
      <c r="T936">
        <f t="shared" si="192"/>
        <v>89.808077119121322</v>
      </c>
      <c r="U936" s="3">
        <f t="shared" si="193"/>
        <v>431.32586332653</v>
      </c>
      <c r="V936">
        <f t="shared" si="185"/>
        <v>843</v>
      </c>
      <c r="W936" s="8">
        <f t="shared" si="187"/>
        <v>47.147622943019996</v>
      </c>
      <c r="X936" s="1">
        <f t="shared" si="194"/>
        <v>47.147622943019996</v>
      </c>
      <c r="Y936" s="18"/>
      <c r="Z936" s="7"/>
      <c r="AA936" s="1"/>
      <c r="AB936" s="1"/>
      <c r="AC936" s="1"/>
    </row>
    <row r="937" spans="1:29" x14ac:dyDescent="0.3">
      <c r="A937">
        <v>936</v>
      </c>
      <c r="E937">
        <v>-69.269732034249998</v>
      </c>
      <c r="F937">
        <v>116.19320356119999</v>
      </c>
      <c r="G937">
        <v>407.53787899010001</v>
      </c>
      <c r="H937">
        <v>40.516786528036</v>
      </c>
      <c r="I937">
        <v>84.938396598927</v>
      </c>
      <c r="J937">
        <v>431.57134505348</v>
      </c>
      <c r="L937" s="1">
        <f t="shared" si="195"/>
        <v>4.4306566518429946</v>
      </c>
      <c r="M937">
        <f t="shared" si="196"/>
        <v>3324.9919753603076</v>
      </c>
      <c r="N937">
        <f t="shared" si="188"/>
        <v>9.2360888204452998</v>
      </c>
      <c r="O937">
        <f t="shared" si="189"/>
        <v>40.516786528036</v>
      </c>
      <c r="P937">
        <f t="shared" si="190"/>
        <v>894</v>
      </c>
      <c r="Q937">
        <f t="shared" si="197"/>
        <v>86.756475642946</v>
      </c>
      <c r="R937">
        <f t="shared" si="191"/>
        <v>86.756475642946</v>
      </c>
      <c r="S937">
        <f t="shared" si="186"/>
        <v>89.448610223665042</v>
      </c>
      <c r="T937">
        <f t="shared" si="192"/>
        <v>89.448610223665042</v>
      </c>
      <c r="U937" s="3">
        <f t="shared" si="193"/>
        <v>431.57134505348</v>
      </c>
      <c r="V937">
        <f t="shared" si="185"/>
        <v>844</v>
      </c>
      <c r="W937" s="8">
        <f t="shared" si="187"/>
        <v>46.90682499111</v>
      </c>
      <c r="X937" s="1">
        <f t="shared" si="194"/>
        <v>46.90682499111</v>
      </c>
      <c r="Y937" s="18"/>
      <c r="Z937" s="7"/>
      <c r="AA937" s="1"/>
      <c r="AB937" s="1"/>
      <c r="AC937" s="1"/>
    </row>
    <row r="938" spans="1:29" x14ac:dyDescent="0.3">
      <c r="A938">
        <v>937</v>
      </c>
      <c r="E938">
        <v>-68.890291877910002</v>
      </c>
      <c r="F938">
        <v>113.11589551623</v>
      </c>
      <c r="G938">
        <v>408.04903844821001</v>
      </c>
      <c r="H938">
        <v>40.484309296516997</v>
      </c>
      <c r="I938">
        <v>89.374685534706998</v>
      </c>
      <c r="J938">
        <v>431.78408855047002</v>
      </c>
      <c r="L938" s="1">
        <f t="shared" si="195"/>
        <v>4.4362889357799986</v>
      </c>
      <c r="M938">
        <f t="shared" si="196"/>
        <v>3329.4282642960875</v>
      </c>
      <c r="N938">
        <f t="shared" si="188"/>
        <v>9.2484118452669097</v>
      </c>
      <c r="O938">
        <f t="shared" si="189"/>
        <v>40.484309296516997</v>
      </c>
      <c r="P938">
        <f t="shared" si="190"/>
        <v>895</v>
      </c>
      <c r="Q938">
        <f t="shared" si="197"/>
        <v>86.444106540782997</v>
      </c>
      <c r="R938">
        <f t="shared" si="191"/>
        <v>86.444106540782997</v>
      </c>
      <c r="S938">
        <f t="shared" si="186"/>
        <v>89.052715578547208</v>
      </c>
      <c r="T938">
        <f t="shared" si="192"/>
        <v>89.052715578547208</v>
      </c>
      <c r="U938" s="3">
        <f t="shared" si="193"/>
        <v>431.78408855047002</v>
      </c>
      <c r="V938">
        <f t="shared" si="185"/>
        <v>846</v>
      </c>
      <c r="W938" s="8">
        <f t="shared" si="187"/>
        <v>46.184689781039992</v>
      </c>
      <c r="X938" s="1">
        <f t="shared" si="194"/>
        <v>46.184689781039992</v>
      </c>
      <c r="Y938" s="18"/>
      <c r="Z938" s="7"/>
      <c r="AA938" s="1"/>
      <c r="AB938" s="1"/>
      <c r="AC938" s="1"/>
    </row>
    <row r="939" spans="1:29" x14ac:dyDescent="0.3">
      <c r="A939">
        <v>938</v>
      </c>
      <c r="E939">
        <v>-68.549986980240007</v>
      </c>
      <c r="F939">
        <v>110.00466324526001</v>
      </c>
      <c r="G939">
        <v>408.33270682702999</v>
      </c>
      <c r="H939">
        <v>40.462479019165997</v>
      </c>
      <c r="I939">
        <v>93.816313593051007</v>
      </c>
      <c r="J939">
        <v>431.97472237996999</v>
      </c>
      <c r="L939" s="1">
        <f t="shared" si="195"/>
        <v>4.4416280583440084</v>
      </c>
      <c r="M939">
        <f t="shared" si="196"/>
        <v>3333.8698923544316</v>
      </c>
      <c r="N939">
        <f t="shared" si="188"/>
        <v>9.2607497009845314</v>
      </c>
      <c r="O939">
        <f t="shared" si="189"/>
        <v>40.462479019165997</v>
      </c>
      <c r="P939">
        <f t="shared" si="190"/>
        <v>896</v>
      </c>
      <c r="Q939">
        <f t="shared" si="197"/>
        <v>86.133665090357994</v>
      </c>
      <c r="R939">
        <f t="shared" si="191"/>
        <v>86.133665090357994</v>
      </c>
      <c r="S939">
        <f t="shared" si="186"/>
        <v>88.652442047167597</v>
      </c>
      <c r="T939">
        <f t="shared" si="192"/>
        <v>88.652442047167597</v>
      </c>
      <c r="U939" s="3">
        <f t="shared" si="193"/>
        <v>431.97472237996999</v>
      </c>
      <c r="V939">
        <f t="shared" si="185"/>
        <v>847</v>
      </c>
      <c r="W939" s="8">
        <f t="shared" si="187"/>
        <v>45.894208126249964</v>
      </c>
      <c r="X939" s="1">
        <f t="shared" si="194"/>
        <v>45.894208126249964</v>
      </c>
      <c r="Y939" s="18"/>
      <c r="Z939" s="7"/>
      <c r="AA939" s="1"/>
      <c r="AB939" s="1"/>
      <c r="AC939" s="1"/>
    </row>
    <row r="940" spans="1:29" x14ac:dyDescent="0.3">
      <c r="A940">
        <v>939</v>
      </c>
      <c r="E940">
        <v>-68.248227038699994</v>
      </c>
      <c r="F940">
        <v>106.87701376269</v>
      </c>
      <c r="G940">
        <v>408.37382440497998</v>
      </c>
      <c r="H940">
        <v>40.438531825433003</v>
      </c>
      <c r="I940">
        <v>98.261787799611994</v>
      </c>
      <c r="J940">
        <v>432.1457482344</v>
      </c>
      <c r="L940" s="1">
        <f t="shared" si="195"/>
        <v>4.4454742065609878</v>
      </c>
      <c r="M940">
        <f t="shared" si="196"/>
        <v>3338.3153665609925</v>
      </c>
      <c r="N940">
        <f t="shared" si="188"/>
        <v>9.2730982404472009</v>
      </c>
      <c r="O940">
        <f t="shared" si="189"/>
        <v>40.438531825433003</v>
      </c>
      <c r="P940">
        <f t="shared" si="190"/>
        <v>898</v>
      </c>
      <c r="Q940">
        <f t="shared" si="197"/>
        <v>85.496002319311998</v>
      </c>
      <c r="R940">
        <f t="shared" si="191"/>
        <v>85.496002319311998</v>
      </c>
      <c r="S940">
        <f t="shared" si="186"/>
        <v>87.855061961540656</v>
      </c>
      <c r="T940">
        <f t="shared" si="192"/>
        <v>87.855061961540656</v>
      </c>
      <c r="U940" s="3">
        <f t="shared" si="193"/>
        <v>432.1457482344</v>
      </c>
      <c r="V940">
        <f t="shared" si="185"/>
        <v>848</v>
      </c>
      <c r="W940" s="8">
        <f t="shared" si="187"/>
        <v>45.587775222770006</v>
      </c>
      <c r="X940" s="1">
        <f t="shared" si="194"/>
        <v>45.587775222770006</v>
      </c>
      <c r="Y940" s="18"/>
      <c r="Z940" s="7"/>
      <c r="AA940" s="1"/>
      <c r="AB940" s="1"/>
      <c r="AC940" s="1"/>
    </row>
    <row r="941" spans="1:29" x14ac:dyDescent="0.3">
      <c r="A941">
        <v>940</v>
      </c>
      <c r="E941">
        <v>-67.977368054189995</v>
      </c>
      <c r="F941">
        <v>103.75279070837</v>
      </c>
      <c r="G941">
        <v>408.17124861948002</v>
      </c>
      <c r="H941">
        <v>40.412676553773998</v>
      </c>
      <c r="I941">
        <v>102.71086268412</v>
      </c>
      <c r="J941">
        <v>432.30567167187002</v>
      </c>
      <c r="L941" s="1">
        <f t="shared" si="195"/>
        <v>4.4490748845080077</v>
      </c>
      <c r="M941">
        <f t="shared" si="196"/>
        <v>3342.7644414455003</v>
      </c>
      <c r="N941">
        <f t="shared" si="188"/>
        <v>9.2854567817930569</v>
      </c>
      <c r="O941">
        <f t="shared" si="189"/>
        <v>40.412676553773998</v>
      </c>
      <c r="P941">
        <f t="shared" si="190"/>
        <v>899</v>
      </c>
      <c r="Q941">
        <f t="shared" si="197"/>
        <v>85.154306541829996</v>
      </c>
      <c r="R941">
        <f t="shared" si="191"/>
        <v>85.154306541829996</v>
      </c>
      <c r="S941">
        <f t="shared" si="186"/>
        <v>87.427953121425489</v>
      </c>
      <c r="T941">
        <f t="shared" si="192"/>
        <v>87.427953121425489</v>
      </c>
      <c r="U941" s="3">
        <f t="shared" si="193"/>
        <v>432.30567167187002</v>
      </c>
      <c r="V941">
        <f t="shared" si="185"/>
        <v>849</v>
      </c>
      <c r="W941" s="8">
        <f t="shared" si="187"/>
        <v>45.265574861510004</v>
      </c>
      <c r="X941" s="1">
        <f t="shared" si="194"/>
        <v>45.265574861510004</v>
      </c>
      <c r="Y941" s="18"/>
      <c r="Z941" s="7"/>
      <c r="AA941" s="1"/>
      <c r="AB941" s="1"/>
      <c r="AC941" s="1"/>
    </row>
    <row r="942" spans="1:29" x14ac:dyDescent="0.3">
      <c r="A942">
        <v>941</v>
      </c>
      <c r="E942">
        <v>-67.754122068689995</v>
      </c>
      <c r="F942">
        <v>100.6494590814</v>
      </c>
      <c r="G942">
        <v>407.73022906979003</v>
      </c>
      <c r="H942">
        <v>40.388132521625998</v>
      </c>
      <c r="I942">
        <v>107.16450654776</v>
      </c>
      <c r="J942">
        <v>432.43813208389997</v>
      </c>
      <c r="L942" s="1">
        <f t="shared" si="195"/>
        <v>4.4536438636399964</v>
      </c>
      <c r="M942">
        <f t="shared" si="196"/>
        <v>3347.2180853091404</v>
      </c>
      <c r="N942">
        <f t="shared" si="188"/>
        <v>9.297828014747612</v>
      </c>
      <c r="O942">
        <f t="shared" si="189"/>
        <v>40.388132521625998</v>
      </c>
      <c r="P942">
        <f t="shared" si="190"/>
        <v>900</v>
      </c>
      <c r="Q942">
        <f t="shared" si="197"/>
        <v>84.825023488924998</v>
      </c>
      <c r="R942">
        <f t="shared" si="191"/>
        <v>84.825023488924998</v>
      </c>
      <c r="S942">
        <f t="shared" si="186"/>
        <v>87.009590312056957</v>
      </c>
      <c r="T942">
        <f t="shared" si="192"/>
        <v>87.009590312056957</v>
      </c>
      <c r="U942" s="3">
        <f t="shared" si="193"/>
        <v>432.43813208389997</v>
      </c>
      <c r="V942">
        <f t="shared" si="185"/>
        <v>851</v>
      </c>
      <c r="W942" s="8">
        <f t="shared" si="187"/>
        <v>44.427964631939972</v>
      </c>
      <c r="X942" s="1">
        <f t="shared" si="194"/>
        <v>44.427964631939972</v>
      </c>
      <c r="Y942" s="18"/>
      <c r="Z942" s="7"/>
      <c r="AA942" s="1"/>
      <c r="AB942" s="1"/>
      <c r="AC942" s="1"/>
    </row>
    <row r="943" spans="1:29" x14ac:dyDescent="0.3">
      <c r="A943">
        <v>942</v>
      </c>
      <c r="E943">
        <v>-67.577076318430002</v>
      </c>
      <c r="F943">
        <v>97.587772401177006</v>
      </c>
      <c r="G943">
        <v>407.04424882895</v>
      </c>
      <c r="H943">
        <v>40.356198616843997</v>
      </c>
      <c r="I943">
        <v>111.62270346394</v>
      </c>
      <c r="J943">
        <v>432.54589649280001</v>
      </c>
      <c r="L943" s="1">
        <f t="shared" si="195"/>
        <v>4.4581969161800004</v>
      </c>
      <c r="M943">
        <f t="shared" si="196"/>
        <v>3351.6762822253204</v>
      </c>
      <c r="N943">
        <f t="shared" si="188"/>
        <v>9.310211895070335</v>
      </c>
      <c r="O943">
        <f t="shared" si="189"/>
        <v>40.356198616843997</v>
      </c>
      <c r="P943">
        <f t="shared" si="190"/>
        <v>901</v>
      </c>
      <c r="Q943">
        <f t="shared" si="197"/>
        <v>84.490379106289993</v>
      </c>
      <c r="R943">
        <f t="shared" si="191"/>
        <v>84.490379106289993</v>
      </c>
      <c r="S943">
        <f t="shared" si="186"/>
        <v>86.578488879055143</v>
      </c>
      <c r="T943">
        <f t="shared" si="192"/>
        <v>86.578488879055143</v>
      </c>
      <c r="U943" s="3">
        <f t="shared" si="193"/>
        <v>432.54589649280001</v>
      </c>
      <c r="V943">
        <f t="shared" si="185"/>
        <v>852</v>
      </c>
      <c r="W943" s="8">
        <f t="shared" si="187"/>
        <v>44.046319504619987</v>
      </c>
      <c r="X943" s="1">
        <f t="shared" si="194"/>
        <v>44.046319504619987</v>
      </c>
      <c r="Y943" s="18"/>
      <c r="Z943" s="7"/>
      <c r="AA943" s="1"/>
      <c r="AB943" s="1"/>
      <c r="AC943" s="1"/>
    </row>
    <row r="944" spans="1:29" x14ac:dyDescent="0.3">
      <c r="A944">
        <v>943</v>
      </c>
      <c r="E944">
        <v>-67.417749436080001</v>
      </c>
      <c r="F944">
        <v>94.580725193386002</v>
      </c>
      <c r="G944">
        <v>406.14520611938002</v>
      </c>
      <c r="H944">
        <v>40.348019053153998</v>
      </c>
      <c r="I944">
        <v>116.0832875605</v>
      </c>
      <c r="J944">
        <v>432.65529863046999</v>
      </c>
      <c r="L944" s="1">
        <f t="shared" si="195"/>
        <v>4.4605840965599981</v>
      </c>
      <c r="M944">
        <f t="shared" si="196"/>
        <v>3356.1368663218805</v>
      </c>
      <c r="N944">
        <f t="shared" si="188"/>
        <v>9.3226024064496684</v>
      </c>
      <c r="O944">
        <f t="shared" si="189"/>
        <v>40.348019053153998</v>
      </c>
      <c r="P944">
        <f t="shared" si="190"/>
        <v>902</v>
      </c>
      <c r="Q944">
        <f t="shared" si="197"/>
        <v>84.170690378941998</v>
      </c>
      <c r="R944">
        <f t="shared" si="191"/>
        <v>84.170690378941998</v>
      </c>
      <c r="S944">
        <f t="shared" si="186"/>
        <v>86.16136087153204</v>
      </c>
      <c r="T944">
        <f t="shared" si="192"/>
        <v>86.16136087153204</v>
      </c>
      <c r="U944" s="3">
        <f t="shared" si="193"/>
        <v>432.65529863046999</v>
      </c>
      <c r="V944">
        <f t="shared" si="185"/>
        <v>853</v>
      </c>
      <c r="W944" s="8">
        <f t="shared" si="187"/>
        <v>43.661210260459995</v>
      </c>
      <c r="X944" s="1">
        <f t="shared" si="194"/>
        <v>43.661210260459995</v>
      </c>
      <c r="Y944" s="18"/>
      <c r="Z944" s="7"/>
      <c r="AA944" s="1"/>
      <c r="AB944" s="1"/>
      <c r="AC944" s="1"/>
    </row>
    <row r="945" spans="1:29" x14ac:dyDescent="0.3">
      <c r="A945">
        <v>944</v>
      </c>
      <c r="E945">
        <v>-67.29898172099</v>
      </c>
      <c r="F945">
        <v>91.651755816931001</v>
      </c>
      <c r="G945">
        <v>405.01312623310002</v>
      </c>
      <c r="H945">
        <v>40.335938560823003</v>
      </c>
      <c r="I945">
        <v>120.54549339923</v>
      </c>
      <c r="J945">
        <v>432.74613751878002</v>
      </c>
      <c r="L945" s="1">
        <f t="shared" si="195"/>
        <v>4.4622058387300001</v>
      </c>
      <c r="M945">
        <f t="shared" si="196"/>
        <v>3360.5990721606104</v>
      </c>
      <c r="N945">
        <f t="shared" si="188"/>
        <v>9.3349974226683621</v>
      </c>
      <c r="O945">
        <f t="shared" si="189"/>
        <v>40.335938560823003</v>
      </c>
      <c r="P945">
        <f t="shared" si="190"/>
        <v>903</v>
      </c>
      <c r="Q945">
        <f t="shared" si="197"/>
        <v>83.835420282071993</v>
      </c>
      <c r="R945">
        <f t="shared" si="191"/>
        <v>83.835420282071993</v>
      </c>
      <c r="S945">
        <f t="shared" si="186"/>
        <v>85.723891972254307</v>
      </c>
      <c r="T945">
        <f t="shared" si="192"/>
        <v>85.723891972254307</v>
      </c>
      <c r="U945" s="3">
        <f t="shared" si="193"/>
        <v>432.74613751878002</v>
      </c>
      <c r="V945">
        <f t="shared" ref="V945:V1001" si="198">IFERROR(MATCH(N945-1,N:N,1),0)</f>
        <v>854</v>
      </c>
      <c r="W945" s="8">
        <f t="shared" si="187"/>
        <v>43.255406589090001</v>
      </c>
      <c r="X945" s="1">
        <f t="shared" si="194"/>
        <v>43.255406589090001</v>
      </c>
      <c r="Y945" s="18"/>
      <c r="Z945" s="7"/>
      <c r="AA945" s="1"/>
      <c r="AB945" s="1"/>
      <c r="AC945" s="1"/>
    </row>
    <row r="946" spans="1:29" x14ac:dyDescent="0.3">
      <c r="A946">
        <v>945</v>
      </c>
      <c r="E946">
        <v>-67.194462384730002</v>
      </c>
      <c r="F946">
        <v>88.822323164154</v>
      </c>
      <c r="G946">
        <v>403.64945270482002</v>
      </c>
      <c r="H946">
        <v>40.316118379549003</v>
      </c>
      <c r="I946">
        <v>125.00942098547</v>
      </c>
      <c r="J946">
        <v>432.84536804521002</v>
      </c>
      <c r="L946" s="1">
        <f t="shared" si="195"/>
        <v>4.4639275862400041</v>
      </c>
      <c r="M946">
        <f t="shared" si="196"/>
        <v>3365.0629997468504</v>
      </c>
      <c r="N946">
        <f t="shared" si="188"/>
        <v>9.3473972215190297</v>
      </c>
      <c r="O946">
        <f t="shared" si="189"/>
        <v>40.316118379549003</v>
      </c>
      <c r="P946">
        <f t="shared" si="190"/>
        <v>904</v>
      </c>
      <c r="Q946">
        <f t="shared" si="197"/>
        <v>83.497403464097999</v>
      </c>
      <c r="R946">
        <f t="shared" si="191"/>
        <v>83.497403464097999</v>
      </c>
      <c r="S946">
        <f t="shared" si="186"/>
        <v>85.290572414883485</v>
      </c>
      <c r="T946">
        <f t="shared" si="192"/>
        <v>85.290572414883485</v>
      </c>
      <c r="U946" s="3">
        <f t="shared" si="193"/>
        <v>432.84536804521002</v>
      </c>
      <c r="V946">
        <f t="shared" si="198"/>
        <v>855</v>
      </c>
      <c r="W946" s="8">
        <f t="shared" si="187"/>
        <v>42.877475544930007</v>
      </c>
      <c r="X946" s="1">
        <f t="shared" si="194"/>
        <v>42.877475544930007</v>
      </c>
      <c r="Y946" s="18"/>
      <c r="Z946" s="7"/>
      <c r="AA946" s="1"/>
      <c r="AB946" s="1"/>
      <c r="AC946" s="1"/>
    </row>
    <row r="947" spans="1:29" x14ac:dyDescent="0.3">
      <c r="A947">
        <v>946</v>
      </c>
      <c r="E947">
        <v>-67.112294188470003</v>
      </c>
      <c r="F947">
        <v>86.100710996689003</v>
      </c>
      <c r="G947">
        <v>402.08015680706001</v>
      </c>
      <c r="H947">
        <v>40.307782721542999</v>
      </c>
      <c r="I947">
        <v>129.47513445333999</v>
      </c>
      <c r="J947">
        <v>432.94317247550998</v>
      </c>
      <c r="L947" s="1">
        <f t="shared" si="195"/>
        <v>4.465713467869989</v>
      </c>
      <c r="M947">
        <f t="shared" si="196"/>
        <v>3369.5287132147205</v>
      </c>
      <c r="N947">
        <f t="shared" si="188"/>
        <v>9.3598019811520015</v>
      </c>
      <c r="O947">
        <f t="shared" si="189"/>
        <v>40.307782721542999</v>
      </c>
      <c r="P947">
        <f t="shared" si="190"/>
        <v>905</v>
      </c>
      <c r="Q947">
        <f t="shared" si="197"/>
        <v>83.197430796172</v>
      </c>
      <c r="R947">
        <f t="shared" si="191"/>
        <v>83.197430796172</v>
      </c>
      <c r="S947">
        <f t="shared" si="186"/>
        <v>84.8904198327415</v>
      </c>
      <c r="T947">
        <f t="shared" si="192"/>
        <v>84.8904198327415</v>
      </c>
      <c r="U947" s="3">
        <f t="shared" si="193"/>
        <v>432.94317247550998</v>
      </c>
      <c r="V947">
        <f t="shared" si="198"/>
        <v>857</v>
      </c>
      <c r="W947" s="8">
        <f t="shared" si="187"/>
        <v>42.004217806209965</v>
      </c>
      <c r="X947" s="1">
        <f t="shared" si="194"/>
        <v>42.004217806209965</v>
      </c>
      <c r="Y947" s="18"/>
      <c r="Z947" s="7"/>
      <c r="AA947" s="1"/>
      <c r="AB947" s="1"/>
      <c r="AC947" s="1"/>
    </row>
    <row r="948" spans="1:29" x14ac:dyDescent="0.3">
      <c r="A948">
        <v>947</v>
      </c>
      <c r="E948">
        <v>-67.057807749039995</v>
      </c>
      <c r="F948">
        <v>83.510873032367996</v>
      </c>
      <c r="G948">
        <v>400.30111453557998</v>
      </c>
      <c r="H948">
        <v>40.295045909008003</v>
      </c>
      <c r="I948">
        <v>133.94191372924999</v>
      </c>
      <c r="J948">
        <v>433.03553898562001</v>
      </c>
      <c r="L948" s="1">
        <f t="shared" si="195"/>
        <v>4.4667792759099996</v>
      </c>
      <c r="M948">
        <f t="shared" si="196"/>
        <v>3373.9954924906306</v>
      </c>
      <c r="N948">
        <f t="shared" si="188"/>
        <v>9.3722097013628627</v>
      </c>
      <c r="O948">
        <f t="shared" si="189"/>
        <v>40.295045909008003</v>
      </c>
      <c r="P948">
        <f t="shared" si="190"/>
        <v>906</v>
      </c>
      <c r="Q948">
        <f t="shared" si="197"/>
        <v>82.900834533623993</v>
      </c>
      <c r="R948">
        <f t="shared" si="191"/>
        <v>82.900834533623993</v>
      </c>
      <c r="S948">
        <f t="shared" si="186"/>
        <v>84.497825393093919</v>
      </c>
      <c r="T948">
        <f t="shared" si="192"/>
        <v>84.497825393093919</v>
      </c>
      <c r="U948" s="3">
        <f t="shared" si="193"/>
        <v>433.03553898562001</v>
      </c>
      <c r="V948">
        <f t="shared" si="198"/>
        <v>858</v>
      </c>
      <c r="W948" s="8">
        <f t="shared" si="187"/>
        <v>41.599350566239991</v>
      </c>
      <c r="X948" s="1">
        <f t="shared" si="194"/>
        <v>41.599350566239991</v>
      </c>
      <c r="Y948" s="18"/>
      <c r="Z948" s="7"/>
      <c r="AA948" s="1"/>
      <c r="AB948" s="1"/>
      <c r="AC948" s="1"/>
    </row>
    <row r="949" spans="1:29" x14ac:dyDescent="0.3">
      <c r="A949">
        <v>948</v>
      </c>
      <c r="E949">
        <v>-67.032562547089995</v>
      </c>
      <c r="F949">
        <v>81.070794760995994</v>
      </c>
      <c r="G949">
        <v>398.32094204067999</v>
      </c>
      <c r="H949">
        <v>40.274821813113</v>
      </c>
      <c r="I949">
        <v>138.41085471655001</v>
      </c>
      <c r="J949">
        <v>433.12094950542001</v>
      </c>
      <c r="L949" s="1">
        <f t="shared" si="195"/>
        <v>4.4689409873000159</v>
      </c>
      <c r="M949">
        <f t="shared" si="196"/>
        <v>3378.4644334779305</v>
      </c>
      <c r="N949">
        <f t="shared" si="188"/>
        <v>9.3846234263275843</v>
      </c>
      <c r="O949">
        <f t="shared" si="189"/>
        <v>40.274821813113</v>
      </c>
      <c r="P949">
        <f t="shared" si="190"/>
        <v>907</v>
      </c>
      <c r="Q949">
        <f t="shared" si="197"/>
        <v>82.610090860819</v>
      </c>
      <c r="R949">
        <f t="shared" si="191"/>
        <v>82.610090860819</v>
      </c>
      <c r="S949">
        <f t="shared" si="186"/>
        <v>84.115318731007648</v>
      </c>
      <c r="T949">
        <f t="shared" si="192"/>
        <v>84.115318731007648</v>
      </c>
      <c r="U949" s="3">
        <f t="shared" si="193"/>
        <v>433.12094950542001</v>
      </c>
      <c r="V949">
        <f t="shared" si="198"/>
        <v>859</v>
      </c>
      <c r="W949" s="8">
        <f t="shared" si="187"/>
        <v>41.202367147820041</v>
      </c>
      <c r="X949" s="1">
        <f t="shared" si="194"/>
        <v>41.202367147820041</v>
      </c>
      <c r="Y949" s="18"/>
      <c r="Z949" s="7"/>
      <c r="AA949" s="1"/>
      <c r="AB949" s="1"/>
      <c r="AC949" s="1"/>
    </row>
    <row r="950" spans="1:29" x14ac:dyDescent="0.3">
      <c r="A950">
        <v>949</v>
      </c>
      <c r="E950">
        <v>-67.022453412640004</v>
      </c>
      <c r="F950">
        <v>78.793272075952004</v>
      </c>
      <c r="G950">
        <v>396.15557982911002</v>
      </c>
      <c r="H950">
        <v>40.252813055335999</v>
      </c>
      <c r="I950">
        <v>142.88193801615</v>
      </c>
      <c r="J950">
        <v>433.21269081279002</v>
      </c>
      <c r="L950" s="1">
        <f t="shared" si="195"/>
        <v>4.4710832995999965</v>
      </c>
      <c r="M950">
        <f t="shared" si="196"/>
        <v>3382.9355167775307</v>
      </c>
      <c r="N950">
        <f t="shared" si="188"/>
        <v>9.3970431021598078</v>
      </c>
      <c r="O950">
        <f t="shared" si="189"/>
        <v>40.252813055335999</v>
      </c>
      <c r="P950">
        <f t="shared" si="190"/>
        <v>909</v>
      </c>
      <c r="Q950">
        <f t="shared" si="197"/>
        <v>82.116555607604994</v>
      </c>
      <c r="R950">
        <f t="shared" si="191"/>
        <v>82.116555607604994</v>
      </c>
      <c r="S950">
        <f t="shared" si="186"/>
        <v>83.485093124827145</v>
      </c>
      <c r="T950">
        <f t="shared" si="192"/>
        <v>83.485093124827145</v>
      </c>
      <c r="U950" s="3">
        <f t="shared" si="193"/>
        <v>433.21269081279002</v>
      </c>
      <c r="V950">
        <f t="shared" si="198"/>
        <v>860</v>
      </c>
      <c r="W950" s="8">
        <f t="shared" si="187"/>
        <v>40.80584546307</v>
      </c>
      <c r="X950" s="1">
        <f t="shared" si="194"/>
        <v>40.80584546307</v>
      </c>
      <c r="Y950" s="18"/>
      <c r="Z950" s="7"/>
      <c r="AA950" s="1"/>
      <c r="AB950" s="1"/>
      <c r="AC950" s="1"/>
    </row>
    <row r="951" spans="1:29" x14ac:dyDescent="0.3">
      <c r="A951">
        <v>950</v>
      </c>
      <c r="E951">
        <v>-67.009288244610005</v>
      </c>
      <c r="F951">
        <v>76.681783351082998</v>
      </c>
      <c r="G951">
        <v>393.82824361860003</v>
      </c>
      <c r="H951">
        <v>40.245018026347999</v>
      </c>
      <c r="I951">
        <v>147.35349426043999</v>
      </c>
      <c r="J951">
        <v>433.32716088977998</v>
      </c>
      <c r="L951" s="1">
        <f t="shared" si="195"/>
        <v>4.4715562442899852</v>
      </c>
      <c r="M951">
        <f t="shared" si="196"/>
        <v>3387.4070730218205</v>
      </c>
      <c r="N951">
        <f t="shared" si="188"/>
        <v>9.4094640917272798</v>
      </c>
      <c r="O951">
        <f t="shared" si="189"/>
        <v>40.245018026347999</v>
      </c>
      <c r="P951">
        <f t="shared" si="190"/>
        <v>910</v>
      </c>
      <c r="Q951">
        <f t="shared" si="197"/>
        <v>81.875484541969001</v>
      </c>
      <c r="R951">
        <f t="shared" si="191"/>
        <v>81.875484541969001</v>
      </c>
      <c r="S951">
        <f t="shared" si="186"/>
        <v>83.168610968163179</v>
      </c>
      <c r="T951">
        <f t="shared" si="192"/>
        <v>83.168610968163179</v>
      </c>
      <c r="U951" s="3">
        <f t="shared" si="193"/>
        <v>433.32716088977998</v>
      </c>
      <c r="V951">
        <f t="shared" si="198"/>
        <v>862</v>
      </c>
      <c r="W951" s="8">
        <f t="shared" si="187"/>
        <v>39.96206640225995</v>
      </c>
      <c r="X951" s="1">
        <f t="shared" si="194"/>
        <v>39.96206640225995</v>
      </c>
      <c r="Y951" s="18"/>
      <c r="Z951" s="7"/>
      <c r="AA951" s="1"/>
      <c r="AB951" s="1"/>
      <c r="AC951" s="1"/>
    </row>
    <row r="952" spans="1:29" x14ac:dyDescent="0.3">
      <c r="A952">
        <v>951</v>
      </c>
      <c r="E952">
        <v>-67.008489827739993</v>
      </c>
      <c r="F952">
        <v>74.772283728104</v>
      </c>
      <c r="G952">
        <v>391.33227588976001</v>
      </c>
      <c r="H952">
        <v>40.218999050567</v>
      </c>
      <c r="I952">
        <v>151.82651042159</v>
      </c>
      <c r="J952">
        <v>433.45098390283999</v>
      </c>
      <c r="L952" s="1">
        <f t="shared" si="195"/>
        <v>4.4730161611500137</v>
      </c>
      <c r="M952">
        <f t="shared" si="196"/>
        <v>3391.8800891829706</v>
      </c>
      <c r="N952">
        <f t="shared" si="188"/>
        <v>9.4218891366193631</v>
      </c>
      <c r="O952">
        <f t="shared" si="189"/>
        <v>40.218999050567</v>
      </c>
      <c r="P952">
        <f t="shared" si="190"/>
        <v>911</v>
      </c>
      <c r="Q952">
        <f t="shared" si="197"/>
        <v>81.63256518043201</v>
      </c>
      <c r="R952">
        <f t="shared" si="191"/>
        <v>81.63256518043201</v>
      </c>
      <c r="S952">
        <f t="shared" si="186"/>
        <v>82.849276044372104</v>
      </c>
      <c r="T952">
        <f t="shared" si="192"/>
        <v>82.849276044372104</v>
      </c>
      <c r="U952" s="3">
        <f t="shared" si="193"/>
        <v>433.45098390283999</v>
      </c>
      <c r="V952">
        <f t="shared" si="198"/>
        <v>863</v>
      </c>
      <c r="W952" s="8">
        <f t="shared" si="187"/>
        <v>39.60065252646001</v>
      </c>
      <c r="X952" s="1">
        <f t="shared" si="194"/>
        <v>39.60065252646001</v>
      </c>
      <c r="Y952" s="18"/>
      <c r="Z952" s="7"/>
      <c r="AA952" s="1"/>
      <c r="AB952" s="1"/>
      <c r="AC952" s="1"/>
    </row>
    <row r="953" spans="1:29" x14ac:dyDescent="0.3">
      <c r="A953">
        <v>952</v>
      </c>
      <c r="E953">
        <v>-67.026703523189994</v>
      </c>
      <c r="F953">
        <v>73.067706108186002</v>
      </c>
      <c r="G953">
        <v>388.69218607062999</v>
      </c>
      <c r="H953">
        <v>40.186895450945002</v>
      </c>
      <c r="I953">
        <v>156.30261914741999</v>
      </c>
      <c r="J953">
        <v>433.57569488365999</v>
      </c>
      <c r="L953" s="1">
        <f t="shared" si="195"/>
        <v>4.4761087258299881</v>
      </c>
      <c r="M953">
        <f t="shared" si="196"/>
        <v>3396.3561979088004</v>
      </c>
      <c r="N953">
        <f t="shared" si="188"/>
        <v>9.4343227719688905</v>
      </c>
      <c r="O953">
        <f t="shared" si="189"/>
        <v>40.186895450945002</v>
      </c>
      <c r="P953">
        <f t="shared" si="190"/>
        <v>912</v>
      </c>
      <c r="Q953">
        <f t="shared" si="197"/>
        <v>81.424573000569012</v>
      </c>
      <c r="R953">
        <f t="shared" si="191"/>
        <v>81.424573000569012</v>
      </c>
      <c r="S953">
        <f t="shared" si="186"/>
        <v>82.568143663488584</v>
      </c>
      <c r="T953">
        <f t="shared" si="192"/>
        <v>82.568143663488584</v>
      </c>
      <c r="U953" s="3">
        <f t="shared" si="193"/>
        <v>433.57569488365999</v>
      </c>
      <c r="V953">
        <f t="shared" si="198"/>
        <v>864</v>
      </c>
      <c r="W953" s="8">
        <f t="shared" si="187"/>
        <v>39.239896385859993</v>
      </c>
      <c r="X953" s="1">
        <f t="shared" si="194"/>
        <v>39.239896385859993</v>
      </c>
      <c r="Y953" s="18"/>
      <c r="Z953" s="7"/>
      <c r="AA953" s="1"/>
      <c r="AB953" s="1"/>
      <c r="AC953" s="1"/>
    </row>
    <row r="954" spans="1:29" x14ac:dyDescent="0.3">
      <c r="A954">
        <v>953</v>
      </c>
      <c r="E954">
        <v>-67.045469300080001</v>
      </c>
      <c r="F954">
        <v>71.563357340769997</v>
      </c>
      <c r="G954">
        <v>385.93316942821002</v>
      </c>
      <c r="H954">
        <v>40.167833809004001</v>
      </c>
      <c r="I954">
        <v>160.78060627988</v>
      </c>
      <c r="J954">
        <v>433.71747020139998</v>
      </c>
      <c r="L954" s="1">
        <f t="shared" si="195"/>
        <v>4.4779871324600151</v>
      </c>
      <c r="M954">
        <f t="shared" si="196"/>
        <v>3400.8341850412603</v>
      </c>
      <c r="N954">
        <f t="shared" si="188"/>
        <v>9.4467616251146111</v>
      </c>
      <c r="O954">
        <f t="shared" si="189"/>
        <v>40.167833809004001</v>
      </c>
      <c r="P954">
        <f t="shared" si="190"/>
        <v>913</v>
      </c>
      <c r="Q954">
        <f t="shared" si="197"/>
        <v>81.267133025538001</v>
      </c>
      <c r="R954">
        <f t="shared" si="191"/>
        <v>81.267133025538001</v>
      </c>
      <c r="S954">
        <f t="shared" si="186"/>
        <v>82.344434083816466</v>
      </c>
      <c r="T954">
        <f t="shared" si="192"/>
        <v>82.344434083816466</v>
      </c>
      <c r="U954" s="3">
        <f t="shared" si="193"/>
        <v>433.71747020139998</v>
      </c>
      <c r="V954">
        <f t="shared" si="198"/>
        <v>865</v>
      </c>
      <c r="W954" s="8">
        <f t="shared" si="187"/>
        <v>38.882525060399985</v>
      </c>
      <c r="X954" s="1">
        <f t="shared" si="194"/>
        <v>38.882525060399985</v>
      </c>
      <c r="Y954" s="18"/>
      <c r="Z954" s="7"/>
      <c r="AA954" s="1"/>
      <c r="AB954" s="1"/>
      <c r="AC954" s="1"/>
    </row>
    <row r="955" spans="1:29" x14ac:dyDescent="0.3">
      <c r="A955">
        <v>954</v>
      </c>
      <c r="E955">
        <v>-67.066305000040003</v>
      </c>
      <c r="F955">
        <v>70.272511801779004</v>
      </c>
      <c r="G955">
        <v>383.06791795407003</v>
      </c>
      <c r="H955">
        <v>40.156078519406996</v>
      </c>
      <c r="I955">
        <v>165.25952010116001</v>
      </c>
      <c r="J955">
        <v>433.87431639634002</v>
      </c>
      <c r="L955" s="1">
        <f t="shared" si="195"/>
        <v>4.4789138212800026</v>
      </c>
      <c r="M955">
        <f t="shared" si="196"/>
        <v>3405.3130988625403</v>
      </c>
      <c r="N955">
        <f t="shared" si="188"/>
        <v>9.4592030523959458</v>
      </c>
      <c r="O955">
        <f t="shared" si="189"/>
        <v>40.156078519406996</v>
      </c>
      <c r="P955">
        <f t="shared" si="190"/>
        <v>914</v>
      </c>
      <c r="Q955">
        <f t="shared" si="197"/>
        <v>81.123685112611994</v>
      </c>
      <c r="R955">
        <f t="shared" si="191"/>
        <v>81.123685112611994</v>
      </c>
      <c r="S955">
        <f t="shared" si="186"/>
        <v>82.141057872388529</v>
      </c>
      <c r="T955">
        <f t="shared" si="192"/>
        <v>82.141057872388529</v>
      </c>
      <c r="U955" s="3">
        <f t="shared" si="193"/>
        <v>433.87431639634002</v>
      </c>
      <c r="V955">
        <f t="shared" si="198"/>
        <v>867</v>
      </c>
      <c r="W955" s="8">
        <f t="shared" si="187"/>
        <v>38.086158812640008</v>
      </c>
      <c r="X955" s="1">
        <f t="shared" si="194"/>
        <v>38.086158812640008</v>
      </c>
      <c r="Y955" s="18"/>
      <c r="Z955" s="7"/>
      <c r="AA955" s="1"/>
      <c r="AB955" s="1"/>
      <c r="AC955" s="1"/>
    </row>
    <row r="956" spans="1:29" x14ac:dyDescent="0.3">
      <c r="A956">
        <v>955</v>
      </c>
      <c r="E956">
        <v>-67.09230640138</v>
      </c>
      <c r="F956">
        <v>69.225676391169998</v>
      </c>
      <c r="G956">
        <v>380.10493869534002</v>
      </c>
      <c r="H956">
        <v>40.126996747433999</v>
      </c>
      <c r="I956">
        <v>169.73948619410999</v>
      </c>
      <c r="J956">
        <v>434.04369936371</v>
      </c>
      <c r="L956" s="1">
        <f t="shared" si="195"/>
        <v>4.4799660929499794</v>
      </c>
      <c r="M956">
        <f t="shared" si="196"/>
        <v>3409.7930649554901</v>
      </c>
      <c r="N956">
        <f t="shared" si="188"/>
        <v>9.4716474026541384</v>
      </c>
      <c r="O956">
        <f t="shared" si="189"/>
        <v>40.126996747433999</v>
      </c>
      <c r="P956">
        <f t="shared" si="190"/>
        <v>915</v>
      </c>
      <c r="Q956">
        <f t="shared" si="197"/>
        <v>80.977657962788001</v>
      </c>
      <c r="R956">
        <f t="shared" si="191"/>
        <v>80.977657962788001</v>
      </c>
      <c r="S956">
        <f t="shared" si="186"/>
        <v>81.932482500653975</v>
      </c>
      <c r="T956">
        <f t="shared" si="192"/>
        <v>81.932482500653975</v>
      </c>
      <c r="U956" s="3">
        <f t="shared" si="193"/>
        <v>434.04369936371</v>
      </c>
      <c r="V956">
        <f t="shared" si="198"/>
        <v>868</v>
      </c>
      <c r="W956" s="8">
        <f t="shared" si="187"/>
        <v>37.690660989750029</v>
      </c>
      <c r="X956" s="1">
        <f t="shared" si="194"/>
        <v>37.690660989750029</v>
      </c>
      <c r="Y956" s="18"/>
      <c r="Z956" s="7"/>
      <c r="AA956" s="1"/>
      <c r="AB956" s="1"/>
      <c r="AC956" s="1"/>
    </row>
    <row r="957" spans="1:29" x14ac:dyDescent="0.3">
      <c r="A957">
        <v>956</v>
      </c>
      <c r="E957">
        <v>-67.126170216160006</v>
      </c>
      <c r="F957">
        <v>68.432454360649004</v>
      </c>
      <c r="G957">
        <v>377.06434643154</v>
      </c>
      <c r="H957">
        <v>40.078060194320997</v>
      </c>
      <c r="I957">
        <v>174.22272303372</v>
      </c>
      <c r="J957">
        <v>434.22170833403999</v>
      </c>
      <c r="L957" s="1">
        <f t="shared" si="195"/>
        <v>4.4832368396100151</v>
      </c>
      <c r="M957">
        <f t="shared" si="196"/>
        <v>3414.2763017951002</v>
      </c>
      <c r="N957">
        <f t="shared" si="188"/>
        <v>9.4841008383197227</v>
      </c>
      <c r="O957">
        <f t="shared" si="189"/>
        <v>40.078060194320997</v>
      </c>
      <c r="P957">
        <f t="shared" si="190"/>
        <v>916</v>
      </c>
      <c r="Q957">
        <f t="shared" si="197"/>
        <v>80.887713727838999</v>
      </c>
      <c r="R957">
        <f t="shared" si="191"/>
        <v>80.887713727838999</v>
      </c>
      <c r="S957">
        <f t="shared" si="186"/>
        <v>81.790248906929321</v>
      </c>
      <c r="T957">
        <f t="shared" si="192"/>
        <v>81.790248906929321</v>
      </c>
      <c r="U957" s="3">
        <f t="shared" si="193"/>
        <v>434.22170833403999</v>
      </c>
      <c r="V957">
        <f t="shared" si="198"/>
        <v>869</v>
      </c>
      <c r="W957" s="8">
        <f t="shared" si="187"/>
        <v>37.381792106779983</v>
      </c>
      <c r="X957" s="1">
        <f t="shared" si="194"/>
        <v>37.381792106779983</v>
      </c>
      <c r="Y957" s="18"/>
      <c r="Z957" s="7"/>
      <c r="AA957" s="1"/>
      <c r="AB957" s="1"/>
      <c r="AC957" s="1"/>
    </row>
    <row r="958" spans="1:29" x14ac:dyDescent="0.3">
      <c r="A958">
        <v>957</v>
      </c>
      <c r="E958">
        <v>-67.153317917859994</v>
      </c>
      <c r="F958">
        <v>67.889369832952994</v>
      </c>
      <c r="G958">
        <v>373.96915232804997</v>
      </c>
      <c r="H958">
        <v>40.019394199099999</v>
      </c>
      <c r="I958">
        <v>178.71000645628001</v>
      </c>
      <c r="J958">
        <v>434.42087804838002</v>
      </c>
      <c r="L958" s="1">
        <f t="shared" si="195"/>
        <v>4.4872834225600116</v>
      </c>
      <c r="M958">
        <f t="shared" si="196"/>
        <v>3418.76358521766</v>
      </c>
      <c r="N958">
        <f t="shared" si="188"/>
        <v>9.4965655144935006</v>
      </c>
      <c r="O958">
        <f t="shared" si="189"/>
        <v>40.019394199099999</v>
      </c>
      <c r="P958">
        <f t="shared" si="190"/>
        <v>917</v>
      </c>
      <c r="Q958">
        <f t="shared" si="197"/>
        <v>80.768559358082996</v>
      </c>
      <c r="R958">
        <f t="shared" si="191"/>
        <v>80.768559358082996</v>
      </c>
      <c r="S958">
        <f t="shared" si="186"/>
        <v>81.622500122347589</v>
      </c>
      <c r="T958">
        <f t="shared" si="192"/>
        <v>81.622500122347589</v>
      </c>
      <c r="U958" s="3">
        <f t="shared" si="193"/>
        <v>434.42087804838002</v>
      </c>
      <c r="V958">
        <f t="shared" si="198"/>
        <v>871</v>
      </c>
      <c r="W958" s="8">
        <f t="shared" si="187"/>
        <v>36.600098607920017</v>
      </c>
      <c r="X958" s="1">
        <f t="shared" si="194"/>
        <v>36.600098607920017</v>
      </c>
      <c r="Y958" s="18"/>
      <c r="Z958" s="7"/>
      <c r="AA958" s="1"/>
      <c r="AB958" s="1"/>
      <c r="AC958" s="1"/>
    </row>
    <row r="959" spans="1:29" x14ac:dyDescent="0.3">
      <c r="A959">
        <v>958</v>
      </c>
      <c r="E959">
        <v>-67.170248280289997</v>
      </c>
      <c r="F959">
        <v>67.637375582779001</v>
      </c>
      <c r="G959">
        <v>370.83694240324002</v>
      </c>
      <c r="H959">
        <v>39.913784821999997</v>
      </c>
      <c r="I959">
        <v>-176.79797208049999</v>
      </c>
      <c r="J959">
        <v>434.64493852822</v>
      </c>
      <c r="L959" s="1">
        <f t="shared" si="195"/>
        <v>-355.50797853678</v>
      </c>
      <c r="M959">
        <f t="shared" si="196"/>
        <v>3423.2508686402198</v>
      </c>
      <c r="N959">
        <f t="shared" si="188"/>
        <v>9.5090301906672767</v>
      </c>
      <c r="O959">
        <f t="shared" si="189"/>
        <v>39.913784821999997</v>
      </c>
      <c r="P959">
        <f t="shared" si="190"/>
        <v>918</v>
      </c>
      <c r="Q959">
        <f t="shared" si="197"/>
        <v>80.601784331640999</v>
      </c>
      <c r="R959">
        <f t="shared" si="191"/>
        <v>80.601784331640999</v>
      </c>
      <c r="S959">
        <f t="shared" si="186"/>
        <v>81.404507490338304</v>
      </c>
      <c r="T959">
        <f t="shared" si="192"/>
        <v>81.404507490338304</v>
      </c>
      <c r="U959" s="3">
        <f t="shared" si="193"/>
        <v>434.64493852822</v>
      </c>
      <c r="V959">
        <f t="shared" si="198"/>
        <v>872</v>
      </c>
      <c r="W959" s="8">
        <f t="shared" si="187"/>
        <v>36.317327493479979</v>
      </c>
      <c r="X959" s="1">
        <f t="shared" si="194"/>
        <v>36.317327493479979</v>
      </c>
      <c r="Y959" s="18"/>
      <c r="Z959" s="7"/>
      <c r="AA959" s="1"/>
      <c r="AB959" s="1"/>
      <c r="AC959" s="1"/>
    </row>
    <row r="960" spans="1:29" x14ac:dyDescent="0.3">
      <c r="A960">
        <v>959</v>
      </c>
      <c r="E960">
        <v>-67.117541862959996</v>
      </c>
      <c r="F960">
        <v>67.600862880234999</v>
      </c>
      <c r="G960">
        <v>367.69488449078</v>
      </c>
      <c r="H960">
        <v>39.841457400290999</v>
      </c>
      <c r="I960">
        <v>-172.3036234448</v>
      </c>
      <c r="J960">
        <v>434.94784024038</v>
      </c>
      <c r="L960" s="1">
        <f t="shared" si="195"/>
        <v>4.4943486356999927</v>
      </c>
      <c r="M960">
        <f t="shared" si="196"/>
        <v>3427.7452172759199</v>
      </c>
      <c r="N960">
        <f t="shared" si="188"/>
        <v>9.521514492433111</v>
      </c>
      <c r="O960">
        <f t="shared" si="189"/>
        <v>39.841457400290999</v>
      </c>
      <c r="P960">
        <f t="shared" si="190"/>
        <v>919</v>
      </c>
      <c r="Q960">
        <f t="shared" si="197"/>
        <v>80.561318402923007</v>
      </c>
      <c r="R960">
        <f t="shared" si="191"/>
        <v>80.561318402923007</v>
      </c>
      <c r="S960">
        <f t="shared" si="186"/>
        <v>81.333418356225039</v>
      </c>
      <c r="T960">
        <f t="shared" si="192"/>
        <v>81.333418356225039</v>
      </c>
      <c r="U960" s="3">
        <f t="shared" si="193"/>
        <v>434.94784024038</v>
      </c>
      <c r="V960">
        <f t="shared" si="198"/>
        <v>873</v>
      </c>
      <c r="W960" s="8">
        <f t="shared" si="187"/>
        <v>36.142680398090022</v>
      </c>
      <c r="X960" s="1">
        <f t="shared" si="194"/>
        <v>36.142680398090022</v>
      </c>
      <c r="Y960" s="18"/>
      <c r="Z960" s="7"/>
      <c r="AA960" s="1"/>
      <c r="AB960" s="1"/>
      <c r="AC960" s="1"/>
    </row>
    <row r="961" spans="1:29" x14ac:dyDescent="0.3">
      <c r="A961">
        <v>960</v>
      </c>
      <c r="E961">
        <v>-67.042828175729994</v>
      </c>
      <c r="F961">
        <v>67.745700878951993</v>
      </c>
      <c r="G961">
        <v>364.55653916033998</v>
      </c>
      <c r="H961">
        <v>39.834085366720998</v>
      </c>
      <c r="I961">
        <v>-167.80801533100001</v>
      </c>
      <c r="J961">
        <v>435.27968142164002</v>
      </c>
      <c r="L961" s="1">
        <f t="shared" si="195"/>
        <v>4.4956081137999888</v>
      </c>
      <c r="M961">
        <f t="shared" si="196"/>
        <v>3432.2408253897197</v>
      </c>
      <c r="N961">
        <f t="shared" si="188"/>
        <v>9.5340022927492214</v>
      </c>
      <c r="O961">
        <f t="shared" si="189"/>
        <v>39.834085366720998</v>
      </c>
      <c r="P961">
        <f t="shared" si="190"/>
        <v>920</v>
      </c>
      <c r="Q961">
        <f t="shared" si="197"/>
        <v>80.580458557312994</v>
      </c>
      <c r="R961">
        <f t="shared" si="191"/>
        <v>80.580458557312994</v>
      </c>
      <c r="S961">
        <f t="shared" si="186"/>
        <v>81.327767401805744</v>
      </c>
      <c r="T961">
        <f t="shared" si="192"/>
        <v>81.327767401805744</v>
      </c>
      <c r="U961" s="3">
        <f t="shared" si="193"/>
        <v>435.27968142164002</v>
      </c>
      <c r="V961">
        <f t="shared" si="198"/>
        <v>874</v>
      </c>
      <c r="W961" s="8">
        <f t="shared" si="187"/>
        <v>35.959104144050002</v>
      </c>
      <c r="X961" s="1">
        <f t="shared" si="194"/>
        <v>35.959104144050002</v>
      </c>
      <c r="Y961" s="18"/>
      <c r="Z961" s="7"/>
      <c r="AA961" s="1"/>
      <c r="AB961" s="1"/>
      <c r="AC961" s="1"/>
    </row>
    <row r="962" spans="1:29" x14ac:dyDescent="0.3">
      <c r="A962">
        <v>961</v>
      </c>
      <c r="E962">
        <v>-67.021158925649999</v>
      </c>
      <c r="F962">
        <v>68.128812753700998</v>
      </c>
      <c r="G962">
        <v>361.43751466677998</v>
      </c>
      <c r="H962">
        <v>39.831505090726999</v>
      </c>
      <c r="I962">
        <v>-163.30550691479999</v>
      </c>
      <c r="J962">
        <v>435.56675922224002</v>
      </c>
      <c r="L962" s="1">
        <f t="shared" si="195"/>
        <v>4.5025084162000155</v>
      </c>
      <c r="M962">
        <f t="shared" si="196"/>
        <v>3436.7433338059195</v>
      </c>
      <c r="N962">
        <f t="shared" si="188"/>
        <v>9.5465092605719981</v>
      </c>
      <c r="O962">
        <f t="shared" si="189"/>
        <v>39.831505090726999</v>
      </c>
      <c r="P962">
        <f t="shared" si="190"/>
        <v>921</v>
      </c>
      <c r="Q962">
        <f t="shared" si="197"/>
        <v>80.546799276659002</v>
      </c>
      <c r="R962">
        <f t="shared" si="191"/>
        <v>80.546799276659002</v>
      </c>
      <c r="S962">
        <f t="shared" ref="S962:S1001" si="199">IF(P962=0,0,SQRT((E962-INDEX(E:E,P962))^2+(F962-INDEX(F:F,P962))^2+(G962-INDEX(G:G,P962))^2))</f>
        <v>81.251111079995724</v>
      </c>
      <c r="T962">
        <f t="shared" si="192"/>
        <v>81.251111079995724</v>
      </c>
      <c r="U962" s="3">
        <f t="shared" si="193"/>
        <v>435.56675922224002</v>
      </c>
      <c r="V962">
        <f t="shared" si="198"/>
        <v>876</v>
      </c>
      <c r="W962" s="8">
        <f t="shared" ref="W962:W1001" si="200">IF(V962=0,0,U962-INDEX(U:U,V962))</f>
        <v>35.222814083369997</v>
      </c>
      <c r="X962" s="1">
        <f t="shared" si="194"/>
        <v>35.222814083369997</v>
      </c>
      <c r="Y962" s="18"/>
      <c r="Z962" s="7"/>
      <c r="AA962" s="1"/>
      <c r="AB962" s="1"/>
      <c r="AC962" s="1"/>
    </row>
    <row r="963" spans="1:29" x14ac:dyDescent="0.3">
      <c r="A963">
        <v>962</v>
      </c>
      <c r="E963">
        <v>-67.028689034050004</v>
      </c>
      <c r="F963">
        <v>68.809264245766997</v>
      </c>
      <c r="G963">
        <v>358.36954648773002</v>
      </c>
      <c r="H963">
        <v>39.772533262994003</v>
      </c>
      <c r="I963">
        <v>-158.7976315594</v>
      </c>
      <c r="J963">
        <v>435.83266210247001</v>
      </c>
      <c r="L963" s="1">
        <f t="shared" si="195"/>
        <v>4.5078753553999888</v>
      </c>
      <c r="M963">
        <f t="shared" si="196"/>
        <v>3441.2512091613194</v>
      </c>
      <c r="N963">
        <f t="shared" ref="N963:N1001" si="201">M963/360</f>
        <v>9.55903113655922</v>
      </c>
      <c r="O963">
        <f t="shared" ref="O963:O1001" si="202">H963</f>
        <v>39.772533262994003</v>
      </c>
      <c r="P963">
        <f t="shared" ref="P963:P1001" si="203">IFERROR(MATCH(N963-0.5,N:N,1),0)</f>
        <v>922</v>
      </c>
      <c r="Q963">
        <f t="shared" si="197"/>
        <v>80.439811166943002</v>
      </c>
      <c r="R963">
        <f t="shared" ref="R963:R1001" si="204">IF(Q963=0,MAX(Q:Q),Q963)</f>
        <v>80.439811166943002</v>
      </c>
      <c r="S963">
        <f t="shared" si="199"/>
        <v>81.101226015861855</v>
      </c>
      <c r="T963">
        <f t="shared" ref="T963:T1001" si="205">IF(S963=0,MAX(S:S),S963)</f>
        <v>81.101226015861855</v>
      </c>
      <c r="U963" s="3">
        <f t="shared" ref="U963:U1001" si="206">J963</f>
        <v>435.83266210247001</v>
      </c>
      <c r="V963">
        <f t="shared" si="198"/>
        <v>877</v>
      </c>
      <c r="W963" s="8">
        <f t="shared" si="200"/>
        <v>34.950371795980004</v>
      </c>
      <c r="X963" s="1">
        <f t="shared" ref="X963:X1001" si="207">IF(W963=0,MAX(W:W),W963)</f>
        <v>34.950371795980004</v>
      </c>
      <c r="Y963" s="18"/>
      <c r="Z963" s="7"/>
      <c r="AA963" s="1"/>
      <c r="AB963" s="1"/>
      <c r="AC963" s="1"/>
    </row>
    <row r="964" spans="1:29" x14ac:dyDescent="0.3">
      <c r="A964">
        <v>963</v>
      </c>
      <c r="E964">
        <v>-66.973496192360003</v>
      </c>
      <c r="F964">
        <v>69.687456717588006</v>
      </c>
      <c r="G964">
        <v>355.35258522060002</v>
      </c>
      <c r="H964">
        <v>39.756670581602002</v>
      </c>
      <c r="I964">
        <v>-154.29372983319999</v>
      </c>
      <c r="J964">
        <v>436.16492594186002</v>
      </c>
      <c r="L964" s="1">
        <f t="shared" ref="L964:L1001" si="208">I964-I963</f>
        <v>4.5039017262000129</v>
      </c>
      <c r="M964">
        <f t="shared" ref="M964:M1001" si="209">IF(L964&gt;0,M963+L964,M963+L963)</f>
        <v>3445.7551108875195</v>
      </c>
      <c r="N964">
        <f t="shared" si="201"/>
        <v>9.5715419746875536</v>
      </c>
      <c r="O964">
        <f t="shared" si="202"/>
        <v>39.756670581602002</v>
      </c>
      <c r="P964">
        <f t="shared" si="203"/>
        <v>923</v>
      </c>
      <c r="Q964">
        <f t="shared" si="197"/>
        <v>80.411795360909991</v>
      </c>
      <c r="R964">
        <f t="shared" si="204"/>
        <v>80.411795360909991</v>
      </c>
      <c r="S964">
        <f t="shared" si="199"/>
        <v>81.048492406743065</v>
      </c>
      <c r="T964">
        <f t="shared" si="205"/>
        <v>81.048492406743065</v>
      </c>
      <c r="U964" s="3">
        <f t="shared" si="206"/>
        <v>436.16492594186002</v>
      </c>
      <c r="V964">
        <f t="shared" si="198"/>
        <v>878</v>
      </c>
      <c r="W964" s="8">
        <f t="shared" si="200"/>
        <v>34.789641020250031</v>
      </c>
      <c r="X964" s="1">
        <f t="shared" si="207"/>
        <v>34.789641020250031</v>
      </c>
      <c r="Y964" s="18"/>
      <c r="Z964" s="7"/>
      <c r="AA964" s="1"/>
      <c r="AB964" s="1"/>
      <c r="AC964" s="1"/>
    </row>
    <row r="965" spans="1:29" x14ac:dyDescent="0.3">
      <c r="A965">
        <v>964</v>
      </c>
      <c r="E965">
        <v>-66.889680954940005</v>
      </c>
      <c r="F965">
        <v>70.799093918462006</v>
      </c>
      <c r="G965">
        <v>352.41423348843</v>
      </c>
      <c r="H965">
        <v>39.740259617264002</v>
      </c>
      <c r="I965">
        <v>-149.79300655419999</v>
      </c>
      <c r="J965">
        <v>436.52881592119002</v>
      </c>
      <c r="L965" s="1">
        <f t="shared" si="208"/>
        <v>4.5007232789999989</v>
      </c>
      <c r="M965">
        <f t="shared" si="209"/>
        <v>3450.2558341665194</v>
      </c>
      <c r="N965">
        <f t="shared" si="201"/>
        <v>9.5840439837958868</v>
      </c>
      <c r="O965">
        <f t="shared" si="202"/>
        <v>39.740259617264002</v>
      </c>
      <c r="P965">
        <f t="shared" si="203"/>
        <v>924</v>
      </c>
      <c r="Q965">
        <f t="shared" si="197"/>
        <v>80.388342935606005</v>
      </c>
      <c r="R965">
        <f t="shared" si="204"/>
        <v>80.388342935606005</v>
      </c>
      <c r="S965">
        <f t="shared" si="199"/>
        <v>81.001964347732539</v>
      </c>
      <c r="T965">
        <f t="shared" si="205"/>
        <v>81.001964347732539</v>
      </c>
      <c r="U965" s="3">
        <f t="shared" si="206"/>
        <v>436.52881592119002</v>
      </c>
      <c r="V965">
        <f t="shared" si="198"/>
        <v>879</v>
      </c>
      <c r="W965" s="8">
        <f t="shared" si="200"/>
        <v>34.667046468860008</v>
      </c>
      <c r="X965" s="1">
        <f t="shared" si="207"/>
        <v>34.667046468860008</v>
      </c>
      <c r="Y965" s="18"/>
      <c r="Z965" s="7"/>
      <c r="AA965" s="1"/>
      <c r="AB965" s="1"/>
      <c r="AC965" s="1"/>
    </row>
    <row r="966" spans="1:29" x14ac:dyDescent="0.3">
      <c r="A966">
        <v>965</v>
      </c>
      <c r="E966">
        <v>-66.831971775219998</v>
      </c>
      <c r="F966">
        <v>72.136029510399993</v>
      </c>
      <c r="G966">
        <v>349.57088686308998</v>
      </c>
      <c r="H966">
        <v>39.724570399219999</v>
      </c>
      <c r="I966">
        <v>-145.28678008919999</v>
      </c>
      <c r="J966">
        <v>436.86818135248001</v>
      </c>
      <c r="L966" s="1">
        <f t="shared" si="208"/>
        <v>4.5062264649999975</v>
      </c>
      <c r="M966">
        <f t="shared" si="209"/>
        <v>3454.7620606315195</v>
      </c>
      <c r="N966">
        <f t="shared" si="201"/>
        <v>9.5965612795319988</v>
      </c>
      <c r="O966">
        <f t="shared" si="202"/>
        <v>39.724570399219999</v>
      </c>
      <c r="P966">
        <f t="shared" si="203"/>
        <v>925</v>
      </c>
      <c r="Q966">
        <f t="shared" si="197"/>
        <v>80.379837662482998</v>
      </c>
      <c r="R966">
        <f t="shared" si="204"/>
        <v>80.379837662482998</v>
      </c>
      <c r="S966">
        <f t="shared" si="199"/>
        <v>80.970165129210628</v>
      </c>
      <c r="T966">
        <f t="shared" si="205"/>
        <v>80.970165129210628</v>
      </c>
      <c r="U966" s="3">
        <f t="shared" si="206"/>
        <v>436.86818135248001</v>
      </c>
      <c r="V966">
        <f t="shared" si="198"/>
        <v>881</v>
      </c>
      <c r="W966" s="8">
        <f t="shared" si="200"/>
        <v>33.990212715370035</v>
      </c>
      <c r="X966" s="1">
        <f t="shared" si="207"/>
        <v>33.990212715370035</v>
      </c>
      <c r="Y966" s="18"/>
      <c r="Z966" s="7"/>
      <c r="AA966" s="1"/>
      <c r="AB966" s="1"/>
      <c r="AC966" s="1"/>
    </row>
    <row r="967" spans="1:29" x14ac:dyDescent="0.3">
      <c r="A967">
        <v>966</v>
      </c>
      <c r="E967">
        <v>-66.798249835760004</v>
      </c>
      <c r="F967">
        <v>73.681551932109002</v>
      </c>
      <c r="G967">
        <v>346.83485646243997</v>
      </c>
      <c r="H967">
        <v>39.720217603175001</v>
      </c>
      <c r="I967">
        <v>-140.77565660830001</v>
      </c>
      <c r="J967">
        <v>437.18347117220998</v>
      </c>
      <c r="L967" s="1">
        <f t="shared" si="208"/>
        <v>4.5111234808999825</v>
      </c>
      <c r="M967">
        <f t="shared" si="209"/>
        <v>3459.2731841124196</v>
      </c>
      <c r="N967">
        <f t="shared" si="201"/>
        <v>9.6090921780900551</v>
      </c>
      <c r="O967">
        <f t="shared" si="202"/>
        <v>39.720217603175001</v>
      </c>
      <c r="P967">
        <f t="shared" si="203"/>
        <v>926</v>
      </c>
      <c r="Q967">
        <f t="shared" si="197"/>
        <v>80.376594543175003</v>
      </c>
      <c r="R967">
        <f t="shared" si="204"/>
        <v>80.376594543175003</v>
      </c>
      <c r="S967">
        <f t="shared" si="199"/>
        <v>80.940290207857771</v>
      </c>
      <c r="T967">
        <f t="shared" si="205"/>
        <v>80.940290207857771</v>
      </c>
      <c r="U967" s="3">
        <f t="shared" si="206"/>
        <v>437.18347117220998</v>
      </c>
      <c r="V967">
        <f t="shared" si="198"/>
        <v>882</v>
      </c>
      <c r="W967" s="8">
        <f t="shared" si="200"/>
        <v>33.795730003659969</v>
      </c>
      <c r="X967" s="1">
        <f t="shared" si="207"/>
        <v>33.795730003659969</v>
      </c>
      <c r="Y967" s="18"/>
      <c r="Z967" s="7"/>
      <c r="AA967" s="1"/>
      <c r="AB967" s="1"/>
      <c r="AC967" s="1"/>
    </row>
    <row r="968" spans="1:29" x14ac:dyDescent="0.3">
      <c r="A968">
        <v>967</v>
      </c>
      <c r="E968">
        <v>-66.726338896990001</v>
      </c>
      <c r="F968">
        <v>75.416879079691</v>
      </c>
      <c r="G968">
        <v>344.21589153932001</v>
      </c>
      <c r="H968">
        <v>39.738390854805999</v>
      </c>
      <c r="I968">
        <v>-136.2710123304</v>
      </c>
      <c r="J968">
        <v>437.53507118087998</v>
      </c>
      <c r="L968" s="1">
        <f t="shared" si="208"/>
        <v>4.5046442779000131</v>
      </c>
      <c r="M968">
        <f t="shared" si="209"/>
        <v>3463.7778283903194</v>
      </c>
      <c r="N968">
        <f t="shared" si="201"/>
        <v>9.6216050788619985</v>
      </c>
      <c r="O968">
        <f t="shared" si="202"/>
        <v>39.738390854805999</v>
      </c>
      <c r="P968">
        <f t="shared" si="203"/>
        <v>927</v>
      </c>
      <c r="Q968">
        <f t="shared" si="197"/>
        <v>80.376584236488</v>
      </c>
      <c r="R968">
        <f t="shared" si="204"/>
        <v>80.376584236488</v>
      </c>
      <c r="S968">
        <f t="shared" si="199"/>
        <v>80.918981147917052</v>
      </c>
      <c r="T968">
        <f t="shared" si="205"/>
        <v>80.918981147917052</v>
      </c>
      <c r="U968" s="3">
        <f t="shared" si="206"/>
        <v>437.53507118087998</v>
      </c>
      <c r="V968">
        <f t="shared" si="198"/>
        <v>883</v>
      </c>
      <c r="W968" s="8">
        <f t="shared" si="200"/>
        <v>33.65212766088996</v>
      </c>
      <c r="X968" s="1">
        <f t="shared" si="207"/>
        <v>33.65212766088996</v>
      </c>
      <c r="Y968" s="18"/>
      <c r="Z968" s="7"/>
      <c r="AA968" s="1"/>
      <c r="AB968" s="1"/>
      <c r="AC968" s="1"/>
    </row>
    <row r="969" spans="1:29" x14ac:dyDescent="0.3">
      <c r="A969">
        <v>968</v>
      </c>
      <c r="E969">
        <v>-66.629958676480001</v>
      </c>
      <c r="F969">
        <v>77.349168308393004</v>
      </c>
      <c r="G969">
        <v>341.73939081306003</v>
      </c>
      <c r="H969">
        <v>39.758357836739997</v>
      </c>
      <c r="I969">
        <v>-131.77190924269999</v>
      </c>
      <c r="J969">
        <v>437.90756979670999</v>
      </c>
      <c r="L969" s="1">
        <f t="shared" si="208"/>
        <v>4.4991030877000071</v>
      </c>
      <c r="M969">
        <f t="shared" si="209"/>
        <v>3468.2769314780194</v>
      </c>
      <c r="N969">
        <f t="shared" si="201"/>
        <v>9.6341025874389423</v>
      </c>
      <c r="O969">
        <f t="shared" si="202"/>
        <v>39.758357836739997</v>
      </c>
      <c r="P969">
        <f t="shared" si="203"/>
        <v>928</v>
      </c>
      <c r="Q969">
        <f t="shared" si="197"/>
        <v>80.376750772560001</v>
      </c>
      <c r="R969">
        <f t="shared" si="204"/>
        <v>80.376750772560001</v>
      </c>
      <c r="S969">
        <f t="shared" si="199"/>
        <v>80.90222883388229</v>
      </c>
      <c r="T969">
        <f t="shared" si="205"/>
        <v>80.90222883388229</v>
      </c>
      <c r="U969" s="3">
        <f t="shared" si="206"/>
        <v>437.90756979670999</v>
      </c>
      <c r="V969">
        <f t="shared" si="198"/>
        <v>884</v>
      </c>
      <c r="W969" s="8">
        <f t="shared" si="200"/>
        <v>33.503917330609966</v>
      </c>
      <c r="X969" s="1">
        <f t="shared" si="207"/>
        <v>33.503917330609966</v>
      </c>
      <c r="Y969" s="18"/>
      <c r="Z969" s="7"/>
      <c r="AA969" s="1"/>
      <c r="AB969" s="1"/>
      <c r="AC969" s="1"/>
    </row>
    <row r="970" spans="1:29" x14ac:dyDescent="0.3">
      <c r="A970">
        <v>969</v>
      </c>
      <c r="E970">
        <v>-66.560162543480004</v>
      </c>
      <c r="F970">
        <v>79.470541681805997</v>
      </c>
      <c r="G970">
        <v>339.42201620167998</v>
      </c>
      <c r="H970">
        <v>39.777013034492001</v>
      </c>
      <c r="I970">
        <v>-127.2699511574</v>
      </c>
      <c r="J970">
        <v>438.24846606479002</v>
      </c>
      <c r="L970" s="1">
        <f t="shared" si="208"/>
        <v>4.5019580852999894</v>
      </c>
      <c r="M970">
        <f t="shared" si="209"/>
        <v>3472.7788895633194</v>
      </c>
      <c r="N970">
        <f t="shared" si="201"/>
        <v>9.6466080265647758</v>
      </c>
      <c r="O970">
        <f t="shared" si="202"/>
        <v>39.777013034492001</v>
      </c>
      <c r="P970">
        <f t="shared" si="203"/>
        <v>929</v>
      </c>
      <c r="Q970">
        <f t="shared" si="197"/>
        <v>80.363855941139008</v>
      </c>
      <c r="R970">
        <f t="shared" si="204"/>
        <v>80.363855941139008</v>
      </c>
      <c r="S970">
        <f t="shared" si="199"/>
        <v>80.873675361464578</v>
      </c>
      <c r="T970">
        <f t="shared" si="205"/>
        <v>80.873675361464578</v>
      </c>
      <c r="U970" s="3">
        <f t="shared" si="206"/>
        <v>438.24846606479002</v>
      </c>
      <c r="V970">
        <f t="shared" si="198"/>
        <v>886</v>
      </c>
      <c r="W970" s="8">
        <f t="shared" si="200"/>
        <v>32.804929374510039</v>
      </c>
      <c r="X970" s="1">
        <f t="shared" si="207"/>
        <v>32.804929374510039</v>
      </c>
      <c r="Y970" s="18"/>
      <c r="Z970" s="7"/>
      <c r="AA970" s="1"/>
      <c r="AB970" s="1"/>
      <c r="AC970" s="1"/>
    </row>
    <row r="971" spans="1:29" x14ac:dyDescent="0.3">
      <c r="A971">
        <v>970</v>
      </c>
      <c r="E971">
        <v>-66.461386619999999</v>
      </c>
      <c r="F971">
        <v>81.770539181070006</v>
      </c>
      <c r="G971">
        <v>337.28249411484001</v>
      </c>
      <c r="H971">
        <v>39.788052885478002</v>
      </c>
      <c r="I971">
        <v>-122.7727074876</v>
      </c>
      <c r="J971">
        <v>438.61117630763999</v>
      </c>
      <c r="L971" s="1">
        <f t="shared" si="208"/>
        <v>4.4972436697999996</v>
      </c>
      <c r="M971">
        <f t="shared" si="209"/>
        <v>3477.2761332331193</v>
      </c>
      <c r="N971">
        <f t="shared" si="201"/>
        <v>9.6591003700919984</v>
      </c>
      <c r="O971">
        <f t="shared" si="202"/>
        <v>39.788052885478002</v>
      </c>
      <c r="P971">
        <f t="shared" si="203"/>
        <v>930</v>
      </c>
      <c r="Q971">
        <f t="shared" si="197"/>
        <v>80.351634065446007</v>
      </c>
      <c r="R971">
        <f t="shared" si="204"/>
        <v>80.351634065446007</v>
      </c>
      <c r="S971">
        <f t="shared" si="199"/>
        <v>80.852691215634366</v>
      </c>
      <c r="T971">
        <f t="shared" si="205"/>
        <v>80.852691215634366</v>
      </c>
      <c r="U971" s="3">
        <f t="shared" si="206"/>
        <v>438.61117630763999</v>
      </c>
      <c r="V971">
        <f t="shared" si="198"/>
        <v>887</v>
      </c>
      <c r="W971" s="8">
        <f t="shared" si="200"/>
        <v>32.630961719449999</v>
      </c>
      <c r="X971" s="1">
        <f t="shared" si="207"/>
        <v>32.630961719449999</v>
      </c>
      <c r="Y971" s="18"/>
      <c r="Z971" s="7"/>
      <c r="AA971" s="1"/>
      <c r="AB971" s="1"/>
      <c r="AC971" s="1"/>
    </row>
    <row r="972" spans="1:29" x14ac:dyDescent="0.3">
      <c r="A972">
        <v>971</v>
      </c>
      <c r="E972">
        <v>-66.358797566039996</v>
      </c>
      <c r="F972">
        <v>84.207954667178996</v>
      </c>
      <c r="G972">
        <v>335.30138484189001</v>
      </c>
      <c r="H972">
        <v>39.834316919815002</v>
      </c>
      <c r="I972">
        <v>-118.2788358303</v>
      </c>
      <c r="J972">
        <v>438.97053087916998</v>
      </c>
      <c r="L972" s="1">
        <f t="shared" si="208"/>
        <v>4.493871657300005</v>
      </c>
      <c r="M972">
        <f t="shared" si="209"/>
        <v>3481.7700048904194</v>
      </c>
      <c r="N972">
        <f t="shared" si="201"/>
        <v>9.6715833469178314</v>
      </c>
      <c r="O972">
        <f t="shared" si="202"/>
        <v>39.834316919815002</v>
      </c>
      <c r="P972">
        <f t="shared" si="203"/>
        <v>931</v>
      </c>
      <c r="Q972">
        <f t="shared" si="197"/>
        <v>80.403344431354</v>
      </c>
      <c r="R972">
        <f t="shared" si="204"/>
        <v>80.403344431354</v>
      </c>
      <c r="S972">
        <f t="shared" si="199"/>
        <v>80.899016655031943</v>
      </c>
      <c r="T972">
        <f t="shared" si="205"/>
        <v>80.899016655031943</v>
      </c>
      <c r="U972" s="3">
        <f t="shared" si="206"/>
        <v>438.97053087916998</v>
      </c>
      <c r="V972">
        <f t="shared" si="198"/>
        <v>888</v>
      </c>
      <c r="W972" s="8">
        <f t="shared" si="200"/>
        <v>32.466636626189995</v>
      </c>
      <c r="X972" s="1">
        <f t="shared" si="207"/>
        <v>32.466636626189995</v>
      </c>
      <c r="Y972" s="18"/>
      <c r="Z972" s="7"/>
      <c r="AA972" s="1"/>
      <c r="AB972" s="1"/>
      <c r="AC972" s="1"/>
    </row>
    <row r="973" spans="1:29" x14ac:dyDescent="0.3">
      <c r="A973">
        <v>972</v>
      </c>
      <c r="E973">
        <v>-66.217041649760006</v>
      </c>
      <c r="F973">
        <v>86.783655296527002</v>
      </c>
      <c r="G973">
        <v>333.50648374709999</v>
      </c>
      <c r="H973">
        <v>39.891577245968001</v>
      </c>
      <c r="I973">
        <v>-113.7962543455</v>
      </c>
      <c r="J973">
        <v>439.35954763018998</v>
      </c>
      <c r="L973" s="1">
        <f t="shared" si="208"/>
        <v>4.4825814847999936</v>
      </c>
      <c r="M973">
        <f t="shared" si="209"/>
        <v>3486.2525863752194</v>
      </c>
      <c r="N973">
        <f t="shared" si="201"/>
        <v>9.6840349621533868</v>
      </c>
      <c r="O973">
        <f t="shared" si="202"/>
        <v>39.891577245968001</v>
      </c>
      <c r="P973">
        <f t="shared" si="203"/>
        <v>932</v>
      </c>
      <c r="Q973">
        <f t="shared" si="197"/>
        <v>80.466481935182003</v>
      </c>
      <c r="R973">
        <f t="shared" si="204"/>
        <v>80.466481935182003</v>
      </c>
      <c r="S973">
        <f t="shared" si="199"/>
        <v>80.962827310371836</v>
      </c>
      <c r="T973">
        <f t="shared" si="205"/>
        <v>80.962827310371836</v>
      </c>
      <c r="U973" s="3">
        <f t="shared" si="206"/>
        <v>439.35954763018998</v>
      </c>
      <c r="V973">
        <f t="shared" si="198"/>
        <v>889</v>
      </c>
      <c r="W973" s="8">
        <f t="shared" si="200"/>
        <v>32.320563037910006</v>
      </c>
      <c r="X973" s="1">
        <f t="shared" si="207"/>
        <v>32.320563037910006</v>
      </c>
      <c r="Y973" s="18"/>
      <c r="Z973" s="7"/>
      <c r="AA973" s="1"/>
      <c r="AB973" s="1"/>
      <c r="AC973" s="1"/>
    </row>
    <row r="974" spans="1:29" x14ac:dyDescent="0.3">
      <c r="A974">
        <v>973</v>
      </c>
      <c r="E974">
        <v>-66.086934232869993</v>
      </c>
      <c r="F974">
        <v>89.497005125616994</v>
      </c>
      <c r="G974">
        <v>331.92639195513999</v>
      </c>
      <c r="H974">
        <v>39.938530509768</v>
      </c>
      <c r="I974">
        <v>-109.3152631423</v>
      </c>
      <c r="J974">
        <v>439.72529781175001</v>
      </c>
      <c r="L974" s="1">
        <f t="shared" si="208"/>
        <v>4.4809912032000057</v>
      </c>
      <c r="M974">
        <f t="shared" si="209"/>
        <v>3490.7335775784195</v>
      </c>
      <c r="N974">
        <f t="shared" si="201"/>
        <v>9.6964821599400537</v>
      </c>
      <c r="O974">
        <f t="shared" si="202"/>
        <v>39.938530509768</v>
      </c>
      <c r="P974">
        <f t="shared" si="203"/>
        <v>933</v>
      </c>
      <c r="Q974">
        <f t="shared" si="197"/>
        <v>80.509396014949004</v>
      </c>
      <c r="R974">
        <f t="shared" si="204"/>
        <v>80.509396014949004</v>
      </c>
      <c r="S974">
        <f t="shared" si="199"/>
        <v>81.006132239347693</v>
      </c>
      <c r="T974">
        <f t="shared" si="205"/>
        <v>81.006132239347693</v>
      </c>
      <c r="U974" s="3">
        <f t="shared" si="206"/>
        <v>439.72529781175001</v>
      </c>
      <c r="V974">
        <f t="shared" si="198"/>
        <v>890</v>
      </c>
      <c r="W974" s="8">
        <f t="shared" si="200"/>
        <v>32.167319600009989</v>
      </c>
      <c r="X974" s="1">
        <f t="shared" si="207"/>
        <v>32.167319600009989</v>
      </c>
      <c r="Y974" s="18"/>
      <c r="Z974" s="7"/>
      <c r="AA974" s="1"/>
      <c r="AB974" s="1"/>
      <c r="AC974" s="1"/>
    </row>
    <row r="975" spans="1:29" x14ac:dyDescent="0.3">
      <c r="A975">
        <v>974</v>
      </c>
      <c r="E975">
        <v>-65.941379564350001</v>
      </c>
      <c r="F975">
        <v>92.323761629751004</v>
      </c>
      <c r="G975">
        <v>330.56094109733999</v>
      </c>
      <c r="H975">
        <v>39.986123855624001</v>
      </c>
      <c r="I975">
        <v>-104.8399832481</v>
      </c>
      <c r="J975">
        <v>440.09380298686</v>
      </c>
      <c r="L975" s="1">
        <f t="shared" si="208"/>
        <v>4.4752798941999998</v>
      </c>
      <c r="M975">
        <f t="shared" si="209"/>
        <v>3495.2088574726195</v>
      </c>
      <c r="N975">
        <f t="shared" si="201"/>
        <v>9.708913492979498</v>
      </c>
      <c r="O975">
        <f t="shared" si="202"/>
        <v>39.986123855624001</v>
      </c>
      <c r="P975">
        <f t="shared" si="203"/>
        <v>934</v>
      </c>
      <c r="Q975">
        <f t="shared" si="197"/>
        <v>80.540926808376</v>
      </c>
      <c r="R975">
        <f t="shared" si="204"/>
        <v>80.540926808376</v>
      </c>
      <c r="S975">
        <f t="shared" si="199"/>
        <v>81.041583967837269</v>
      </c>
      <c r="T975">
        <f t="shared" si="205"/>
        <v>81.041583967837269</v>
      </c>
      <c r="U975" s="3">
        <f t="shared" si="206"/>
        <v>440.09380298686</v>
      </c>
      <c r="V975">
        <f t="shared" si="198"/>
        <v>892</v>
      </c>
      <c r="W975" s="8">
        <f t="shared" si="200"/>
        <v>31.459444505640022</v>
      </c>
      <c r="X975" s="1">
        <f t="shared" si="207"/>
        <v>31.459444505640022</v>
      </c>
      <c r="Y975" s="18"/>
      <c r="Z975" s="7"/>
      <c r="AA975" s="1"/>
      <c r="AB975" s="1"/>
      <c r="AC975" s="1"/>
    </row>
    <row r="976" spans="1:29" x14ac:dyDescent="0.3">
      <c r="A976">
        <v>975</v>
      </c>
      <c r="E976">
        <v>-65.791009950459994</v>
      </c>
      <c r="F976">
        <v>95.242562989963005</v>
      </c>
      <c r="G976">
        <v>329.40570297795</v>
      </c>
      <c r="H976">
        <v>40.047992050201003</v>
      </c>
      <c r="I976">
        <v>-100.3696999008</v>
      </c>
      <c r="J976">
        <v>440.45396665904002</v>
      </c>
      <c r="L976" s="1">
        <f t="shared" si="208"/>
        <v>4.470283347299997</v>
      </c>
      <c r="M976">
        <f t="shared" si="209"/>
        <v>3499.6791408199197</v>
      </c>
      <c r="N976">
        <f t="shared" si="201"/>
        <v>9.7213309467219986</v>
      </c>
      <c r="O976">
        <f t="shared" si="202"/>
        <v>40.047992050201003</v>
      </c>
      <c r="P976">
        <f t="shared" si="203"/>
        <v>935</v>
      </c>
      <c r="Q976">
        <f t="shared" si="197"/>
        <v>80.594454782467011</v>
      </c>
      <c r="R976">
        <f t="shared" si="204"/>
        <v>80.594454782467011</v>
      </c>
      <c r="S976">
        <f t="shared" si="199"/>
        <v>81.101806392856773</v>
      </c>
      <c r="T976">
        <f t="shared" si="205"/>
        <v>81.101806392856773</v>
      </c>
      <c r="U976" s="3">
        <f t="shared" si="206"/>
        <v>440.45396665904002</v>
      </c>
      <c r="V976">
        <f t="shared" si="198"/>
        <v>893</v>
      </c>
      <c r="W976" s="8">
        <f t="shared" si="200"/>
        <v>31.275616301219998</v>
      </c>
      <c r="X976" s="1">
        <f t="shared" si="207"/>
        <v>31.275616301219998</v>
      </c>
      <c r="Y976" s="18"/>
      <c r="Z976" s="7"/>
      <c r="AA976" s="1"/>
      <c r="AB976" s="1"/>
      <c r="AC976" s="1"/>
    </row>
    <row r="977" spans="1:29" x14ac:dyDescent="0.3">
      <c r="A977">
        <v>976</v>
      </c>
      <c r="E977">
        <v>-65.629500076940005</v>
      </c>
      <c r="F977">
        <v>98.244101314405995</v>
      </c>
      <c r="G977">
        <v>328.48895758992001</v>
      </c>
      <c r="H977">
        <v>40.100600309568001</v>
      </c>
      <c r="I977">
        <v>-95.904988122779997</v>
      </c>
      <c r="J977">
        <v>440.80944593298</v>
      </c>
      <c r="L977" s="1">
        <f t="shared" si="208"/>
        <v>4.4647117780200034</v>
      </c>
      <c r="M977">
        <f t="shared" si="209"/>
        <v>3504.1438525979397</v>
      </c>
      <c r="N977">
        <f t="shared" si="201"/>
        <v>9.7337329238831654</v>
      </c>
      <c r="O977">
        <f t="shared" si="202"/>
        <v>40.100600309568001</v>
      </c>
      <c r="P977">
        <f t="shared" si="203"/>
        <v>936</v>
      </c>
      <c r="Q977">
        <f t="shared" si="197"/>
        <v>80.636998657654999</v>
      </c>
      <c r="R977">
        <f t="shared" si="204"/>
        <v>80.636998657654999</v>
      </c>
      <c r="S977">
        <f t="shared" si="199"/>
        <v>81.153520687674487</v>
      </c>
      <c r="T977">
        <f t="shared" si="205"/>
        <v>81.153520687674487</v>
      </c>
      <c r="U977" s="3">
        <f t="shared" si="206"/>
        <v>440.80944593298</v>
      </c>
      <c r="V977">
        <f t="shared" si="198"/>
        <v>894</v>
      </c>
      <c r="W977" s="8">
        <f t="shared" si="200"/>
        <v>31.087795006459999</v>
      </c>
      <c r="X977" s="1">
        <f t="shared" si="207"/>
        <v>31.087795006459999</v>
      </c>
      <c r="Y977" s="18"/>
      <c r="Z977" s="7"/>
      <c r="AA977" s="1"/>
      <c r="AB977" s="1"/>
      <c r="AC977" s="1"/>
    </row>
    <row r="978" spans="1:29" x14ac:dyDescent="0.3">
      <c r="A978">
        <v>977</v>
      </c>
      <c r="E978">
        <v>-65.455166365970001</v>
      </c>
      <c r="F978">
        <v>101.30978982972999</v>
      </c>
      <c r="G978">
        <v>327.82063881200997</v>
      </c>
      <c r="H978">
        <v>40.139494583092002</v>
      </c>
      <c r="I978">
        <v>-91.444404832659998</v>
      </c>
      <c r="J978">
        <v>441.16037115571999</v>
      </c>
      <c r="L978" s="1">
        <f t="shared" si="208"/>
        <v>4.4605832901199989</v>
      </c>
      <c r="M978">
        <f t="shared" si="209"/>
        <v>3508.6044358880599</v>
      </c>
      <c r="N978">
        <f t="shared" si="201"/>
        <v>9.7461234330223885</v>
      </c>
      <c r="O978">
        <f t="shared" si="202"/>
        <v>40.139494583092002</v>
      </c>
      <c r="P978">
        <f t="shared" si="203"/>
        <v>937</v>
      </c>
      <c r="Q978">
        <f t="shared" ref="Q978:Q1001" si="210">IF(P978=0,0,O978+INDEX(O:O,P978))</f>
        <v>80.65628111112801</v>
      </c>
      <c r="R978">
        <f t="shared" si="204"/>
        <v>80.65628111112801</v>
      </c>
      <c r="S978">
        <f t="shared" si="199"/>
        <v>81.184390723531465</v>
      </c>
      <c r="T978">
        <f t="shared" si="205"/>
        <v>81.184390723531465</v>
      </c>
      <c r="U978" s="3">
        <f t="shared" si="206"/>
        <v>441.16037115571999</v>
      </c>
      <c r="V978">
        <f t="shared" si="198"/>
        <v>895</v>
      </c>
      <c r="W978" s="8">
        <f t="shared" si="200"/>
        <v>30.88485232119001</v>
      </c>
      <c r="X978" s="1">
        <f t="shared" si="207"/>
        <v>30.88485232119001</v>
      </c>
      <c r="Y978" s="18"/>
      <c r="Z978" s="7"/>
      <c r="AA978" s="1"/>
      <c r="AB978" s="1"/>
      <c r="AC978" s="1"/>
    </row>
    <row r="979" spans="1:29" x14ac:dyDescent="0.3">
      <c r="A979">
        <v>978</v>
      </c>
      <c r="E979">
        <v>-65.270800733740003</v>
      </c>
      <c r="F979">
        <v>104.41867734583001</v>
      </c>
      <c r="G979">
        <v>327.40104122766002</v>
      </c>
      <c r="H979">
        <v>40.168903436390998</v>
      </c>
      <c r="I979">
        <v>-86.986226446079996</v>
      </c>
      <c r="J979">
        <v>441.50309255214</v>
      </c>
      <c r="L979" s="1">
        <f t="shared" si="208"/>
        <v>4.458178386580002</v>
      </c>
      <c r="M979">
        <f t="shared" si="209"/>
        <v>3513.0626142746401</v>
      </c>
      <c r="N979">
        <f t="shared" si="201"/>
        <v>9.7585072618739996</v>
      </c>
      <c r="O979">
        <f t="shared" si="202"/>
        <v>40.168903436390998</v>
      </c>
      <c r="P979">
        <f t="shared" si="203"/>
        <v>938</v>
      </c>
      <c r="Q979">
        <f t="shared" si="210"/>
        <v>80.653212732908003</v>
      </c>
      <c r="R979">
        <f t="shared" si="204"/>
        <v>80.653212732908003</v>
      </c>
      <c r="S979">
        <f t="shared" si="199"/>
        <v>81.196316269471865</v>
      </c>
      <c r="T979">
        <f t="shared" si="205"/>
        <v>81.196316269471865</v>
      </c>
      <c r="U979" s="3">
        <f t="shared" si="206"/>
        <v>441.50309255214</v>
      </c>
      <c r="V979">
        <f t="shared" si="198"/>
        <v>896</v>
      </c>
      <c r="W979" s="8">
        <f t="shared" si="200"/>
        <v>30.674481860849994</v>
      </c>
      <c r="X979" s="1">
        <f t="shared" si="207"/>
        <v>30.674481860849994</v>
      </c>
      <c r="Y979" s="18"/>
      <c r="Z979" s="7"/>
      <c r="AA979" s="1"/>
      <c r="AB979" s="1"/>
      <c r="AC979" s="1"/>
    </row>
    <row r="980" spans="1:29" x14ac:dyDescent="0.3">
      <c r="A980">
        <v>979</v>
      </c>
      <c r="E980">
        <v>-65.09277316491</v>
      </c>
      <c r="F980">
        <v>107.55212153606</v>
      </c>
      <c r="G980">
        <v>327.24116451385999</v>
      </c>
      <c r="H980">
        <v>40.181835863223</v>
      </c>
      <c r="I980">
        <v>-82.526191301669996</v>
      </c>
      <c r="J980">
        <v>441.81967208319998</v>
      </c>
      <c r="L980" s="1">
        <f t="shared" si="208"/>
        <v>4.4600351444099999</v>
      </c>
      <c r="M980">
        <f t="shared" si="209"/>
        <v>3517.5226494190501</v>
      </c>
      <c r="N980">
        <f t="shared" si="201"/>
        <v>9.7708962483862507</v>
      </c>
      <c r="O980">
        <f t="shared" si="202"/>
        <v>40.181835863223</v>
      </c>
      <c r="P980">
        <f t="shared" si="203"/>
        <v>939</v>
      </c>
      <c r="Q980">
        <f t="shared" si="210"/>
        <v>80.644314882388997</v>
      </c>
      <c r="R980">
        <f t="shared" si="204"/>
        <v>80.644314882388997</v>
      </c>
      <c r="S980">
        <f t="shared" si="199"/>
        <v>81.202250725758319</v>
      </c>
      <c r="T980">
        <f t="shared" si="205"/>
        <v>81.202250725758319</v>
      </c>
      <c r="U980" s="3">
        <f t="shared" si="206"/>
        <v>441.81967208319998</v>
      </c>
      <c r="V980">
        <f t="shared" si="198"/>
        <v>897</v>
      </c>
      <c r="W980" s="8">
        <f t="shared" si="200"/>
        <v>30.451840498460001</v>
      </c>
      <c r="X980" s="1">
        <f t="shared" si="207"/>
        <v>30.451840498460001</v>
      </c>
      <c r="Y980" s="18"/>
      <c r="Z980" s="7"/>
      <c r="AA980" s="1"/>
      <c r="AB980" s="1"/>
      <c r="AC980" s="1"/>
    </row>
    <row r="981" spans="1:29" x14ac:dyDescent="0.3">
      <c r="A981">
        <v>980</v>
      </c>
      <c r="E981">
        <v>-64.909169613830002</v>
      </c>
      <c r="F981">
        <v>110.6878916519</v>
      </c>
      <c r="G981">
        <v>327.34148815662002</v>
      </c>
      <c r="H981">
        <v>40.178361058046001</v>
      </c>
      <c r="I981">
        <v>-78.064249831980007</v>
      </c>
      <c r="J981">
        <v>442.12104012703998</v>
      </c>
      <c r="L981" s="1">
        <f t="shared" si="208"/>
        <v>4.4619414696899895</v>
      </c>
      <c r="M981">
        <f t="shared" si="209"/>
        <v>3521.9845908887401</v>
      </c>
      <c r="N981">
        <f t="shared" si="201"/>
        <v>9.7832905302465001</v>
      </c>
      <c r="O981">
        <f t="shared" si="202"/>
        <v>40.178361058046001</v>
      </c>
      <c r="P981">
        <f t="shared" si="203"/>
        <v>940</v>
      </c>
      <c r="Q981">
        <f t="shared" si="210"/>
        <v>80.616892883479011</v>
      </c>
      <c r="R981">
        <f t="shared" si="204"/>
        <v>80.616892883479011</v>
      </c>
      <c r="S981">
        <f t="shared" si="199"/>
        <v>81.190588202329963</v>
      </c>
      <c r="T981">
        <f t="shared" si="205"/>
        <v>81.190588202329963</v>
      </c>
      <c r="U981" s="3">
        <f t="shared" si="206"/>
        <v>442.12104012703998</v>
      </c>
      <c r="V981">
        <f t="shared" si="198"/>
        <v>898</v>
      </c>
      <c r="W981" s="8">
        <f t="shared" si="200"/>
        <v>30.198090264949997</v>
      </c>
      <c r="X981" s="1">
        <f t="shared" si="207"/>
        <v>30.198090264949997</v>
      </c>
      <c r="Y981" s="18"/>
      <c r="Z981" s="7"/>
      <c r="AA981" s="1"/>
      <c r="AB981" s="1"/>
      <c r="AC981" s="1"/>
    </row>
    <row r="982" spans="1:29" x14ac:dyDescent="0.3">
      <c r="A982">
        <v>981</v>
      </c>
      <c r="E982">
        <v>-64.686109735399995</v>
      </c>
      <c r="F982">
        <v>113.80118671907999</v>
      </c>
      <c r="G982">
        <v>327.70592871240001</v>
      </c>
      <c r="H982">
        <v>40.150869387855003</v>
      </c>
      <c r="I982">
        <v>-73.603570055060004</v>
      </c>
      <c r="J982">
        <v>442.43962545773002</v>
      </c>
      <c r="L982" s="1">
        <f t="shared" si="208"/>
        <v>4.4606797769200028</v>
      </c>
      <c r="M982">
        <f t="shared" si="209"/>
        <v>3526.4452706656602</v>
      </c>
      <c r="N982">
        <f t="shared" si="201"/>
        <v>9.7956813074046121</v>
      </c>
      <c r="O982">
        <f t="shared" si="202"/>
        <v>40.150869387855003</v>
      </c>
      <c r="P982">
        <f t="shared" si="203"/>
        <v>941</v>
      </c>
      <c r="Q982">
        <f t="shared" si="210"/>
        <v>80.563545941629002</v>
      </c>
      <c r="R982">
        <f t="shared" si="204"/>
        <v>80.563545941629002</v>
      </c>
      <c r="S982">
        <f t="shared" si="199"/>
        <v>81.157072097616876</v>
      </c>
      <c r="T982">
        <f t="shared" si="205"/>
        <v>81.157072097616876</v>
      </c>
      <c r="U982" s="3">
        <f t="shared" si="206"/>
        <v>442.43962545773002</v>
      </c>
      <c r="V982">
        <f t="shared" si="198"/>
        <v>900</v>
      </c>
      <c r="W982" s="8">
        <f t="shared" si="200"/>
        <v>29.396363300500013</v>
      </c>
      <c r="X982" s="1">
        <f t="shared" si="207"/>
        <v>29.396363300500013</v>
      </c>
      <c r="Y982" s="18"/>
      <c r="Z982" s="7"/>
      <c r="AA982" s="1"/>
      <c r="AB982" s="1"/>
      <c r="AC982" s="1"/>
    </row>
    <row r="983" spans="1:29" x14ac:dyDescent="0.3">
      <c r="A983">
        <v>982</v>
      </c>
      <c r="E983">
        <v>-64.454197694160001</v>
      </c>
      <c r="F983">
        <v>116.87308114528</v>
      </c>
      <c r="G983">
        <v>328.32728314936003</v>
      </c>
      <c r="H983">
        <v>40.106860588814001</v>
      </c>
      <c r="I983">
        <v>-69.136987997190005</v>
      </c>
      <c r="J983">
        <v>442.74476107982002</v>
      </c>
      <c r="L983" s="1">
        <f t="shared" si="208"/>
        <v>4.4665820578699993</v>
      </c>
      <c r="M983">
        <f t="shared" si="209"/>
        <v>3530.91185272353</v>
      </c>
      <c r="N983">
        <f t="shared" si="201"/>
        <v>9.8080884797875836</v>
      </c>
      <c r="O983">
        <f t="shared" si="202"/>
        <v>40.106860588814001</v>
      </c>
      <c r="P983">
        <f t="shared" si="203"/>
        <v>942</v>
      </c>
      <c r="Q983">
        <f t="shared" si="210"/>
        <v>80.494993110439992</v>
      </c>
      <c r="R983">
        <f t="shared" si="204"/>
        <v>80.494993110439992</v>
      </c>
      <c r="S983">
        <f t="shared" si="199"/>
        <v>81.110561794330835</v>
      </c>
      <c r="T983">
        <f t="shared" si="205"/>
        <v>81.110561794330835</v>
      </c>
      <c r="U983" s="3">
        <f t="shared" si="206"/>
        <v>442.74476107982002</v>
      </c>
      <c r="V983">
        <f t="shared" si="198"/>
        <v>901</v>
      </c>
      <c r="W983" s="8">
        <f t="shared" si="200"/>
        <v>29.138788649840023</v>
      </c>
      <c r="X983" s="1">
        <f t="shared" si="207"/>
        <v>29.138788649840023</v>
      </c>
      <c r="Y983" s="18"/>
      <c r="Z983" s="7"/>
      <c r="AA983" s="1"/>
      <c r="AB983" s="1"/>
      <c r="AC983" s="1"/>
    </row>
    <row r="984" spans="1:29" x14ac:dyDescent="0.3">
      <c r="A984">
        <v>983</v>
      </c>
      <c r="E984">
        <v>-64.238137711410005</v>
      </c>
      <c r="F984">
        <v>119.88727147803</v>
      </c>
      <c r="G984">
        <v>329.18997187587001</v>
      </c>
      <c r="H984">
        <v>40.06119368105</v>
      </c>
      <c r="I984">
        <v>-64.66056874006</v>
      </c>
      <c r="J984">
        <v>443.01243345354999</v>
      </c>
      <c r="L984" s="1">
        <f t="shared" si="208"/>
        <v>4.4764192571300043</v>
      </c>
      <c r="M984">
        <f t="shared" si="209"/>
        <v>3535.3882719806602</v>
      </c>
      <c r="N984">
        <f t="shared" si="201"/>
        <v>9.8205229777240568</v>
      </c>
      <c r="O984">
        <f t="shared" si="202"/>
        <v>40.06119368105</v>
      </c>
      <c r="P984">
        <f t="shared" si="203"/>
        <v>943</v>
      </c>
      <c r="Q984">
        <f t="shared" si="210"/>
        <v>80.417392297893997</v>
      </c>
      <c r="R984">
        <f t="shared" si="204"/>
        <v>80.417392297893997</v>
      </c>
      <c r="S984">
        <f t="shared" si="199"/>
        <v>81.053714350342375</v>
      </c>
      <c r="T984">
        <f t="shared" si="205"/>
        <v>81.053714350342375</v>
      </c>
      <c r="U984" s="3">
        <f t="shared" si="206"/>
        <v>443.01243345354999</v>
      </c>
      <c r="V984">
        <f t="shared" si="198"/>
        <v>902</v>
      </c>
      <c r="W984" s="8">
        <f t="shared" si="200"/>
        <v>28.836876400899996</v>
      </c>
      <c r="X984" s="1">
        <f t="shared" si="207"/>
        <v>28.836876400899996</v>
      </c>
      <c r="Y984" s="18"/>
      <c r="Z984" s="7"/>
      <c r="AA984" s="1"/>
      <c r="AB984" s="1"/>
      <c r="AC984" s="1"/>
    </row>
    <row r="985" spans="1:29" x14ac:dyDescent="0.3">
      <c r="A985">
        <v>984</v>
      </c>
      <c r="E985">
        <v>-63.999760550639998</v>
      </c>
      <c r="F985">
        <v>122.81453171426</v>
      </c>
      <c r="G985">
        <v>330.30811256938</v>
      </c>
      <c r="H985">
        <v>39.989477056928997</v>
      </c>
      <c r="I985">
        <v>-60.178144166119999</v>
      </c>
      <c r="J985">
        <v>443.27834659075</v>
      </c>
      <c r="L985" s="1">
        <f t="shared" si="208"/>
        <v>4.4824245739400013</v>
      </c>
      <c r="M985">
        <f t="shared" si="209"/>
        <v>3539.8706965546003</v>
      </c>
      <c r="N985">
        <f t="shared" si="201"/>
        <v>9.8329741570961122</v>
      </c>
      <c r="O985">
        <f t="shared" si="202"/>
        <v>39.989477056928997</v>
      </c>
      <c r="P985">
        <f t="shared" si="203"/>
        <v>944</v>
      </c>
      <c r="Q985">
        <f t="shared" si="210"/>
        <v>80.337496110082995</v>
      </c>
      <c r="R985">
        <f t="shared" si="204"/>
        <v>80.337496110082995</v>
      </c>
      <c r="S985">
        <f t="shared" si="199"/>
        <v>80.994414849362258</v>
      </c>
      <c r="T985">
        <f t="shared" si="205"/>
        <v>80.994414849362258</v>
      </c>
      <c r="U985" s="3">
        <f t="shared" si="206"/>
        <v>443.27834659075</v>
      </c>
      <c r="V985">
        <f t="shared" si="198"/>
        <v>903</v>
      </c>
      <c r="W985" s="8">
        <f t="shared" si="200"/>
        <v>28.523573941479981</v>
      </c>
      <c r="X985" s="1">
        <f t="shared" si="207"/>
        <v>28.523573941479981</v>
      </c>
      <c r="Y985" s="18"/>
      <c r="Z985" s="7"/>
      <c r="AA985" s="1"/>
      <c r="AB985" s="1"/>
      <c r="AC985" s="1"/>
    </row>
    <row r="986" spans="1:29" x14ac:dyDescent="0.3">
      <c r="A986">
        <v>985</v>
      </c>
      <c r="E986">
        <v>-63.760207701299997</v>
      </c>
      <c r="F986">
        <v>125.6477146077</v>
      </c>
      <c r="G986">
        <v>331.64659005023998</v>
      </c>
      <c r="H986">
        <v>39.924270380661</v>
      </c>
      <c r="I986">
        <v>-55.685472255329998</v>
      </c>
      <c r="J986">
        <v>443.52397087627003</v>
      </c>
      <c r="L986" s="1">
        <f t="shared" si="208"/>
        <v>4.4926719107900013</v>
      </c>
      <c r="M986">
        <f t="shared" si="209"/>
        <v>3544.3633684653901</v>
      </c>
      <c r="N986">
        <f t="shared" si="201"/>
        <v>9.8454538012927504</v>
      </c>
      <c r="O986">
        <f t="shared" si="202"/>
        <v>39.924270380661</v>
      </c>
      <c r="P986">
        <f t="shared" si="203"/>
        <v>945</v>
      </c>
      <c r="Q986">
        <f t="shared" si="210"/>
        <v>80.260208941483995</v>
      </c>
      <c r="R986">
        <f t="shared" si="204"/>
        <v>80.260208941483995</v>
      </c>
      <c r="S986">
        <f t="shared" si="199"/>
        <v>80.937610337450707</v>
      </c>
      <c r="T986">
        <f t="shared" si="205"/>
        <v>80.937610337450707</v>
      </c>
      <c r="U986" s="3">
        <f t="shared" si="206"/>
        <v>443.52397087627003</v>
      </c>
      <c r="V986">
        <f t="shared" si="198"/>
        <v>904</v>
      </c>
      <c r="W986" s="8">
        <f t="shared" si="200"/>
        <v>28.207914163660007</v>
      </c>
      <c r="X986" s="1">
        <f t="shared" si="207"/>
        <v>28.207914163660007</v>
      </c>
      <c r="Y986" s="18"/>
      <c r="Z986" s="7"/>
      <c r="AA986" s="1"/>
      <c r="AB986" s="1"/>
      <c r="AC986" s="1"/>
    </row>
    <row r="987" spans="1:29" x14ac:dyDescent="0.3">
      <c r="A987">
        <v>986</v>
      </c>
      <c r="E987">
        <v>-63.528254390809998</v>
      </c>
      <c r="F987">
        <v>128.37088864930001</v>
      </c>
      <c r="G987">
        <v>333.19800690449</v>
      </c>
      <c r="H987">
        <v>39.866981871862997</v>
      </c>
      <c r="I987">
        <v>-51.182471457769999</v>
      </c>
      <c r="J987">
        <v>443.74051657071999</v>
      </c>
      <c r="L987" s="1">
        <f t="shared" si="208"/>
        <v>4.5030007975599986</v>
      </c>
      <c r="M987">
        <f t="shared" si="209"/>
        <v>3548.8663692629502</v>
      </c>
      <c r="N987">
        <f t="shared" si="201"/>
        <v>9.8579621368415289</v>
      </c>
      <c r="O987">
        <f t="shared" si="202"/>
        <v>39.866981871862997</v>
      </c>
      <c r="P987">
        <f t="shared" si="203"/>
        <v>946</v>
      </c>
      <c r="Q987">
        <f t="shared" si="210"/>
        <v>80.183100251412</v>
      </c>
      <c r="R987">
        <f t="shared" si="204"/>
        <v>80.183100251412</v>
      </c>
      <c r="S987">
        <f t="shared" si="199"/>
        <v>80.876055346093651</v>
      </c>
      <c r="T987">
        <f t="shared" si="205"/>
        <v>80.876055346093651</v>
      </c>
      <c r="U987" s="3">
        <f t="shared" si="206"/>
        <v>443.74051657071999</v>
      </c>
      <c r="V987">
        <f t="shared" si="198"/>
        <v>905</v>
      </c>
      <c r="W987" s="8">
        <f t="shared" si="200"/>
        <v>27.837900419739981</v>
      </c>
      <c r="X987" s="1">
        <f t="shared" si="207"/>
        <v>27.837900419739981</v>
      </c>
      <c r="Y987" s="18"/>
      <c r="Z987" s="7"/>
      <c r="AA987" s="1"/>
      <c r="AB987" s="1"/>
      <c r="AC987" s="1"/>
    </row>
    <row r="988" spans="1:29" x14ac:dyDescent="0.3">
      <c r="A988">
        <v>987</v>
      </c>
      <c r="E988">
        <v>-63.274340198890002</v>
      </c>
      <c r="F988">
        <v>130.9545619914</v>
      </c>
      <c r="G988">
        <v>334.96882615794999</v>
      </c>
      <c r="H988">
        <v>39.795280322535</v>
      </c>
      <c r="I988">
        <v>-46.672636573090003</v>
      </c>
      <c r="J988">
        <v>443.95571651457999</v>
      </c>
      <c r="L988" s="1">
        <f t="shared" si="208"/>
        <v>4.5098348846799965</v>
      </c>
      <c r="M988">
        <f t="shared" si="209"/>
        <v>3553.3762041476302</v>
      </c>
      <c r="N988">
        <f t="shared" si="201"/>
        <v>9.8704894559656395</v>
      </c>
      <c r="O988">
        <f t="shared" si="202"/>
        <v>39.795280322535</v>
      </c>
      <c r="P988">
        <f t="shared" si="203"/>
        <v>947</v>
      </c>
      <c r="Q988">
        <f t="shared" si="210"/>
        <v>80.103063044077999</v>
      </c>
      <c r="R988">
        <f t="shared" si="204"/>
        <v>80.103063044077999</v>
      </c>
      <c r="S988">
        <f t="shared" si="199"/>
        <v>80.811685673397776</v>
      </c>
      <c r="T988">
        <f t="shared" si="205"/>
        <v>80.811685673397776</v>
      </c>
      <c r="U988" s="3">
        <f t="shared" si="206"/>
        <v>443.95571651457999</v>
      </c>
      <c r="V988">
        <f t="shared" si="198"/>
        <v>906</v>
      </c>
      <c r="W988" s="8">
        <f t="shared" si="200"/>
        <v>27.48364672872998</v>
      </c>
      <c r="X988" s="1">
        <f t="shared" si="207"/>
        <v>27.48364672872998</v>
      </c>
      <c r="Y988" s="18"/>
      <c r="Z988" s="7"/>
      <c r="AA988" s="1"/>
      <c r="AB988" s="1"/>
      <c r="AC988" s="1"/>
    </row>
    <row r="989" spans="1:29" x14ac:dyDescent="0.3">
      <c r="A989">
        <v>988</v>
      </c>
      <c r="E989">
        <v>-63.035963039999999</v>
      </c>
      <c r="F989">
        <v>133.41702074528001</v>
      </c>
      <c r="G989">
        <v>336.90700963636999</v>
      </c>
      <c r="H989">
        <v>39.766229527123002</v>
      </c>
      <c r="I989">
        <v>-42.152691139049999</v>
      </c>
      <c r="J989">
        <v>444.13713369392002</v>
      </c>
      <c r="L989" s="1">
        <f t="shared" si="208"/>
        <v>4.5199454340400038</v>
      </c>
      <c r="M989">
        <f t="shared" si="209"/>
        <v>3557.8961495816702</v>
      </c>
      <c r="N989">
        <f t="shared" si="201"/>
        <v>9.8830448599490843</v>
      </c>
      <c r="O989">
        <f t="shared" si="202"/>
        <v>39.766229527123002</v>
      </c>
      <c r="P989">
        <f t="shared" si="203"/>
        <v>948</v>
      </c>
      <c r="Q989">
        <f t="shared" si="210"/>
        <v>80.061275436131012</v>
      </c>
      <c r="R989">
        <f t="shared" si="204"/>
        <v>80.061275436131012</v>
      </c>
      <c r="S989">
        <f t="shared" si="199"/>
        <v>80.78125618222748</v>
      </c>
      <c r="T989">
        <f t="shared" si="205"/>
        <v>80.78125618222748</v>
      </c>
      <c r="U989" s="3">
        <f t="shared" si="206"/>
        <v>444.13713369392002</v>
      </c>
      <c r="V989">
        <f t="shared" si="198"/>
        <v>907</v>
      </c>
      <c r="W989" s="8">
        <f t="shared" si="200"/>
        <v>27.114432399950033</v>
      </c>
      <c r="X989" s="1">
        <f t="shared" si="207"/>
        <v>27.114432399950033</v>
      </c>
      <c r="Y989" s="18"/>
      <c r="Z989" s="7"/>
      <c r="AA989" s="1"/>
      <c r="AB989" s="1"/>
      <c r="AC989" s="1"/>
    </row>
    <row r="990" spans="1:29" x14ac:dyDescent="0.3">
      <c r="A990">
        <v>989</v>
      </c>
      <c r="E990">
        <v>-62.779717625259998</v>
      </c>
      <c r="F990">
        <v>135.7252035141</v>
      </c>
      <c r="G990">
        <v>339.02411426663002</v>
      </c>
      <c r="H990">
        <v>39.747806951289</v>
      </c>
      <c r="I990">
        <v>-37.63006370478</v>
      </c>
      <c r="J990">
        <v>444.31577789776998</v>
      </c>
      <c r="L990" s="1">
        <f t="shared" si="208"/>
        <v>4.5226274342699995</v>
      </c>
      <c r="M990">
        <f t="shared" si="209"/>
        <v>3562.4187770159401</v>
      </c>
      <c r="N990">
        <f t="shared" si="201"/>
        <v>9.8956077139331668</v>
      </c>
      <c r="O990">
        <f t="shared" si="202"/>
        <v>39.747806951289</v>
      </c>
      <c r="P990">
        <f t="shared" si="203"/>
        <v>949</v>
      </c>
      <c r="Q990">
        <f t="shared" si="210"/>
        <v>80.022628764402</v>
      </c>
      <c r="R990">
        <f t="shared" si="204"/>
        <v>80.022628764402</v>
      </c>
      <c r="S990">
        <f t="shared" si="199"/>
        <v>80.754596588341954</v>
      </c>
      <c r="T990">
        <f t="shared" si="205"/>
        <v>80.754596588341954</v>
      </c>
      <c r="U990" s="3">
        <f t="shared" si="206"/>
        <v>444.31577789776998</v>
      </c>
      <c r="V990">
        <f t="shared" si="198"/>
        <v>908</v>
      </c>
      <c r="W990" s="8">
        <f t="shared" si="200"/>
        <v>26.714646546469965</v>
      </c>
      <c r="X990" s="1">
        <f t="shared" si="207"/>
        <v>26.714646546469965</v>
      </c>
      <c r="Y990" s="18"/>
      <c r="Z990" s="7"/>
      <c r="AA990" s="1"/>
      <c r="AB990" s="1"/>
      <c r="AC990" s="1"/>
    </row>
    <row r="991" spans="1:29" x14ac:dyDescent="0.3">
      <c r="A991">
        <v>990</v>
      </c>
      <c r="E991">
        <v>-62.541130828740002</v>
      </c>
      <c r="F991">
        <v>137.87544347488</v>
      </c>
      <c r="G991">
        <v>341.30326793898001</v>
      </c>
      <c r="H991">
        <v>39.753230493415003</v>
      </c>
      <c r="I991">
        <v>-33.104020788939998</v>
      </c>
      <c r="J991">
        <v>444.45747019053999</v>
      </c>
      <c r="L991" s="1">
        <f t="shared" si="208"/>
        <v>4.5260429158400015</v>
      </c>
      <c r="M991">
        <f t="shared" si="209"/>
        <v>3566.9448199317803</v>
      </c>
      <c r="N991">
        <f t="shared" si="201"/>
        <v>9.9081800553660564</v>
      </c>
      <c r="O991">
        <f t="shared" si="202"/>
        <v>39.753230493415003</v>
      </c>
      <c r="P991">
        <f t="shared" si="203"/>
        <v>950</v>
      </c>
      <c r="Q991">
        <f t="shared" si="210"/>
        <v>80.006043548750995</v>
      </c>
      <c r="R991">
        <f t="shared" si="204"/>
        <v>80.006043548750995</v>
      </c>
      <c r="S991">
        <f t="shared" si="199"/>
        <v>80.743800684667903</v>
      </c>
      <c r="T991">
        <f t="shared" si="205"/>
        <v>80.743800684667903</v>
      </c>
      <c r="U991" s="3">
        <f t="shared" si="206"/>
        <v>444.45747019053999</v>
      </c>
      <c r="V991">
        <f t="shared" si="198"/>
        <v>909</v>
      </c>
      <c r="W991" s="8">
        <f t="shared" si="200"/>
        <v>26.29912727640999</v>
      </c>
      <c r="X991" s="1">
        <f t="shared" si="207"/>
        <v>26.29912727640999</v>
      </c>
      <c r="Y991" s="18"/>
      <c r="Z991" s="7"/>
      <c r="AA991" s="1"/>
      <c r="AB991" s="1"/>
      <c r="AC991" s="1"/>
    </row>
    <row r="992" spans="1:29" x14ac:dyDescent="0.3">
      <c r="A992">
        <v>991</v>
      </c>
      <c r="E992">
        <v>-62.292035567729997</v>
      </c>
      <c r="F992">
        <v>139.86030734081999</v>
      </c>
      <c r="G992">
        <v>343.72715188206001</v>
      </c>
      <c r="H992">
        <v>39.786726582509999</v>
      </c>
      <c r="I992">
        <v>-28.579502313460001</v>
      </c>
      <c r="J992">
        <v>444.59135235434002</v>
      </c>
      <c r="L992" s="1">
        <f t="shared" si="208"/>
        <v>4.5245184754799972</v>
      </c>
      <c r="M992">
        <f t="shared" si="209"/>
        <v>3571.4693384072602</v>
      </c>
      <c r="N992">
        <f t="shared" si="201"/>
        <v>9.9207481622423899</v>
      </c>
      <c r="O992">
        <f t="shared" si="202"/>
        <v>39.786726582509999</v>
      </c>
      <c r="P992">
        <f t="shared" si="203"/>
        <v>951</v>
      </c>
      <c r="Q992">
        <f t="shared" si="210"/>
        <v>80.031744608857991</v>
      </c>
      <c r="R992">
        <f t="shared" si="204"/>
        <v>80.031744608857991</v>
      </c>
      <c r="S992">
        <f t="shared" si="199"/>
        <v>80.770649121648773</v>
      </c>
      <c r="T992">
        <f t="shared" si="205"/>
        <v>80.770649121648773</v>
      </c>
      <c r="U992" s="3">
        <f t="shared" si="206"/>
        <v>444.59135235434002</v>
      </c>
      <c r="V992">
        <f t="shared" si="198"/>
        <v>911</v>
      </c>
      <c r="W992" s="8">
        <f t="shared" si="200"/>
        <v>25.291663365890031</v>
      </c>
      <c r="X992" s="1">
        <f t="shared" si="207"/>
        <v>25.291663365890031</v>
      </c>
      <c r="Y992" s="18"/>
      <c r="Z992" s="7"/>
      <c r="AA992" s="1"/>
      <c r="AB992" s="1"/>
      <c r="AC992" s="1"/>
    </row>
    <row r="993" spans="1:29" x14ac:dyDescent="0.3">
      <c r="A993">
        <v>992</v>
      </c>
      <c r="E993">
        <v>-62.062062138930003</v>
      </c>
      <c r="F993">
        <v>141.67877252950001</v>
      </c>
      <c r="G993">
        <v>346.27984847022998</v>
      </c>
      <c r="H993">
        <v>39.859890284433</v>
      </c>
      <c r="I993">
        <v>-24.060323152159999</v>
      </c>
      <c r="J993">
        <v>444.68914843036998</v>
      </c>
      <c r="L993" s="1">
        <f t="shared" si="208"/>
        <v>4.5191791613000021</v>
      </c>
      <c r="M993">
        <f t="shared" si="209"/>
        <v>3575.9885175685604</v>
      </c>
      <c r="N993">
        <f t="shared" si="201"/>
        <v>9.9333014376904458</v>
      </c>
      <c r="O993">
        <f t="shared" si="202"/>
        <v>39.859890284433</v>
      </c>
      <c r="P993">
        <f t="shared" si="203"/>
        <v>952</v>
      </c>
      <c r="Q993">
        <f t="shared" si="210"/>
        <v>80.078889335</v>
      </c>
      <c r="R993">
        <f t="shared" si="204"/>
        <v>80.078889335</v>
      </c>
      <c r="S993">
        <f t="shared" si="199"/>
        <v>80.812539911847693</v>
      </c>
      <c r="T993">
        <f t="shared" si="205"/>
        <v>80.812539911847693</v>
      </c>
      <c r="U993" s="3">
        <f t="shared" si="206"/>
        <v>444.68914843036998</v>
      </c>
      <c r="V993">
        <f t="shared" si="198"/>
        <v>912</v>
      </c>
      <c r="W993" s="8">
        <f t="shared" si="200"/>
        <v>24.817123881459963</v>
      </c>
      <c r="X993" s="1">
        <f t="shared" si="207"/>
        <v>24.817123881459963</v>
      </c>
      <c r="Y993" s="18"/>
      <c r="Z993" s="7"/>
      <c r="AA993" s="1"/>
      <c r="AB993" s="1"/>
      <c r="AC993" s="1"/>
    </row>
    <row r="994" spans="1:29" x14ac:dyDescent="0.3">
      <c r="A994">
        <v>993</v>
      </c>
      <c r="E994">
        <v>-61.827036905</v>
      </c>
      <c r="F994">
        <v>143.30627364028001</v>
      </c>
      <c r="G994">
        <v>348.95787304445997</v>
      </c>
      <c r="H994">
        <v>39.952404123900003</v>
      </c>
      <c r="I994">
        <v>-19.55076454188</v>
      </c>
      <c r="J994">
        <v>444.77422247925</v>
      </c>
      <c r="L994" s="1">
        <f t="shared" si="208"/>
        <v>4.5095586102799992</v>
      </c>
      <c r="M994">
        <f t="shared" si="209"/>
        <v>3580.4980761788402</v>
      </c>
      <c r="N994">
        <f t="shared" si="201"/>
        <v>9.9458279893856663</v>
      </c>
      <c r="O994">
        <f t="shared" si="202"/>
        <v>39.952404123900003</v>
      </c>
      <c r="P994">
        <f t="shared" si="203"/>
        <v>953</v>
      </c>
      <c r="Q994">
        <f t="shared" si="210"/>
        <v>80.139299574845012</v>
      </c>
      <c r="R994">
        <f t="shared" si="204"/>
        <v>80.139299574845012</v>
      </c>
      <c r="S994">
        <f t="shared" si="199"/>
        <v>80.865991204971422</v>
      </c>
      <c r="T994">
        <f t="shared" si="205"/>
        <v>80.865991204971422</v>
      </c>
      <c r="U994" s="3">
        <f t="shared" si="206"/>
        <v>444.77422247925</v>
      </c>
      <c r="V994">
        <f t="shared" si="198"/>
        <v>913</v>
      </c>
      <c r="W994" s="8">
        <f t="shared" si="200"/>
        <v>24.347821331379976</v>
      </c>
      <c r="X994" s="1">
        <f t="shared" si="207"/>
        <v>24.347821331379976</v>
      </c>
      <c r="Y994" s="18"/>
      <c r="Z994" s="7"/>
      <c r="AA994" s="1"/>
      <c r="AB994" s="1"/>
      <c r="AC994" s="1"/>
    </row>
    <row r="995" spans="1:29" x14ac:dyDescent="0.3">
      <c r="A995">
        <v>994</v>
      </c>
      <c r="E995">
        <v>-61.599893310630002</v>
      </c>
      <c r="F995">
        <v>144.74057043207</v>
      </c>
      <c r="G995">
        <v>351.74484568545</v>
      </c>
      <c r="H995">
        <v>40.071233309434</v>
      </c>
      <c r="I995">
        <v>-15.053531122660001</v>
      </c>
      <c r="J995">
        <v>444.83491593131998</v>
      </c>
      <c r="L995" s="1">
        <f t="shared" si="208"/>
        <v>4.4972334192199988</v>
      </c>
      <c r="M995">
        <f t="shared" si="209"/>
        <v>3584.99530959806</v>
      </c>
      <c r="N995">
        <f t="shared" si="201"/>
        <v>9.9583203044390558</v>
      </c>
      <c r="O995">
        <f t="shared" si="202"/>
        <v>40.071233309434</v>
      </c>
      <c r="P995">
        <f t="shared" si="203"/>
        <v>954</v>
      </c>
      <c r="Q995">
        <f t="shared" si="210"/>
        <v>80.239067118438001</v>
      </c>
      <c r="R995">
        <f t="shared" si="204"/>
        <v>80.239067118438001</v>
      </c>
      <c r="S995">
        <f t="shared" si="199"/>
        <v>80.953074642079969</v>
      </c>
      <c r="T995">
        <f t="shared" si="205"/>
        <v>80.953074642079969</v>
      </c>
      <c r="U995" s="3">
        <f t="shared" si="206"/>
        <v>444.83491593131998</v>
      </c>
      <c r="V995">
        <f t="shared" si="198"/>
        <v>914</v>
      </c>
      <c r="W995" s="8">
        <f t="shared" si="200"/>
        <v>23.869759673039994</v>
      </c>
      <c r="X995" s="1">
        <f t="shared" si="207"/>
        <v>23.869759673039994</v>
      </c>
      <c r="Y995" s="18"/>
      <c r="Z995" s="7"/>
      <c r="AA995" s="1"/>
      <c r="AB995" s="1"/>
      <c r="AC995" s="1"/>
    </row>
    <row r="996" spans="1:29" x14ac:dyDescent="0.3">
      <c r="A996">
        <v>995</v>
      </c>
      <c r="E996">
        <v>-61.372021727300002</v>
      </c>
      <c r="F996">
        <v>145.97463463558</v>
      </c>
      <c r="G996">
        <v>354.62590927202001</v>
      </c>
      <c r="H996">
        <v>40.215471264556001</v>
      </c>
      <c r="I996">
        <v>-10.572346309189999</v>
      </c>
      <c r="J996">
        <v>444.88071104915002</v>
      </c>
      <c r="L996" s="1">
        <f t="shared" si="208"/>
        <v>4.4811848134700014</v>
      </c>
      <c r="M996">
        <f t="shared" si="209"/>
        <v>3589.47649441153</v>
      </c>
      <c r="N996">
        <f t="shared" si="201"/>
        <v>9.9707680400320271</v>
      </c>
      <c r="O996">
        <f t="shared" si="202"/>
        <v>40.215471264556001</v>
      </c>
      <c r="P996">
        <f t="shared" si="203"/>
        <v>955</v>
      </c>
      <c r="Q996">
        <f t="shared" si="210"/>
        <v>80.37154978396299</v>
      </c>
      <c r="R996">
        <f t="shared" si="204"/>
        <v>80.37154978396299</v>
      </c>
      <c r="S996">
        <f t="shared" si="199"/>
        <v>81.069008390407177</v>
      </c>
      <c r="T996">
        <f t="shared" si="205"/>
        <v>81.069008390407177</v>
      </c>
      <c r="U996" s="3">
        <f t="shared" si="206"/>
        <v>444.88071104915002</v>
      </c>
      <c r="V996">
        <f t="shared" si="198"/>
        <v>915</v>
      </c>
      <c r="W996" s="8">
        <f t="shared" si="200"/>
        <v>23.337749035070033</v>
      </c>
      <c r="X996" s="1">
        <f t="shared" si="207"/>
        <v>23.337749035070033</v>
      </c>
      <c r="Y996" s="18"/>
      <c r="Z996" s="7"/>
      <c r="AA996" s="1"/>
      <c r="AB996" s="1"/>
      <c r="AC996" s="1"/>
    </row>
    <row r="997" spans="1:29" x14ac:dyDescent="0.3">
      <c r="A997">
        <v>996</v>
      </c>
      <c r="E997">
        <v>-61.149729572909997</v>
      </c>
      <c r="F997">
        <v>147.01718616899001</v>
      </c>
      <c r="G997">
        <v>357.58232576762998</v>
      </c>
      <c r="H997">
        <v>40.399905354718001</v>
      </c>
      <c r="I997">
        <v>-6.1118062315000001</v>
      </c>
      <c r="J997">
        <v>444.90717989762999</v>
      </c>
      <c r="L997" s="1">
        <f t="shared" si="208"/>
        <v>4.4605400776899993</v>
      </c>
      <c r="M997">
        <f t="shared" si="209"/>
        <v>3593.93703448922</v>
      </c>
      <c r="N997">
        <f t="shared" si="201"/>
        <v>9.9831584291367221</v>
      </c>
      <c r="O997">
        <f t="shared" si="202"/>
        <v>40.399905354718001</v>
      </c>
      <c r="P997">
        <f t="shared" si="203"/>
        <v>956</v>
      </c>
      <c r="Q997">
        <f t="shared" si="210"/>
        <v>80.526902102152008</v>
      </c>
      <c r="R997">
        <f t="shared" si="204"/>
        <v>80.526902102152008</v>
      </c>
      <c r="S997">
        <f t="shared" si="199"/>
        <v>81.204071978973971</v>
      </c>
      <c r="T997">
        <f t="shared" si="205"/>
        <v>81.204071978973971</v>
      </c>
      <c r="U997" s="3">
        <f t="shared" si="206"/>
        <v>444.90717989762999</v>
      </c>
      <c r="V997">
        <f t="shared" si="198"/>
        <v>916</v>
      </c>
      <c r="W997" s="8">
        <f t="shared" si="200"/>
        <v>22.839019926729975</v>
      </c>
      <c r="X997" s="1">
        <f t="shared" si="207"/>
        <v>22.839019926729975</v>
      </c>
      <c r="Y997" s="18"/>
      <c r="Z997" s="7"/>
      <c r="AA997" s="1"/>
      <c r="AB997" s="1"/>
      <c r="AC997" s="1"/>
    </row>
    <row r="998" spans="1:29" x14ac:dyDescent="0.3">
      <c r="A998">
        <v>997</v>
      </c>
      <c r="E998">
        <v>-60.923307206830003</v>
      </c>
      <c r="F998">
        <v>147.80460753547999</v>
      </c>
      <c r="G998">
        <v>360.61603518368997</v>
      </c>
      <c r="H998">
        <v>40.562097335513997</v>
      </c>
      <c r="I998">
        <v>-1.668981075739</v>
      </c>
      <c r="J998">
        <v>444.92127005082</v>
      </c>
      <c r="L998" s="1">
        <f t="shared" si="208"/>
        <v>4.4428251557609997</v>
      </c>
      <c r="M998">
        <f t="shared" si="209"/>
        <v>3598.379859644981</v>
      </c>
      <c r="N998">
        <f t="shared" si="201"/>
        <v>9.9954996101249467</v>
      </c>
      <c r="O998">
        <f t="shared" si="202"/>
        <v>40.562097335513997</v>
      </c>
      <c r="P998">
        <f t="shared" si="203"/>
        <v>957</v>
      </c>
      <c r="Q998">
        <f t="shared" si="210"/>
        <v>80.640157529834994</v>
      </c>
      <c r="R998">
        <f t="shared" si="204"/>
        <v>80.640157529834994</v>
      </c>
      <c r="S998">
        <f t="shared" si="199"/>
        <v>81.295517416567918</v>
      </c>
      <c r="T998">
        <f t="shared" si="205"/>
        <v>81.295517416567918</v>
      </c>
      <c r="U998" s="3">
        <f t="shared" si="206"/>
        <v>444.92127005082</v>
      </c>
      <c r="V998">
        <f t="shared" si="198"/>
        <v>917</v>
      </c>
      <c r="W998" s="8">
        <f t="shared" si="200"/>
        <v>22.32174592281001</v>
      </c>
      <c r="X998" s="1">
        <f t="shared" si="207"/>
        <v>22.32174592281001</v>
      </c>
      <c r="Y998" s="18"/>
      <c r="Z998" s="7"/>
      <c r="AA998" s="1"/>
      <c r="AB998" s="1"/>
      <c r="AC998" s="1"/>
    </row>
    <row r="999" spans="1:29" x14ac:dyDescent="0.3">
      <c r="A999">
        <v>998</v>
      </c>
      <c r="E999">
        <v>-60.74437424037</v>
      </c>
      <c r="F999">
        <v>148.36145700436001</v>
      </c>
      <c r="G999">
        <v>363.70380359671998</v>
      </c>
      <c r="H999">
        <v>40.733642419695002</v>
      </c>
      <c r="I999">
        <v>2.754833474157</v>
      </c>
      <c r="J999">
        <v>444.87442383001002</v>
      </c>
      <c r="L999" s="1">
        <f t="shared" si="208"/>
        <v>4.423814549896</v>
      </c>
      <c r="M999">
        <f t="shared" si="209"/>
        <v>3602.8036741948772</v>
      </c>
      <c r="N999">
        <f t="shared" si="201"/>
        <v>10.007787983874659</v>
      </c>
      <c r="O999">
        <f t="shared" si="202"/>
        <v>40.733642419695002</v>
      </c>
      <c r="P999">
        <f t="shared" si="203"/>
        <v>958</v>
      </c>
      <c r="Q999">
        <f t="shared" si="210"/>
        <v>80.753036618794994</v>
      </c>
      <c r="R999">
        <f t="shared" si="204"/>
        <v>80.753036618794994</v>
      </c>
      <c r="S999">
        <f t="shared" si="199"/>
        <v>81.376954706843051</v>
      </c>
      <c r="T999">
        <f t="shared" si="205"/>
        <v>81.376954706843051</v>
      </c>
      <c r="U999" s="3">
        <f t="shared" si="206"/>
        <v>444.87442383001002</v>
      </c>
      <c r="V999">
        <f t="shared" si="198"/>
        <v>918</v>
      </c>
      <c r="W999" s="8">
        <f t="shared" si="200"/>
        <v>21.689776498089998</v>
      </c>
      <c r="X999" s="1">
        <f t="shared" si="207"/>
        <v>21.689776498089998</v>
      </c>
      <c r="Y999" s="18"/>
      <c r="Z999" s="7"/>
      <c r="AA999" s="1"/>
      <c r="AB999" s="1"/>
      <c r="AC999" s="1"/>
    </row>
    <row r="1000" spans="1:29" x14ac:dyDescent="0.3">
      <c r="A1000">
        <v>999</v>
      </c>
      <c r="E1000">
        <v>-60.512835553899997</v>
      </c>
      <c r="F1000">
        <v>148.81532301506999</v>
      </c>
      <c r="G1000">
        <v>366.80469791803</v>
      </c>
      <c r="H1000">
        <v>41.040025572590999</v>
      </c>
      <c r="I1000">
        <v>7.1385853477156997</v>
      </c>
      <c r="J1000">
        <v>444.87476277651001</v>
      </c>
      <c r="L1000" s="1">
        <f t="shared" si="208"/>
        <v>4.3837518735586993</v>
      </c>
      <c r="M1000">
        <f t="shared" si="209"/>
        <v>3607.1874260684358</v>
      </c>
      <c r="N1000">
        <f t="shared" si="201"/>
        <v>10.019965072412322</v>
      </c>
      <c r="O1000">
        <f t="shared" si="202"/>
        <v>41.040025572590999</v>
      </c>
      <c r="P1000">
        <f t="shared" si="203"/>
        <v>959</v>
      </c>
      <c r="Q1000">
        <f t="shared" si="210"/>
        <v>80.953810394590988</v>
      </c>
      <c r="R1000">
        <f t="shared" si="204"/>
        <v>80.953810394590988</v>
      </c>
      <c r="S1000">
        <f t="shared" si="199"/>
        <v>81.550225561415871</v>
      </c>
      <c r="T1000">
        <f t="shared" si="205"/>
        <v>81.550225561415871</v>
      </c>
      <c r="U1000" s="3">
        <f t="shared" si="206"/>
        <v>444.87476277651001</v>
      </c>
      <c r="V1000">
        <f t="shared" si="198"/>
        <v>919</v>
      </c>
      <c r="W1000" s="8">
        <f t="shared" si="200"/>
        <v>21.17438211271002</v>
      </c>
      <c r="X1000" s="1">
        <f t="shared" si="207"/>
        <v>21.17438211271002</v>
      </c>
      <c r="Y1000" s="18"/>
      <c r="Z1000" s="7"/>
      <c r="AA1000" s="1"/>
      <c r="AB1000" s="1"/>
      <c r="AC1000" s="1"/>
    </row>
    <row r="1001" spans="1:29" x14ac:dyDescent="0.3">
      <c r="A1001">
        <v>1000</v>
      </c>
      <c r="E1001">
        <v>-59.891918181999998</v>
      </c>
      <c r="F1001">
        <v>149.28364563</v>
      </c>
      <c r="G1001">
        <v>369.84924316399997</v>
      </c>
      <c r="H1001">
        <v>41.579277045338003</v>
      </c>
      <c r="I1001">
        <v>11.398549589379</v>
      </c>
      <c r="J1001">
        <v>445.26800962999999</v>
      </c>
      <c r="L1001" s="1">
        <f t="shared" si="208"/>
        <v>4.2599642416633001</v>
      </c>
      <c r="M1001">
        <f t="shared" si="209"/>
        <v>3611.4473903100993</v>
      </c>
      <c r="N1001">
        <f t="shared" si="201"/>
        <v>10.031798306416942</v>
      </c>
      <c r="O1001">
        <f t="shared" si="202"/>
        <v>41.579277045338003</v>
      </c>
      <c r="P1001">
        <f t="shared" si="203"/>
        <v>960</v>
      </c>
      <c r="Q1001">
        <f t="shared" si="210"/>
        <v>81.420734445628995</v>
      </c>
      <c r="R1001">
        <f t="shared" si="204"/>
        <v>81.420734445628995</v>
      </c>
      <c r="S1001">
        <f t="shared" si="199"/>
        <v>82.030042646685459</v>
      </c>
      <c r="T1001">
        <f t="shared" si="205"/>
        <v>82.030042646685459</v>
      </c>
      <c r="U1001" s="3">
        <f t="shared" si="206"/>
        <v>445.26800962999999</v>
      </c>
      <c r="V1001">
        <f t="shared" si="198"/>
        <v>920</v>
      </c>
      <c r="W1001" s="8">
        <f t="shared" si="200"/>
        <v>21.066996450830004</v>
      </c>
      <c r="X1001" s="1">
        <f t="shared" si="207"/>
        <v>21.066996450830004</v>
      </c>
      <c r="Y1001" s="18"/>
      <c r="Z1001" s="7"/>
      <c r="AA1001" s="1"/>
      <c r="AB1001" s="1"/>
      <c r="AC1001" s="1"/>
    </row>
  </sheetData>
  <phoneticPr fontId="2" type="noConversion"/>
  <pageMargins left="0.25" right="0.25" top="0.75" bottom="0.75" header="0.3" footer="0.3"/>
  <pageSetup paperSize="9" scale="68" fitToHeight="0" orientation="landscape" r:id="rId1"/>
  <rowBreaks count="1" manualBreakCount="1">
    <brk id="42" min="25" max="44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zero-1</vt:lpstr>
      <vt:lpstr>'zero-1'!Print_Area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comshin</dc:creator>
  <cp:lastModifiedBy>comshin</cp:lastModifiedBy>
  <cp:lastPrinted>2018-08-24T05:11:50Z</cp:lastPrinted>
  <dcterms:created xsi:type="dcterms:W3CDTF">2018-08-24T00:02:25Z</dcterms:created>
  <dcterms:modified xsi:type="dcterms:W3CDTF">2025-11-06T02:52:10Z</dcterms:modified>
</cp:coreProperties>
</file>